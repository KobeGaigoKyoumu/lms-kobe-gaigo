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教務室共有ファイル\学生状況\進路関係\2025年進路状況\"/>
    </mc:Choice>
  </mc:AlternateContent>
  <xr:revisionPtr revIDLastSave="0" documentId="13_ncr:1_{C36A317E-7D8F-41A8-B65C-A0171641714D}" xr6:coauthVersionLast="47" xr6:coauthVersionMax="47" xr10:uidLastSave="{00000000-0000-0000-0000-000000000000}"/>
  <bookViews>
    <workbookView xWindow="-120" yWindow="-120" windowWidth="29040" windowHeight="15720" xr2:uid="{00000000-000D-0000-FFFF-FFFF00000000}"/>
  </bookViews>
  <sheets>
    <sheet name="進路状況入力シート" sheetId="50" r:id="rId1"/>
    <sheet name="【印刷用】進路状況入力シート" sheetId="55" r:id="rId2"/>
    <sheet name="学生別進路確定閲覧シート" sheetId="51" r:id="rId3"/>
    <sheet name="合格掲示用ワーク" sheetId="52" state="hidden" r:id="rId4"/>
    <sheet name="上部データ更新用" sheetId="56" r:id="rId5"/>
    <sheet name="分析" sheetId="41" r:id="rId6"/>
    <sheet name="合格掲示印刷用" sheetId="53" r:id="rId7"/>
    <sheet name="募集状況の情報" sheetId="54" r:id="rId8"/>
    <sheet name="選択肢" sheetId="40" r:id="rId9"/>
  </sheets>
  <definedNames>
    <definedName name="_xlnm._FilterDatabase" localSheetId="1" hidden="1">【印刷用】進路状況入力シート!$A$6:$L$387</definedName>
    <definedName name="_xlnm.Print_Area" localSheetId="1">【印刷用】進路状況入力シート!$A$6:$I$387</definedName>
    <definedName name="_xlnm.Print_Area" localSheetId="6">合格掲示印刷用!$A$1:$P$425</definedName>
    <definedName name="_xlnm.Print_Area" localSheetId="0">進路状況入力シート!$A$1:$R$386</definedName>
    <definedName name="_xlnm.Print_Area" localSheetId="5">分析!$A$1:$P$18</definedName>
    <definedName name="_xlnm.Print_Titles" localSheetId="1">【印刷用】進路状況入力シート!$6:$6</definedName>
    <definedName name="時期選択肢">選択肢!$A$2:$A$11</definedName>
    <definedName name="進路区分">選択肢!$C$2:$C$6</definedName>
  </definedNames>
  <calcPr calcId="191029"/>
  <pivotCaches>
    <pivotCache cacheId="3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1" i="50" l="1"/>
  <c r="K171" i="50"/>
  <c r="K117" i="50"/>
  <c r="K37" i="50"/>
  <c r="K33" i="50"/>
  <c r="K365" i="50"/>
  <c r="P6" i="56"/>
  <c r="O6" i="56"/>
  <c r="N6" i="56"/>
  <c r="M6" i="56"/>
  <c r="L6" i="56"/>
  <c r="K6" i="56"/>
  <c r="J6" i="56"/>
  <c r="I6" i="56"/>
  <c r="H6" i="56"/>
  <c r="G6" i="56"/>
  <c r="F6" i="56"/>
  <c r="E6" i="56"/>
  <c r="D6" i="56"/>
  <c r="C6" i="56"/>
  <c r="K111" i="50"/>
  <c r="K13" i="50"/>
  <c r="K35" i="50"/>
  <c r="K64" i="50"/>
  <c r="K152" i="50"/>
  <c r="K23" i="50"/>
  <c r="K389" i="50"/>
  <c r="K268" i="50"/>
  <c r="K174" i="50"/>
  <c r="K220" i="50"/>
  <c r="K219" i="50"/>
  <c r="K123" i="50"/>
  <c r="K266" i="50"/>
  <c r="K176" i="50"/>
  <c r="K173" i="50"/>
  <c r="P17" i="41"/>
  <c r="P16" i="41"/>
  <c r="K263" i="50"/>
  <c r="K249" i="50"/>
  <c r="K253" i="50"/>
  <c r="K166" i="50"/>
  <c r="K59" i="50"/>
  <c r="K121" i="50"/>
  <c r="K67" i="50"/>
  <c r="K66" i="50"/>
  <c r="K136" i="50"/>
  <c r="K141" i="50"/>
  <c r="K133" i="50"/>
  <c r="K364" i="50"/>
  <c r="K21" i="50"/>
  <c r="K74" i="50"/>
  <c r="G7" i="51"/>
  <c r="F7" i="51" s="1"/>
  <c r="G8" i="51"/>
  <c r="G9" i="51"/>
  <c r="G10" i="51"/>
  <c r="G11" i="51"/>
  <c r="G12" i="51"/>
  <c r="G13" i="51"/>
  <c r="G14" i="51"/>
  <c r="G15" i="51"/>
  <c r="G16" i="51"/>
  <c r="G17" i="51"/>
  <c r="G18" i="51"/>
  <c r="G19" i="51"/>
  <c r="G20" i="51"/>
  <c r="G21" i="51"/>
  <c r="G22" i="51"/>
  <c r="G23" i="51"/>
  <c r="G24" i="51"/>
  <c r="G25" i="51"/>
  <c r="G26" i="51"/>
  <c r="G27" i="51"/>
  <c r="G28" i="51"/>
  <c r="G29" i="51"/>
  <c r="G30" i="51"/>
  <c r="G31" i="51"/>
  <c r="G32" i="51"/>
  <c r="G33" i="51"/>
  <c r="F33" i="51" s="1"/>
  <c r="G34" i="51"/>
  <c r="G35" i="51"/>
  <c r="G36" i="51"/>
  <c r="G37" i="51"/>
  <c r="G38" i="51"/>
  <c r="G39" i="51"/>
  <c r="G40" i="51"/>
  <c r="F40" i="51" s="1"/>
  <c r="G41" i="51"/>
  <c r="G42" i="51"/>
  <c r="G43" i="51"/>
  <c r="G44" i="51"/>
  <c r="G45" i="51"/>
  <c r="G46" i="51"/>
  <c r="G47" i="51"/>
  <c r="F47" i="51" s="1"/>
  <c r="G48" i="51"/>
  <c r="F48" i="51" s="1"/>
  <c r="G49" i="51"/>
  <c r="G50" i="51"/>
  <c r="G51" i="51"/>
  <c r="G52" i="51"/>
  <c r="G53" i="51"/>
  <c r="G54" i="51"/>
  <c r="G55" i="51"/>
  <c r="G56" i="51"/>
  <c r="G57" i="51"/>
  <c r="G58" i="51"/>
  <c r="G59" i="51"/>
  <c r="G60" i="51"/>
  <c r="G61" i="51"/>
  <c r="G62" i="51"/>
  <c r="G63" i="51"/>
  <c r="G64" i="51"/>
  <c r="G65" i="51"/>
  <c r="G66" i="51"/>
  <c r="G67" i="51"/>
  <c r="G68" i="51"/>
  <c r="G69" i="51"/>
  <c r="G70" i="51"/>
  <c r="G71" i="51"/>
  <c r="G72" i="51"/>
  <c r="G73" i="51"/>
  <c r="G74" i="51"/>
  <c r="G75" i="51"/>
  <c r="G76" i="51"/>
  <c r="G77" i="51"/>
  <c r="G78" i="51"/>
  <c r="G79" i="51"/>
  <c r="G80" i="51"/>
  <c r="G81" i="51"/>
  <c r="G82" i="51"/>
  <c r="G83" i="51"/>
  <c r="G84" i="51"/>
  <c r="G85" i="51"/>
  <c r="G86" i="51"/>
  <c r="G87" i="51"/>
  <c r="G88" i="51"/>
  <c r="G89" i="51"/>
  <c r="G90" i="51"/>
  <c r="G91" i="51"/>
  <c r="G92" i="51"/>
  <c r="G93" i="51"/>
  <c r="G94" i="51"/>
  <c r="G95" i="51"/>
  <c r="G96" i="51"/>
  <c r="G97" i="51"/>
  <c r="G98" i="51"/>
  <c r="G99" i="51"/>
  <c r="G100" i="51"/>
  <c r="G101" i="51"/>
  <c r="G102" i="51"/>
  <c r="G103" i="51"/>
  <c r="G104" i="51"/>
  <c r="G105" i="51"/>
  <c r="G106" i="51"/>
  <c r="G107" i="51"/>
  <c r="G108" i="51"/>
  <c r="G109" i="51"/>
  <c r="G110" i="51"/>
  <c r="G111" i="51"/>
  <c r="G112" i="51"/>
  <c r="G113" i="51"/>
  <c r="G114" i="51"/>
  <c r="G115" i="51"/>
  <c r="G116" i="51"/>
  <c r="G117" i="51"/>
  <c r="G118" i="51"/>
  <c r="G119" i="51"/>
  <c r="G120" i="51"/>
  <c r="G121" i="51"/>
  <c r="G122" i="51"/>
  <c r="G123" i="51"/>
  <c r="G124" i="51"/>
  <c r="G125" i="51"/>
  <c r="G126" i="51"/>
  <c r="G127" i="51"/>
  <c r="G128" i="51"/>
  <c r="G129" i="51"/>
  <c r="G130" i="51"/>
  <c r="G131" i="51"/>
  <c r="G132" i="51"/>
  <c r="G133" i="51"/>
  <c r="G134" i="51"/>
  <c r="G135" i="51"/>
  <c r="F135" i="51" s="1"/>
  <c r="G136" i="51"/>
  <c r="G137" i="51"/>
  <c r="G138" i="51"/>
  <c r="G139" i="51"/>
  <c r="G140" i="51"/>
  <c r="G141" i="51"/>
  <c r="G142" i="51"/>
  <c r="G143" i="51"/>
  <c r="G144" i="51"/>
  <c r="G145" i="51"/>
  <c r="G146" i="51"/>
  <c r="G147" i="51"/>
  <c r="G148" i="51"/>
  <c r="G149" i="51"/>
  <c r="G150" i="51"/>
  <c r="G151" i="51"/>
  <c r="G152" i="51"/>
  <c r="G153" i="51"/>
  <c r="G154" i="51"/>
  <c r="G155" i="51"/>
  <c r="G156" i="51"/>
  <c r="G157" i="51"/>
  <c r="G158" i="51"/>
  <c r="G159" i="51"/>
  <c r="G160" i="51"/>
  <c r="G161" i="51"/>
  <c r="G162" i="51"/>
  <c r="G163" i="51"/>
  <c r="G164" i="51"/>
  <c r="G165" i="51"/>
  <c r="G166" i="51"/>
  <c r="G167" i="51"/>
  <c r="G168" i="51"/>
  <c r="G169" i="51"/>
  <c r="G170" i="51"/>
  <c r="G171" i="51"/>
  <c r="G172" i="51"/>
  <c r="G173" i="51"/>
  <c r="G174" i="51"/>
  <c r="G175" i="51"/>
  <c r="G176" i="51"/>
  <c r="G177" i="51"/>
  <c r="G178" i="51"/>
  <c r="G179" i="51"/>
  <c r="G180" i="51"/>
  <c r="G181" i="51"/>
  <c r="G182" i="51"/>
  <c r="G183" i="51"/>
  <c r="G184" i="51"/>
  <c r="G185" i="51"/>
  <c r="G186" i="51"/>
  <c r="G187" i="51"/>
  <c r="G188" i="51"/>
  <c r="G189" i="51"/>
  <c r="G190" i="51"/>
  <c r="G191" i="51"/>
  <c r="G192" i="51"/>
  <c r="G193" i="51"/>
  <c r="G194" i="51"/>
  <c r="G195" i="51"/>
  <c r="G196" i="51"/>
  <c r="G197" i="51"/>
  <c r="G198" i="51"/>
  <c r="G199" i="51"/>
  <c r="G200" i="51"/>
  <c r="G201" i="51"/>
  <c r="G202" i="51"/>
  <c r="G203" i="51"/>
  <c r="G204" i="51"/>
  <c r="G205" i="51"/>
  <c r="G206" i="51"/>
  <c r="G207" i="51"/>
  <c r="F207" i="51" s="1"/>
  <c r="G208" i="51"/>
  <c r="F208" i="51" s="1"/>
  <c r="G209" i="51"/>
  <c r="G210" i="51"/>
  <c r="G211" i="51"/>
  <c r="G212" i="51"/>
  <c r="F212" i="51" s="1"/>
  <c r="G213" i="51"/>
  <c r="G214" i="51"/>
  <c r="G215" i="51"/>
  <c r="F215" i="51" s="1"/>
  <c r="G216" i="51"/>
  <c r="G217" i="51"/>
  <c r="G218" i="51"/>
  <c r="G219" i="51"/>
  <c r="G220" i="51"/>
  <c r="G221" i="51"/>
  <c r="G222" i="51"/>
  <c r="G223" i="51"/>
  <c r="G224" i="51"/>
  <c r="G225" i="51"/>
  <c r="G226" i="51"/>
  <c r="F226" i="51" s="1"/>
  <c r="G227" i="51"/>
  <c r="G228" i="51"/>
  <c r="F228" i="51" s="1"/>
  <c r="G229" i="51"/>
  <c r="G230" i="51"/>
  <c r="F230" i="51" s="1"/>
  <c r="G231" i="51"/>
  <c r="G232" i="51"/>
  <c r="G233" i="51"/>
  <c r="G234" i="51"/>
  <c r="G235" i="51"/>
  <c r="G236" i="51"/>
  <c r="G237" i="51"/>
  <c r="G238" i="51"/>
  <c r="G239" i="51"/>
  <c r="G240" i="51"/>
  <c r="G241" i="51"/>
  <c r="G242" i="51"/>
  <c r="G243" i="51"/>
  <c r="G244" i="51"/>
  <c r="G245" i="51"/>
  <c r="G246" i="51"/>
  <c r="F246" i="51" s="1"/>
  <c r="K48" i="50"/>
  <c r="K39" i="50"/>
  <c r="K130" i="50"/>
  <c r="K142" i="50"/>
  <c r="K11" i="50"/>
  <c r="K12" i="50"/>
  <c r="K265" i="50"/>
  <c r="K165" i="50"/>
  <c r="K252" i="50"/>
  <c r="K248" i="50"/>
  <c r="K73" i="50"/>
  <c r="K206" i="50"/>
  <c r="K225" i="50"/>
  <c r="K332" i="50"/>
  <c r="K261" i="50"/>
  <c r="K128" i="50"/>
  <c r="K209" i="50"/>
  <c r="K201" i="50"/>
  <c r="K105" i="50"/>
  <c r="K17" i="50"/>
  <c r="K16" i="50"/>
  <c r="K32" i="50"/>
  <c r="K10" i="50"/>
  <c r="K9" i="50"/>
  <c r="K349" i="50"/>
  <c r="K72" i="50"/>
  <c r="K355" i="50"/>
  <c r="K363" i="50"/>
  <c r="K132" i="50"/>
  <c r="K116" i="50"/>
  <c r="K285" i="50"/>
  <c r="K187" i="50"/>
  <c r="K286" i="50"/>
  <c r="K362" i="50" l="1"/>
  <c r="K256" i="50"/>
  <c r="K262" i="50"/>
  <c r="K157" i="50"/>
  <c r="K150" i="50"/>
  <c r="K151" i="50"/>
  <c r="K153" i="50"/>
  <c r="K305" i="50" l="1"/>
  <c r="K354" i="50"/>
  <c r="K144" i="50"/>
  <c r="K145" i="50"/>
  <c r="K260" i="50"/>
  <c r="K207" i="50"/>
  <c r="K200" i="50"/>
  <c r="K227" i="50"/>
  <c r="K241" i="50"/>
  <c r="K350" i="50"/>
  <c r="K298" i="50"/>
  <c r="K297" i="50"/>
  <c r="K284" i="50"/>
  <c r="K175" i="50"/>
  <c r="K323" i="50"/>
  <c r="O16" i="41"/>
  <c r="N16" i="41"/>
  <c r="M16" i="41"/>
  <c r="L16" i="41"/>
  <c r="O17" i="41"/>
  <c r="N17" i="41"/>
  <c r="M17" i="41"/>
  <c r="L17" i="41"/>
  <c r="K55" i="50"/>
  <c r="K62" i="50"/>
  <c r="K243" i="50"/>
  <c r="K242" i="50"/>
  <c r="K240" i="50"/>
  <c r="K239" i="50"/>
  <c r="K238" i="50"/>
  <c r="K237" i="50"/>
  <c r="K236" i="50"/>
  <c r="K235" i="50"/>
  <c r="K234" i="50"/>
  <c r="K233" i="50"/>
  <c r="K232" i="50"/>
  <c r="K231" i="50"/>
  <c r="K230" i="50"/>
  <c r="K229" i="50"/>
  <c r="K228" i="50"/>
  <c r="K226" i="50"/>
  <c r="K224" i="50"/>
  <c r="K223" i="50"/>
  <c r="K222" i="50"/>
  <c r="K221" i="50"/>
  <c r="K218" i="50"/>
  <c r="K217" i="50"/>
  <c r="K216" i="50"/>
  <c r="K215" i="50"/>
  <c r="K214" i="50"/>
  <c r="K213" i="50"/>
  <c r="K212" i="50"/>
  <c r="K210" i="50"/>
  <c r="K208" i="50"/>
  <c r="K205" i="50"/>
  <c r="K204" i="50"/>
  <c r="K203" i="50"/>
  <c r="K202" i="50"/>
  <c r="K199" i="50"/>
  <c r="K198" i="50"/>
  <c r="K197" i="50"/>
  <c r="K196" i="50"/>
  <c r="K195" i="50"/>
  <c r="K194" i="50"/>
  <c r="K193" i="50"/>
  <c r="K192" i="50"/>
  <c r="K191" i="50"/>
  <c r="K190" i="50"/>
  <c r="K189" i="50"/>
  <c r="K188" i="50"/>
  <c r="K186" i="50"/>
  <c r="K345" i="50"/>
  <c r="K383" i="50"/>
  <c r="K120" i="50"/>
  <c r="K182" i="50"/>
  <c r="K299" i="50" l="1"/>
  <c r="A1" i="50"/>
  <c r="L7" i="51"/>
  <c r="L8" i="51"/>
  <c r="L9" i="51"/>
  <c r="L10" i="51"/>
  <c r="L11" i="51"/>
  <c r="L12" i="51"/>
  <c r="L13" i="51"/>
  <c r="L14" i="51"/>
  <c r="L15" i="51"/>
  <c r="L16" i="51"/>
  <c r="L17" i="51"/>
  <c r="L18" i="51"/>
  <c r="L19" i="51"/>
  <c r="L20" i="51"/>
  <c r="L21" i="51"/>
  <c r="L22" i="51"/>
  <c r="L23" i="51"/>
  <c r="L24" i="51"/>
  <c r="L25" i="51"/>
  <c r="L26" i="51"/>
  <c r="L27" i="51"/>
  <c r="L28" i="51"/>
  <c r="L29" i="51"/>
  <c r="L30" i="51"/>
  <c r="L31" i="51"/>
  <c r="L32" i="51"/>
  <c r="L33" i="51"/>
  <c r="L34" i="51"/>
  <c r="L35" i="51"/>
  <c r="L36" i="51"/>
  <c r="L37" i="51"/>
  <c r="L38" i="51"/>
  <c r="L39" i="51"/>
  <c r="L40" i="51"/>
  <c r="L41" i="51"/>
  <c r="L42" i="51"/>
  <c r="L43" i="51"/>
  <c r="L44" i="51"/>
  <c r="L45" i="51"/>
  <c r="L46" i="51"/>
  <c r="L47" i="51"/>
  <c r="L48" i="51"/>
  <c r="L49" i="51"/>
  <c r="L50" i="51"/>
  <c r="L51" i="51"/>
  <c r="L52" i="51"/>
  <c r="L53" i="51"/>
  <c r="L54" i="51"/>
  <c r="L55" i="51"/>
  <c r="L56" i="51"/>
  <c r="L57" i="51"/>
  <c r="L58" i="51"/>
  <c r="L59" i="51"/>
  <c r="L60" i="51"/>
  <c r="L61" i="51"/>
  <c r="L62" i="51"/>
  <c r="L63" i="51"/>
  <c r="L64" i="51"/>
  <c r="L65" i="51"/>
  <c r="L66" i="51"/>
  <c r="L67" i="51"/>
  <c r="L68" i="51"/>
  <c r="L69" i="51"/>
  <c r="L70" i="51"/>
  <c r="L71" i="51"/>
  <c r="L72" i="51"/>
  <c r="L73" i="51"/>
  <c r="L74" i="51"/>
  <c r="L75" i="51"/>
  <c r="L76" i="51"/>
  <c r="L77" i="51"/>
  <c r="L78" i="51"/>
  <c r="L79" i="51"/>
  <c r="L80" i="51"/>
  <c r="L81" i="51"/>
  <c r="L82" i="51"/>
  <c r="L83" i="51"/>
  <c r="L84" i="51"/>
  <c r="L85" i="51"/>
  <c r="L86" i="51"/>
  <c r="L87" i="51"/>
  <c r="L88" i="51"/>
  <c r="L89" i="51"/>
  <c r="L90" i="51"/>
  <c r="L91" i="51"/>
  <c r="L92" i="51"/>
  <c r="L93" i="51"/>
  <c r="L94" i="51"/>
  <c r="L95" i="51"/>
  <c r="L96" i="51"/>
  <c r="L97" i="51"/>
  <c r="L98" i="51"/>
  <c r="L99" i="51"/>
  <c r="L100" i="51"/>
  <c r="L101" i="51"/>
  <c r="L102" i="51"/>
  <c r="L103" i="51"/>
  <c r="L104" i="51"/>
  <c r="L105" i="51"/>
  <c r="L106" i="51"/>
  <c r="L107" i="51"/>
  <c r="L108" i="51"/>
  <c r="L109" i="51"/>
  <c r="L110" i="51"/>
  <c r="L111" i="51"/>
  <c r="L112" i="51"/>
  <c r="L113" i="51"/>
  <c r="L114" i="51"/>
  <c r="L115" i="51"/>
  <c r="L116" i="51"/>
  <c r="L117" i="51"/>
  <c r="L118" i="51"/>
  <c r="L119" i="51"/>
  <c r="L120" i="51"/>
  <c r="L121" i="51"/>
  <c r="L122" i="51"/>
  <c r="L123" i="51"/>
  <c r="L124" i="51"/>
  <c r="L125" i="51"/>
  <c r="L126" i="51"/>
  <c r="L127" i="51"/>
  <c r="L128" i="51"/>
  <c r="L129" i="51"/>
  <c r="L130" i="51"/>
  <c r="L131" i="51"/>
  <c r="L132" i="51"/>
  <c r="L133" i="51"/>
  <c r="L134" i="51"/>
  <c r="L135" i="51"/>
  <c r="L136" i="51"/>
  <c r="L137" i="51"/>
  <c r="L138" i="51"/>
  <c r="L139" i="51"/>
  <c r="L140" i="51"/>
  <c r="L141" i="51"/>
  <c r="L142" i="51"/>
  <c r="L143" i="51"/>
  <c r="L144" i="51"/>
  <c r="L145" i="51"/>
  <c r="L146" i="51"/>
  <c r="L147" i="51"/>
  <c r="L148" i="51"/>
  <c r="L149" i="51"/>
  <c r="L150" i="51"/>
  <c r="L151" i="51"/>
  <c r="L152" i="51"/>
  <c r="L153" i="51"/>
  <c r="L154" i="51"/>
  <c r="L155" i="51"/>
  <c r="L156" i="51"/>
  <c r="L157" i="51"/>
  <c r="L158" i="51"/>
  <c r="L159" i="51"/>
  <c r="L160" i="51"/>
  <c r="L161" i="51"/>
  <c r="L162" i="51"/>
  <c r="L163" i="51"/>
  <c r="L164" i="51"/>
  <c r="L165" i="51"/>
  <c r="L166" i="51"/>
  <c r="L167" i="51"/>
  <c r="L168" i="51"/>
  <c r="L169" i="51"/>
  <c r="L170" i="51"/>
  <c r="L171" i="51"/>
  <c r="L172" i="51"/>
  <c r="L173" i="51"/>
  <c r="L174" i="51"/>
  <c r="L175" i="51"/>
  <c r="L176" i="51"/>
  <c r="L177" i="51"/>
  <c r="L178" i="51"/>
  <c r="L179" i="51"/>
  <c r="L180" i="51"/>
  <c r="L181" i="51"/>
  <c r="L182" i="51"/>
  <c r="L183" i="51"/>
  <c r="L184" i="51"/>
  <c r="L185" i="51"/>
  <c r="L186" i="51"/>
  <c r="L187" i="51"/>
  <c r="L188" i="51"/>
  <c r="L189" i="51"/>
  <c r="L190" i="51"/>
  <c r="L191" i="51"/>
  <c r="L192" i="51"/>
  <c r="L193" i="51"/>
  <c r="L194" i="51"/>
  <c r="L195" i="51"/>
  <c r="L196" i="51"/>
  <c r="L197" i="51"/>
  <c r="L198" i="51"/>
  <c r="L199" i="51"/>
  <c r="L200" i="51"/>
  <c r="L201" i="51"/>
  <c r="L202" i="51"/>
  <c r="L203" i="51"/>
  <c r="L204" i="51"/>
  <c r="L205" i="51"/>
  <c r="L206" i="51"/>
  <c r="L207" i="51"/>
  <c r="L208" i="51"/>
  <c r="L209" i="51"/>
  <c r="L210" i="51"/>
  <c r="L211" i="51"/>
  <c r="L212" i="51"/>
  <c r="L213" i="51"/>
  <c r="L214" i="51"/>
  <c r="L215" i="51"/>
  <c r="L216" i="51"/>
  <c r="L217" i="51"/>
  <c r="L218" i="51"/>
  <c r="L219" i="51"/>
  <c r="L220" i="51"/>
  <c r="L221" i="51"/>
  <c r="L222" i="51"/>
  <c r="L223" i="51"/>
  <c r="L224" i="51"/>
  <c r="L225" i="51"/>
  <c r="L226" i="51"/>
  <c r="L227" i="51"/>
  <c r="L228" i="51"/>
  <c r="L229" i="51"/>
  <c r="L230" i="51"/>
  <c r="L231" i="51"/>
  <c r="L232" i="51"/>
  <c r="L233" i="51"/>
  <c r="L234" i="51"/>
  <c r="L235" i="51"/>
  <c r="L236" i="51"/>
  <c r="L237" i="51"/>
  <c r="L238" i="51"/>
  <c r="L239" i="51"/>
  <c r="L240" i="51"/>
  <c r="L241" i="51"/>
  <c r="L242" i="51"/>
  <c r="L243" i="51"/>
  <c r="L244" i="51"/>
  <c r="L245" i="51"/>
  <c r="L246" i="51"/>
  <c r="M7" i="51"/>
  <c r="M8" i="51"/>
  <c r="M9" i="51"/>
  <c r="M10" i="51"/>
  <c r="M11" i="51"/>
  <c r="M12" i="51"/>
  <c r="M13" i="51"/>
  <c r="M14" i="51"/>
  <c r="M15" i="51"/>
  <c r="M16" i="51"/>
  <c r="M17" i="51"/>
  <c r="M18" i="51"/>
  <c r="M19" i="51"/>
  <c r="M20" i="51"/>
  <c r="M21" i="51"/>
  <c r="M22" i="51"/>
  <c r="M23" i="51"/>
  <c r="M24" i="51"/>
  <c r="M25" i="51"/>
  <c r="M26" i="51"/>
  <c r="M27" i="51"/>
  <c r="M28" i="51"/>
  <c r="M29" i="51"/>
  <c r="M30" i="51"/>
  <c r="M31" i="51"/>
  <c r="M32" i="51"/>
  <c r="M33" i="51"/>
  <c r="M34" i="51"/>
  <c r="M35" i="51"/>
  <c r="M36" i="51"/>
  <c r="M37" i="51"/>
  <c r="M38" i="51"/>
  <c r="M39" i="51"/>
  <c r="M40" i="51"/>
  <c r="M41" i="51"/>
  <c r="M42" i="51"/>
  <c r="M43" i="51"/>
  <c r="M44" i="51"/>
  <c r="M45" i="51"/>
  <c r="M46" i="51"/>
  <c r="M47" i="51"/>
  <c r="M48" i="51"/>
  <c r="M49" i="51"/>
  <c r="M50" i="51"/>
  <c r="M51" i="51"/>
  <c r="M52" i="51"/>
  <c r="M53" i="51"/>
  <c r="M54" i="51"/>
  <c r="M55" i="51"/>
  <c r="M56" i="51"/>
  <c r="M57" i="51"/>
  <c r="M58" i="51"/>
  <c r="M59" i="51"/>
  <c r="M60" i="51"/>
  <c r="M61" i="51"/>
  <c r="M62" i="51"/>
  <c r="M63" i="51"/>
  <c r="M64" i="51"/>
  <c r="M65" i="51"/>
  <c r="M66" i="51"/>
  <c r="M67" i="51"/>
  <c r="M68" i="51"/>
  <c r="M69" i="51"/>
  <c r="M70" i="51"/>
  <c r="M71" i="51"/>
  <c r="M72" i="51"/>
  <c r="M73" i="51"/>
  <c r="M74" i="51"/>
  <c r="M75" i="51"/>
  <c r="M76" i="51"/>
  <c r="M77" i="51"/>
  <c r="M78" i="51"/>
  <c r="M79" i="51"/>
  <c r="M80" i="51"/>
  <c r="M81" i="51"/>
  <c r="M82" i="51"/>
  <c r="M83" i="51"/>
  <c r="M84" i="51"/>
  <c r="M85" i="51"/>
  <c r="M86" i="51"/>
  <c r="M87" i="51"/>
  <c r="M88" i="51"/>
  <c r="M89" i="51"/>
  <c r="M90" i="51"/>
  <c r="M91" i="51"/>
  <c r="M92" i="51"/>
  <c r="M93" i="51"/>
  <c r="M94" i="51"/>
  <c r="M95" i="51"/>
  <c r="M96" i="51"/>
  <c r="M97" i="51"/>
  <c r="M98" i="51"/>
  <c r="M99" i="51"/>
  <c r="M100" i="51"/>
  <c r="M101" i="51"/>
  <c r="M102" i="51"/>
  <c r="M103" i="51"/>
  <c r="M104" i="51"/>
  <c r="M105" i="51"/>
  <c r="M106" i="51"/>
  <c r="M107" i="51"/>
  <c r="M108" i="51"/>
  <c r="M109" i="51"/>
  <c r="M110" i="51"/>
  <c r="M111" i="51"/>
  <c r="M112" i="51"/>
  <c r="M113" i="51"/>
  <c r="M114" i="51"/>
  <c r="M115" i="51"/>
  <c r="M116" i="51"/>
  <c r="M117" i="51"/>
  <c r="M118" i="51"/>
  <c r="M119" i="51"/>
  <c r="M120" i="51"/>
  <c r="M121" i="51"/>
  <c r="M122" i="51"/>
  <c r="M123" i="51"/>
  <c r="M124" i="51"/>
  <c r="M125" i="51"/>
  <c r="M126" i="51"/>
  <c r="M127" i="51"/>
  <c r="M128" i="51"/>
  <c r="M129" i="51"/>
  <c r="M130" i="51"/>
  <c r="M131" i="51"/>
  <c r="M132" i="51"/>
  <c r="M133" i="51"/>
  <c r="M134" i="51"/>
  <c r="M135" i="51"/>
  <c r="M136" i="51"/>
  <c r="M137" i="51"/>
  <c r="M138" i="51"/>
  <c r="M139" i="51"/>
  <c r="M140" i="51"/>
  <c r="M141" i="51"/>
  <c r="M142" i="51"/>
  <c r="M143" i="51"/>
  <c r="M144" i="51"/>
  <c r="M145" i="51"/>
  <c r="M146" i="51"/>
  <c r="M147" i="51"/>
  <c r="M148" i="51"/>
  <c r="M149" i="51"/>
  <c r="M150" i="51"/>
  <c r="M151" i="51"/>
  <c r="M152" i="51"/>
  <c r="M153" i="51"/>
  <c r="M154" i="51"/>
  <c r="M155" i="51"/>
  <c r="M156" i="51"/>
  <c r="M157" i="51"/>
  <c r="M158" i="51"/>
  <c r="M159" i="51"/>
  <c r="M160" i="51"/>
  <c r="M161" i="51"/>
  <c r="M162" i="51"/>
  <c r="M163" i="51"/>
  <c r="M164" i="51"/>
  <c r="M165" i="51"/>
  <c r="M166" i="51"/>
  <c r="M167" i="51"/>
  <c r="M168" i="51"/>
  <c r="M169" i="51"/>
  <c r="M170" i="51"/>
  <c r="M171" i="51"/>
  <c r="M172" i="51"/>
  <c r="M173" i="51"/>
  <c r="M174" i="51"/>
  <c r="M175" i="51"/>
  <c r="M176" i="51"/>
  <c r="M177" i="51"/>
  <c r="M178" i="51"/>
  <c r="M179" i="51"/>
  <c r="M180" i="51"/>
  <c r="M181" i="51"/>
  <c r="M182" i="51"/>
  <c r="M183" i="51"/>
  <c r="M184" i="51"/>
  <c r="M185" i="51"/>
  <c r="M186" i="51"/>
  <c r="M187" i="51"/>
  <c r="M188" i="51"/>
  <c r="M189" i="51"/>
  <c r="M190" i="51"/>
  <c r="M191" i="51"/>
  <c r="M192" i="51"/>
  <c r="M193" i="51"/>
  <c r="M194" i="51"/>
  <c r="M195" i="51"/>
  <c r="M196" i="51"/>
  <c r="M197" i="51"/>
  <c r="M198" i="51"/>
  <c r="M199" i="51"/>
  <c r="M200" i="51"/>
  <c r="M201" i="51"/>
  <c r="M202" i="51"/>
  <c r="M203" i="51"/>
  <c r="M204" i="51"/>
  <c r="M205" i="51"/>
  <c r="M206" i="51"/>
  <c r="M207" i="51"/>
  <c r="M208" i="51"/>
  <c r="M209" i="51"/>
  <c r="M210" i="51"/>
  <c r="M211" i="51"/>
  <c r="M212" i="51"/>
  <c r="M213" i="51"/>
  <c r="M214" i="51"/>
  <c r="M215" i="51"/>
  <c r="M216" i="51"/>
  <c r="M217" i="51"/>
  <c r="M218" i="51"/>
  <c r="M219" i="51"/>
  <c r="M220" i="51"/>
  <c r="M221" i="51"/>
  <c r="M222" i="51"/>
  <c r="M223" i="51"/>
  <c r="M224" i="51"/>
  <c r="M225" i="51"/>
  <c r="M226" i="51"/>
  <c r="M227" i="51"/>
  <c r="M228" i="51"/>
  <c r="M229" i="51"/>
  <c r="M230" i="51"/>
  <c r="M231" i="51"/>
  <c r="M232" i="51"/>
  <c r="M233" i="51"/>
  <c r="M234" i="51"/>
  <c r="M235" i="51"/>
  <c r="M236" i="51"/>
  <c r="M237" i="51"/>
  <c r="M238" i="51"/>
  <c r="M239" i="51"/>
  <c r="M240" i="51"/>
  <c r="M241" i="51"/>
  <c r="M242" i="51"/>
  <c r="M243" i="51"/>
  <c r="M244" i="51"/>
  <c r="M245" i="51"/>
  <c r="M246" i="51"/>
  <c r="N7" i="51"/>
  <c r="N8" i="51"/>
  <c r="N9" i="51"/>
  <c r="N10" i="51"/>
  <c r="N11" i="51"/>
  <c r="N12" i="51"/>
  <c r="N13" i="51"/>
  <c r="N14" i="51"/>
  <c r="N15" i="51"/>
  <c r="N16" i="51"/>
  <c r="N17" i="51"/>
  <c r="N18" i="51"/>
  <c r="N19" i="51"/>
  <c r="N20" i="51"/>
  <c r="N21" i="51"/>
  <c r="N22" i="51"/>
  <c r="N23" i="51"/>
  <c r="N24" i="51"/>
  <c r="N25" i="51"/>
  <c r="N26" i="51"/>
  <c r="N27" i="51"/>
  <c r="N28" i="51"/>
  <c r="N29" i="51"/>
  <c r="N30" i="51"/>
  <c r="N31" i="51"/>
  <c r="N32" i="51"/>
  <c r="N33" i="51"/>
  <c r="N34" i="51"/>
  <c r="N35" i="51"/>
  <c r="N36" i="51"/>
  <c r="N37" i="51"/>
  <c r="N38" i="51"/>
  <c r="N39" i="51"/>
  <c r="N40" i="51"/>
  <c r="N41" i="51"/>
  <c r="N42" i="51"/>
  <c r="N43" i="51"/>
  <c r="N44" i="51"/>
  <c r="N45" i="51"/>
  <c r="N46" i="51"/>
  <c r="N47" i="51"/>
  <c r="N48" i="51"/>
  <c r="N49" i="51"/>
  <c r="N50" i="51"/>
  <c r="N51" i="51"/>
  <c r="N52" i="51"/>
  <c r="N53" i="51"/>
  <c r="N54" i="51"/>
  <c r="N55" i="51"/>
  <c r="N56" i="51"/>
  <c r="N57" i="51"/>
  <c r="N58" i="51"/>
  <c r="N59" i="51"/>
  <c r="N60" i="51"/>
  <c r="N61" i="51"/>
  <c r="N62" i="51"/>
  <c r="N63" i="51"/>
  <c r="N64" i="51"/>
  <c r="N65" i="51"/>
  <c r="N66" i="51"/>
  <c r="N67" i="51"/>
  <c r="N68" i="51"/>
  <c r="N69" i="51"/>
  <c r="N70" i="51"/>
  <c r="N71" i="51"/>
  <c r="N72" i="51"/>
  <c r="N73" i="51"/>
  <c r="N74" i="51"/>
  <c r="N75" i="51"/>
  <c r="N76" i="51"/>
  <c r="N77" i="51"/>
  <c r="N78" i="51"/>
  <c r="N79" i="51"/>
  <c r="N80" i="51"/>
  <c r="N81" i="51"/>
  <c r="N82" i="51"/>
  <c r="N83" i="51"/>
  <c r="N84" i="51"/>
  <c r="N85" i="51"/>
  <c r="N86" i="51"/>
  <c r="N87" i="51"/>
  <c r="N88" i="51"/>
  <c r="N89" i="51"/>
  <c r="N90" i="51"/>
  <c r="N91" i="51"/>
  <c r="N92" i="51"/>
  <c r="N93" i="51"/>
  <c r="N94" i="51"/>
  <c r="N95" i="51"/>
  <c r="N96" i="51"/>
  <c r="N97" i="51"/>
  <c r="N98" i="51"/>
  <c r="N99" i="51"/>
  <c r="N100" i="51"/>
  <c r="N101" i="51"/>
  <c r="N102" i="51"/>
  <c r="N103" i="51"/>
  <c r="N104" i="51"/>
  <c r="N105" i="51"/>
  <c r="N106" i="51"/>
  <c r="N107" i="51"/>
  <c r="N108" i="51"/>
  <c r="N109" i="51"/>
  <c r="N110" i="51"/>
  <c r="N111" i="51"/>
  <c r="N112" i="51"/>
  <c r="N113" i="51"/>
  <c r="N114" i="51"/>
  <c r="N115" i="51"/>
  <c r="N116" i="51"/>
  <c r="N117" i="51"/>
  <c r="N118" i="51"/>
  <c r="N119" i="51"/>
  <c r="N120" i="51"/>
  <c r="N121" i="51"/>
  <c r="N122" i="51"/>
  <c r="N123" i="51"/>
  <c r="N124" i="51"/>
  <c r="N125" i="51"/>
  <c r="N126" i="51"/>
  <c r="N127" i="51"/>
  <c r="N128" i="51"/>
  <c r="N129" i="51"/>
  <c r="N130" i="51"/>
  <c r="N131" i="51"/>
  <c r="N132" i="51"/>
  <c r="N133" i="51"/>
  <c r="N134" i="51"/>
  <c r="N135" i="51"/>
  <c r="N136" i="51"/>
  <c r="N137" i="51"/>
  <c r="N138" i="51"/>
  <c r="N139" i="51"/>
  <c r="N140" i="51"/>
  <c r="N141" i="51"/>
  <c r="N142" i="51"/>
  <c r="N143" i="51"/>
  <c r="N144" i="51"/>
  <c r="N145" i="51"/>
  <c r="N146" i="51"/>
  <c r="N147" i="51"/>
  <c r="N148" i="51"/>
  <c r="N149" i="51"/>
  <c r="N150" i="51"/>
  <c r="N151" i="51"/>
  <c r="N152" i="51"/>
  <c r="N153" i="51"/>
  <c r="N154" i="51"/>
  <c r="N155" i="51"/>
  <c r="N156" i="51"/>
  <c r="N157" i="51"/>
  <c r="N158" i="51"/>
  <c r="N159" i="51"/>
  <c r="N160" i="51"/>
  <c r="N161" i="51"/>
  <c r="N162" i="51"/>
  <c r="N163" i="51"/>
  <c r="N164" i="51"/>
  <c r="N165" i="51"/>
  <c r="N166" i="51"/>
  <c r="N167" i="51"/>
  <c r="N168" i="51"/>
  <c r="N169" i="51"/>
  <c r="N170" i="51"/>
  <c r="N171" i="51"/>
  <c r="N172" i="51"/>
  <c r="N173" i="51"/>
  <c r="N174" i="51"/>
  <c r="N175" i="51"/>
  <c r="N176" i="51"/>
  <c r="N177" i="51"/>
  <c r="N178" i="51"/>
  <c r="N179" i="51"/>
  <c r="N180" i="51"/>
  <c r="N181" i="51"/>
  <c r="N182" i="51"/>
  <c r="N183" i="51"/>
  <c r="N184" i="51"/>
  <c r="N185" i="51"/>
  <c r="N186" i="51"/>
  <c r="N187" i="51"/>
  <c r="N188" i="51"/>
  <c r="N189" i="51"/>
  <c r="N190" i="51"/>
  <c r="N191" i="51"/>
  <c r="N192" i="51"/>
  <c r="N193" i="51"/>
  <c r="N194" i="51"/>
  <c r="N195" i="51"/>
  <c r="N196" i="51"/>
  <c r="N197" i="51"/>
  <c r="N198" i="51"/>
  <c r="N199" i="51"/>
  <c r="N200" i="51"/>
  <c r="N201" i="51"/>
  <c r="N202" i="51"/>
  <c r="N203" i="51"/>
  <c r="N204" i="51"/>
  <c r="N205" i="51"/>
  <c r="N206" i="51"/>
  <c r="N207" i="51"/>
  <c r="N208" i="51"/>
  <c r="N209" i="51"/>
  <c r="N210" i="51"/>
  <c r="N211" i="51"/>
  <c r="N212" i="51"/>
  <c r="N213" i="51"/>
  <c r="N214" i="51"/>
  <c r="N215" i="51"/>
  <c r="N216" i="51"/>
  <c r="N217" i="51"/>
  <c r="N218" i="51"/>
  <c r="N219" i="51"/>
  <c r="N220" i="51"/>
  <c r="N221" i="51"/>
  <c r="N222" i="51"/>
  <c r="N223" i="51"/>
  <c r="N224" i="51"/>
  <c r="N225" i="51"/>
  <c r="N226" i="51"/>
  <c r="N227" i="51"/>
  <c r="N228" i="51"/>
  <c r="N229" i="51"/>
  <c r="N230" i="51"/>
  <c r="N231" i="51"/>
  <c r="N232" i="51"/>
  <c r="N233" i="51"/>
  <c r="N234" i="51"/>
  <c r="N235" i="51"/>
  <c r="N236" i="51"/>
  <c r="N237" i="51"/>
  <c r="N238" i="51"/>
  <c r="N239" i="51"/>
  <c r="N240" i="51"/>
  <c r="N241" i="51"/>
  <c r="N242" i="51"/>
  <c r="N243" i="51"/>
  <c r="N244" i="51"/>
  <c r="N245" i="51"/>
  <c r="N246" i="51"/>
  <c r="O7" i="51"/>
  <c r="O8" i="51"/>
  <c r="O9" i="51"/>
  <c r="O10" i="51"/>
  <c r="O11" i="51"/>
  <c r="O12" i="51"/>
  <c r="O13" i="51"/>
  <c r="O14" i="51"/>
  <c r="O15" i="51"/>
  <c r="O16" i="51"/>
  <c r="O17" i="51"/>
  <c r="O18" i="51"/>
  <c r="O19" i="51"/>
  <c r="O20" i="51"/>
  <c r="O21" i="51"/>
  <c r="O22" i="51"/>
  <c r="O23" i="51"/>
  <c r="O24" i="51"/>
  <c r="O25" i="51"/>
  <c r="O26" i="51"/>
  <c r="O27" i="51"/>
  <c r="O28" i="51"/>
  <c r="O29" i="51"/>
  <c r="O30" i="51"/>
  <c r="O31" i="51"/>
  <c r="O32" i="51"/>
  <c r="O33" i="51"/>
  <c r="O34" i="51"/>
  <c r="O35" i="51"/>
  <c r="O36" i="51"/>
  <c r="O37" i="51"/>
  <c r="O38" i="51"/>
  <c r="O39" i="51"/>
  <c r="O40" i="51"/>
  <c r="O41" i="51"/>
  <c r="O42" i="51"/>
  <c r="O43" i="51"/>
  <c r="O44" i="51"/>
  <c r="O45" i="51"/>
  <c r="O46" i="51"/>
  <c r="O47" i="51"/>
  <c r="O48" i="51"/>
  <c r="O49" i="51"/>
  <c r="O50" i="51"/>
  <c r="O51" i="51"/>
  <c r="O52" i="51"/>
  <c r="O53" i="51"/>
  <c r="O54" i="51"/>
  <c r="O55" i="51"/>
  <c r="O56" i="51"/>
  <c r="O57" i="51"/>
  <c r="O58" i="51"/>
  <c r="O59" i="51"/>
  <c r="O60" i="51"/>
  <c r="O61" i="51"/>
  <c r="O62" i="51"/>
  <c r="O63" i="51"/>
  <c r="O64" i="51"/>
  <c r="O65" i="51"/>
  <c r="O66" i="51"/>
  <c r="O67" i="51"/>
  <c r="O68" i="51"/>
  <c r="O69" i="51"/>
  <c r="O70" i="51"/>
  <c r="O71" i="51"/>
  <c r="O72" i="51"/>
  <c r="O73" i="51"/>
  <c r="O74" i="51"/>
  <c r="O75" i="51"/>
  <c r="O76" i="51"/>
  <c r="O77" i="51"/>
  <c r="O78" i="51"/>
  <c r="O79" i="51"/>
  <c r="O80" i="51"/>
  <c r="O81" i="51"/>
  <c r="O82" i="51"/>
  <c r="O83" i="51"/>
  <c r="O84" i="51"/>
  <c r="O85" i="51"/>
  <c r="O86" i="51"/>
  <c r="O87" i="51"/>
  <c r="O88" i="51"/>
  <c r="O89" i="51"/>
  <c r="O90" i="51"/>
  <c r="O91" i="51"/>
  <c r="O92" i="51"/>
  <c r="O93" i="51"/>
  <c r="O94" i="51"/>
  <c r="O95" i="51"/>
  <c r="O96" i="51"/>
  <c r="O97" i="51"/>
  <c r="O98" i="51"/>
  <c r="O99" i="51"/>
  <c r="O100" i="51"/>
  <c r="O101" i="51"/>
  <c r="O102" i="51"/>
  <c r="O103" i="51"/>
  <c r="O104" i="51"/>
  <c r="O105" i="51"/>
  <c r="O106" i="51"/>
  <c r="O107" i="51"/>
  <c r="O108" i="51"/>
  <c r="O109" i="51"/>
  <c r="O110" i="51"/>
  <c r="O111" i="51"/>
  <c r="O112" i="51"/>
  <c r="O113" i="51"/>
  <c r="O114" i="51"/>
  <c r="O115" i="51"/>
  <c r="O116" i="51"/>
  <c r="O117" i="51"/>
  <c r="O118" i="51"/>
  <c r="O119" i="51"/>
  <c r="O120" i="51"/>
  <c r="O121" i="51"/>
  <c r="O122" i="51"/>
  <c r="O123" i="51"/>
  <c r="O124" i="51"/>
  <c r="O125" i="51"/>
  <c r="O126" i="51"/>
  <c r="O127" i="51"/>
  <c r="O128" i="51"/>
  <c r="O129" i="51"/>
  <c r="O130" i="51"/>
  <c r="O131" i="51"/>
  <c r="O132" i="51"/>
  <c r="O133" i="51"/>
  <c r="O134" i="51"/>
  <c r="O135" i="51"/>
  <c r="O136" i="51"/>
  <c r="O137" i="51"/>
  <c r="O138" i="51"/>
  <c r="O139" i="51"/>
  <c r="O140" i="51"/>
  <c r="O141" i="51"/>
  <c r="O142" i="51"/>
  <c r="O143" i="51"/>
  <c r="O144" i="51"/>
  <c r="O145" i="51"/>
  <c r="O146" i="51"/>
  <c r="O147" i="51"/>
  <c r="O148" i="51"/>
  <c r="O149" i="51"/>
  <c r="O150" i="51"/>
  <c r="O151" i="51"/>
  <c r="O152" i="51"/>
  <c r="O153" i="51"/>
  <c r="O154" i="51"/>
  <c r="O155" i="51"/>
  <c r="O156" i="51"/>
  <c r="O157" i="51"/>
  <c r="O158" i="51"/>
  <c r="O159" i="51"/>
  <c r="O160" i="51"/>
  <c r="O161" i="51"/>
  <c r="O162" i="51"/>
  <c r="O163" i="51"/>
  <c r="O164" i="51"/>
  <c r="O165" i="51"/>
  <c r="O166" i="51"/>
  <c r="O167" i="51"/>
  <c r="O168" i="51"/>
  <c r="O169" i="51"/>
  <c r="O170" i="51"/>
  <c r="O171" i="51"/>
  <c r="O172" i="51"/>
  <c r="O173" i="51"/>
  <c r="O174" i="51"/>
  <c r="O175" i="51"/>
  <c r="O176" i="51"/>
  <c r="O177" i="51"/>
  <c r="O178" i="51"/>
  <c r="O179" i="51"/>
  <c r="O180" i="51"/>
  <c r="O181" i="51"/>
  <c r="O182" i="51"/>
  <c r="O183" i="51"/>
  <c r="O184" i="51"/>
  <c r="O185" i="51"/>
  <c r="O186" i="51"/>
  <c r="O187" i="51"/>
  <c r="O188" i="51"/>
  <c r="O189" i="51"/>
  <c r="O190" i="51"/>
  <c r="O191" i="51"/>
  <c r="O192" i="51"/>
  <c r="O193" i="51"/>
  <c r="O194" i="51"/>
  <c r="O195" i="51"/>
  <c r="O196" i="51"/>
  <c r="O197" i="51"/>
  <c r="O198" i="51"/>
  <c r="O199" i="51"/>
  <c r="O200" i="51"/>
  <c r="O201" i="51"/>
  <c r="O202" i="51"/>
  <c r="O203" i="51"/>
  <c r="O204" i="51"/>
  <c r="O205" i="51"/>
  <c r="O206" i="51"/>
  <c r="O207" i="51"/>
  <c r="O208" i="51"/>
  <c r="O209" i="51"/>
  <c r="O210" i="51"/>
  <c r="O211" i="51"/>
  <c r="O212" i="51"/>
  <c r="O213" i="51"/>
  <c r="O214" i="51"/>
  <c r="O215" i="51"/>
  <c r="O216" i="51"/>
  <c r="O217" i="51"/>
  <c r="O218" i="51"/>
  <c r="O219" i="51"/>
  <c r="O220" i="51"/>
  <c r="O221" i="51"/>
  <c r="O222" i="51"/>
  <c r="O223" i="51"/>
  <c r="O224" i="51"/>
  <c r="O225" i="51"/>
  <c r="O226" i="51"/>
  <c r="O227" i="51"/>
  <c r="O228" i="51"/>
  <c r="O229" i="51"/>
  <c r="O230" i="51"/>
  <c r="O231" i="51"/>
  <c r="O232" i="51"/>
  <c r="O233" i="51"/>
  <c r="O234" i="51"/>
  <c r="O235" i="51"/>
  <c r="O236" i="51"/>
  <c r="O237" i="51"/>
  <c r="O238" i="51"/>
  <c r="O239" i="51"/>
  <c r="O240" i="51"/>
  <c r="O241" i="51"/>
  <c r="O242" i="51"/>
  <c r="O243" i="51"/>
  <c r="O244" i="51"/>
  <c r="O245" i="51"/>
  <c r="O246" i="51"/>
  <c r="K7" i="51"/>
  <c r="K8" i="51"/>
  <c r="K9" i="51"/>
  <c r="K10" i="51"/>
  <c r="K11" i="51"/>
  <c r="K12" i="51"/>
  <c r="K13" i="51"/>
  <c r="K14" i="51"/>
  <c r="K15" i="51"/>
  <c r="K16" i="51"/>
  <c r="K17" i="51"/>
  <c r="K18" i="51"/>
  <c r="K19" i="51"/>
  <c r="K20" i="51"/>
  <c r="K21" i="51"/>
  <c r="K22" i="51"/>
  <c r="K23" i="51"/>
  <c r="K24" i="51"/>
  <c r="K25" i="51"/>
  <c r="K26" i="51"/>
  <c r="K27" i="51"/>
  <c r="K28" i="51"/>
  <c r="K29" i="51"/>
  <c r="K30" i="51"/>
  <c r="K31" i="51"/>
  <c r="K32" i="51"/>
  <c r="K33" i="51"/>
  <c r="K34" i="51"/>
  <c r="K35" i="51"/>
  <c r="K36" i="51"/>
  <c r="K37" i="51"/>
  <c r="K38" i="51"/>
  <c r="K39" i="51"/>
  <c r="K40" i="51"/>
  <c r="K41" i="51"/>
  <c r="K42" i="51"/>
  <c r="K43" i="51"/>
  <c r="K44" i="51"/>
  <c r="K45" i="51"/>
  <c r="K46" i="51"/>
  <c r="K47" i="51"/>
  <c r="K48" i="51"/>
  <c r="K49" i="51"/>
  <c r="K50" i="51"/>
  <c r="K51" i="51"/>
  <c r="K52" i="51"/>
  <c r="K53" i="51"/>
  <c r="K54" i="51"/>
  <c r="K55" i="51"/>
  <c r="K56" i="51"/>
  <c r="K57" i="51"/>
  <c r="K58" i="51"/>
  <c r="K59" i="51"/>
  <c r="K60" i="51"/>
  <c r="K61" i="51"/>
  <c r="K62" i="51"/>
  <c r="K63" i="51"/>
  <c r="K64" i="51"/>
  <c r="K65" i="51"/>
  <c r="K66" i="51"/>
  <c r="K67" i="51"/>
  <c r="K68" i="51"/>
  <c r="K69" i="51"/>
  <c r="K70" i="51"/>
  <c r="K71" i="51"/>
  <c r="K72" i="51"/>
  <c r="K73" i="51"/>
  <c r="K74" i="51"/>
  <c r="K75" i="51"/>
  <c r="K76" i="51"/>
  <c r="K77" i="51"/>
  <c r="K78" i="51"/>
  <c r="K79" i="51"/>
  <c r="K80" i="51"/>
  <c r="K81" i="51"/>
  <c r="K82" i="51"/>
  <c r="K83" i="51"/>
  <c r="K84" i="51"/>
  <c r="K85" i="51"/>
  <c r="K86" i="51"/>
  <c r="K87" i="51"/>
  <c r="K88" i="51"/>
  <c r="K89" i="51"/>
  <c r="K90" i="51"/>
  <c r="K91" i="51"/>
  <c r="K92" i="51"/>
  <c r="K93" i="51"/>
  <c r="K94" i="51"/>
  <c r="K95" i="51"/>
  <c r="K96" i="51"/>
  <c r="K97" i="51"/>
  <c r="K98" i="51"/>
  <c r="K99" i="51"/>
  <c r="K100" i="51"/>
  <c r="K101" i="51"/>
  <c r="K102" i="51"/>
  <c r="K103" i="51"/>
  <c r="K104" i="51"/>
  <c r="K105" i="51"/>
  <c r="K106" i="51"/>
  <c r="K107" i="51"/>
  <c r="K108" i="51"/>
  <c r="K109" i="51"/>
  <c r="K110" i="51"/>
  <c r="K111" i="51"/>
  <c r="K112" i="51"/>
  <c r="K113" i="51"/>
  <c r="K114" i="51"/>
  <c r="K115" i="51"/>
  <c r="K116" i="51"/>
  <c r="K117" i="51"/>
  <c r="K118" i="51"/>
  <c r="K119" i="51"/>
  <c r="K120" i="51"/>
  <c r="K121" i="51"/>
  <c r="K122" i="51"/>
  <c r="K123" i="51"/>
  <c r="K124" i="51"/>
  <c r="K125" i="51"/>
  <c r="K126" i="51"/>
  <c r="K127" i="51"/>
  <c r="K128" i="51"/>
  <c r="K129" i="51"/>
  <c r="K130" i="51"/>
  <c r="K131" i="51"/>
  <c r="K132" i="51"/>
  <c r="K133" i="51"/>
  <c r="K134" i="51"/>
  <c r="K135" i="51"/>
  <c r="K136" i="51"/>
  <c r="K137" i="51"/>
  <c r="K138" i="51"/>
  <c r="K139" i="51"/>
  <c r="K140" i="51"/>
  <c r="K141" i="51"/>
  <c r="K142" i="51"/>
  <c r="K143" i="51"/>
  <c r="K144" i="51"/>
  <c r="K145" i="51"/>
  <c r="K146" i="51"/>
  <c r="K147" i="51"/>
  <c r="K148" i="51"/>
  <c r="K149" i="51"/>
  <c r="K150" i="51"/>
  <c r="K151" i="51"/>
  <c r="K152" i="51"/>
  <c r="K153" i="51"/>
  <c r="K154" i="51"/>
  <c r="K155" i="51"/>
  <c r="K156" i="51"/>
  <c r="K157" i="51"/>
  <c r="K158" i="51"/>
  <c r="K159" i="51"/>
  <c r="K160" i="51"/>
  <c r="K161" i="51"/>
  <c r="K162" i="51"/>
  <c r="K163" i="51"/>
  <c r="K164" i="51"/>
  <c r="K165" i="51"/>
  <c r="K166" i="51"/>
  <c r="K167" i="51"/>
  <c r="K168" i="51"/>
  <c r="K169" i="51"/>
  <c r="K170" i="51"/>
  <c r="K171" i="51"/>
  <c r="K172" i="51"/>
  <c r="K173" i="51"/>
  <c r="K174" i="51"/>
  <c r="K175" i="51"/>
  <c r="K176" i="51"/>
  <c r="K177" i="51"/>
  <c r="K178" i="51"/>
  <c r="K179" i="51"/>
  <c r="K180" i="51"/>
  <c r="K181" i="51"/>
  <c r="K182" i="51"/>
  <c r="K183" i="51"/>
  <c r="K184" i="51"/>
  <c r="K185" i="51"/>
  <c r="K186" i="51"/>
  <c r="K187" i="51"/>
  <c r="K188" i="51"/>
  <c r="K189" i="51"/>
  <c r="K190" i="51"/>
  <c r="K191" i="51"/>
  <c r="K192" i="51"/>
  <c r="K193" i="51"/>
  <c r="K194" i="51"/>
  <c r="K195" i="51"/>
  <c r="K196" i="51"/>
  <c r="K197" i="51"/>
  <c r="K198" i="51"/>
  <c r="K199" i="51"/>
  <c r="K200" i="51"/>
  <c r="K201" i="51"/>
  <c r="K202" i="51"/>
  <c r="K203" i="51"/>
  <c r="K204" i="51"/>
  <c r="K205" i="51"/>
  <c r="K206" i="51"/>
  <c r="K207" i="51"/>
  <c r="K208" i="51"/>
  <c r="K209" i="51"/>
  <c r="K210" i="51"/>
  <c r="K211" i="51"/>
  <c r="K212" i="51"/>
  <c r="K213" i="51"/>
  <c r="K214" i="51"/>
  <c r="K215" i="51"/>
  <c r="K216" i="51"/>
  <c r="K217" i="51"/>
  <c r="K218" i="51"/>
  <c r="K219" i="51"/>
  <c r="K220" i="51"/>
  <c r="K221" i="51"/>
  <c r="K222" i="51"/>
  <c r="K223" i="51"/>
  <c r="K224" i="51"/>
  <c r="K225" i="51"/>
  <c r="K226" i="51"/>
  <c r="K227" i="51"/>
  <c r="K228" i="51"/>
  <c r="K229" i="51"/>
  <c r="K230" i="51"/>
  <c r="K231" i="51"/>
  <c r="K232" i="51"/>
  <c r="K233" i="51"/>
  <c r="K234" i="51"/>
  <c r="K235" i="51"/>
  <c r="K236" i="51"/>
  <c r="K237" i="51"/>
  <c r="K238" i="51"/>
  <c r="K239" i="51"/>
  <c r="K240" i="51"/>
  <c r="K241" i="51"/>
  <c r="K242" i="51"/>
  <c r="K243" i="51"/>
  <c r="K244" i="51"/>
  <c r="K245" i="51"/>
  <c r="K246" i="51"/>
  <c r="K115" i="50"/>
  <c r="K269" i="50"/>
  <c r="K258" i="50"/>
  <c r="K251" i="50"/>
  <c r="K247" i="50"/>
  <c r="K180" i="50"/>
  <c r="K179" i="50"/>
  <c r="K177" i="50"/>
  <c r="Q18" i="53"/>
  <c r="S32" i="53" s="1"/>
  <c r="S16" i="53"/>
  <c r="S15" i="53"/>
  <c r="S14" i="53"/>
  <c r="S13" i="53"/>
  <c r="S12" i="53"/>
  <c r="S11" i="53"/>
  <c r="S10" i="53"/>
  <c r="S9" i="53"/>
  <c r="S8" i="53"/>
  <c r="S7" i="53"/>
  <c r="K2" i="52"/>
  <c r="L2" i="52" s="1"/>
  <c r="J2" i="52"/>
  <c r="A3" i="50"/>
  <c r="K7" i="50"/>
  <c r="K8" i="50"/>
  <c r="K14" i="50"/>
  <c r="K15" i="50"/>
  <c r="K18" i="50"/>
  <c r="K19" i="50"/>
  <c r="K20" i="50"/>
  <c r="K22" i="50"/>
  <c r="K24" i="50"/>
  <c r="K25" i="50"/>
  <c r="K26" i="50"/>
  <c r="K27" i="50"/>
  <c r="K28" i="50"/>
  <c r="K29" i="50"/>
  <c r="K30" i="50"/>
  <c r="K31" i="50"/>
  <c r="K34" i="50"/>
  <c r="K36" i="50"/>
  <c r="K38" i="50"/>
  <c r="K40" i="50"/>
  <c r="K41" i="50"/>
  <c r="K42" i="50"/>
  <c r="K43" i="50"/>
  <c r="K44" i="50"/>
  <c r="K45" i="50"/>
  <c r="K46" i="50"/>
  <c r="K47" i="50"/>
  <c r="K49" i="50"/>
  <c r="K50" i="50"/>
  <c r="K51" i="50"/>
  <c r="K52" i="50"/>
  <c r="K53" i="50"/>
  <c r="K54" i="50"/>
  <c r="K56" i="50"/>
  <c r="K57" i="50"/>
  <c r="K58" i="50"/>
  <c r="K60" i="50"/>
  <c r="K61" i="50"/>
  <c r="K63" i="50"/>
  <c r="K65" i="50"/>
  <c r="K68" i="50"/>
  <c r="K69" i="50"/>
  <c r="K70" i="50"/>
  <c r="K71" i="50"/>
  <c r="K75" i="50"/>
  <c r="K76" i="50"/>
  <c r="K77" i="50"/>
  <c r="K78" i="50"/>
  <c r="K79" i="50"/>
  <c r="K80" i="50"/>
  <c r="K81" i="50"/>
  <c r="K82" i="50"/>
  <c r="K83" i="50"/>
  <c r="K84" i="50"/>
  <c r="K85" i="50"/>
  <c r="K86" i="50"/>
  <c r="K87" i="50"/>
  <c r="K88" i="50"/>
  <c r="K89" i="50"/>
  <c r="K90" i="50"/>
  <c r="K91" i="50"/>
  <c r="K92" i="50"/>
  <c r="K93" i="50"/>
  <c r="K94" i="50"/>
  <c r="K95" i="50"/>
  <c r="K96" i="50"/>
  <c r="K97" i="50"/>
  <c r="K98" i="50"/>
  <c r="K99" i="50"/>
  <c r="K100" i="50"/>
  <c r="K101" i="50"/>
  <c r="K102" i="50"/>
  <c r="K103" i="50"/>
  <c r="K104" i="50"/>
  <c r="K106" i="50"/>
  <c r="K107" i="50"/>
  <c r="K108" i="50"/>
  <c r="K109" i="50"/>
  <c r="K110" i="50"/>
  <c r="K112" i="50"/>
  <c r="K113" i="50"/>
  <c r="K114" i="50"/>
  <c r="K118" i="50"/>
  <c r="K119" i="50"/>
  <c r="K124" i="50"/>
  <c r="K125" i="50"/>
  <c r="K126" i="50"/>
  <c r="K127" i="50"/>
  <c r="K129" i="50"/>
  <c r="K131" i="50"/>
  <c r="K134" i="50"/>
  <c r="K135" i="50"/>
  <c r="K137" i="50"/>
  <c r="K138" i="50"/>
  <c r="K139" i="50"/>
  <c r="K140" i="50"/>
  <c r="K143" i="50"/>
  <c r="K146" i="50"/>
  <c r="K147" i="50"/>
  <c r="K148" i="50"/>
  <c r="K149" i="50"/>
  <c r="K154" i="50"/>
  <c r="K155" i="50"/>
  <c r="K156" i="50"/>
  <c r="K158" i="50"/>
  <c r="K159" i="50"/>
  <c r="K160" i="50"/>
  <c r="K161" i="50"/>
  <c r="K162" i="50"/>
  <c r="K163" i="50"/>
  <c r="K164" i="50"/>
  <c r="K167" i="50"/>
  <c r="K168" i="50"/>
  <c r="K169" i="50"/>
  <c r="K170" i="50"/>
  <c r="K172" i="50"/>
  <c r="K178" i="50"/>
  <c r="K181" i="50"/>
  <c r="K183" i="50"/>
  <c r="K184" i="50"/>
  <c r="K185" i="50"/>
  <c r="K244" i="50"/>
  <c r="K245" i="50"/>
  <c r="K246" i="50"/>
  <c r="K250" i="50"/>
  <c r="K254" i="50"/>
  <c r="K255" i="50"/>
  <c r="K257" i="50"/>
  <c r="K259" i="50"/>
  <c r="K264" i="50"/>
  <c r="K267" i="50"/>
  <c r="K270" i="50"/>
  <c r="K271" i="50"/>
  <c r="K272" i="50"/>
  <c r="K273" i="50"/>
  <c r="K274" i="50"/>
  <c r="K275" i="50"/>
  <c r="K276" i="50"/>
  <c r="K277" i="50"/>
  <c r="K278" i="50"/>
  <c r="K279" i="50"/>
  <c r="K280" i="50"/>
  <c r="K281" i="50"/>
  <c r="K282" i="50"/>
  <c r="K283" i="50"/>
  <c r="K287" i="50"/>
  <c r="K288" i="50"/>
  <c r="K289" i="50"/>
  <c r="K290" i="50"/>
  <c r="K291" i="50"/>
  <c r="K292" i="50"/>
  <c r="K293" i="50"/>
  <c r="K294" i="50"/>
  <c r="K295" i="50"/>
  <c r="K296" i="50"/>
  <c r="K300" i="50"/>
  <c r="K301" i="50"/>
  <c r="K302" i="50"/>
  <c r="K303" i="50"/>
  <c r="K304" i="50"/>
  <c r="K306" i="50"/>
  <c r="K307" i="50"/>
  <c r="K308" i="50"/>
  <c r="K309" i="50"/>
  <c r="K310" i="50"/>
  <c r="K311" i="50"/>
  <c r="K312" i="50"/>
  <c r="K313" i="50"/>
  <c r="K314" i="50"/>
  <c r="K315" i="50"/>
  <c r="K316" i="50"/>
  <c r="K317" i="50"/>
  <c r="K318" i="50"/>
  <c r="K319" i="50"/>
  <c r="K320" i="50"/>
  <c r="K321" i="50"/>
  <c r="K322" i="50"/>
  <c r="K324" i="50"/>
  <c r="K325" i="50"/>
  <c r="K326" i="50"/>
  <c r="K327" i="50"/>
  <c r="K328" i="50"/>
  <c r="K329" i="50"/>
  <c r="K330" i="50"/>
  <c r="K331" i="50"/>
  <c r="K333" i="50"/>
  <c r="K334" i="50"/>
  <c r="K335" i="50"/>
  <c r="K336" i="50"/>
  <c r="K337" i="50"/>
  <c r="K338" i="50"/>
  <c r="K339" i="50"/>
  <c r="K340" i="50"/>
  <c r="K341" i="50"/>
  <c r="K342" i="50"/>
  <c r="K343" i="50"/>
  <c r="K344" i="50"/>
  <c r="K346" i="50"/>
  <c r="K347" i="50"/>
  <c r="K348" i="50"/>
  <c r="K351" i="50"/>
  <c r="K352" i="50"/>
  <c r="K353" i="50"/>
  <c r="K356" i="50"/>
  <c r="K357" i="50"/>
  <c r="K358" i="50"/>
  <c r="K359" i="50"/>
  <c r="K360" i="50"/>
  <c r="K361" i="50"/>
  <c r="K366" i="50"/>
  <c r="K367" i="50"/>
  <c r="K368" i="50"/>
  <c r="K369" i="50"/>
  <c r="K370" i="50"/>
  <c r="K371" i="50"/>
  <c r="K372" i="50"/>
  <c r="K373" i="50"/>
  <c r="K374" i="50"/>
  <c r="K375" i="50"/>
  <c r="K376" i="50"/>
  <c r="K377" i="50"/>
  <c r="K378" i="50"/>
  <c r="K379" i="50"/>
  <c r="K380" i="50"/>
  <c r="K381" i="50"/>
  <c r="K382" i="50"/>
  <c r="K384" i="50"/>
  <c r="K385" i="50"/>
  <c r="K386" i="50"/>
  <c r="K387" i="50"/>
  <c r="K388" i="50"/>
  <c r="L211" i="50" l="1"/>
  <c r="E44" i="51"/>
  <c r="E40" i="51"/>
  <c r="E212" i="51"/>
  <c r="E207" i="51"/>
  <c r="D207" i="51" s="1"/>
  <c r="E77" i="51"/>
  <c r="S24" i="53"/>
  <c r="L171" i="50"/>
  <c r="L117" i="50"/>
  <c r="L37" i="50"/>
  <c r="L33" i="50"/>
  <c r="A1" i="55"/>
  <c r="A1" i="51"/>
  <c r="A3" i="55"/>
  <c r="A3" i="51"/>
  <c r="E246" i="51"/>
  <c r="D246" i="51" s="1"/>
  <c r="L111" i="50"/>
  <c r="L13" i="50"/>
  <c r="L35" i="50"/>
  <c r="L64" i="50"/>
  <c r="L152" i="50"/>
  <c r="Q35" i="53"/>
  <c r="S50" i="53" s="1"/>
  <c r="S25" i="53"/>
  <c r="S26" i="53"/>
  <c r="S27" i="53"/>
  <c r="S28" i="53"/>
  <c r="S29" i="53"/>
  <c r="S30" i="53"/>
  <c r="S33" i="53"/>
  <c r="L23" i="50"/>
  <c r="L389" i="50"/>
  <c r="L268" i="50"/>
  <c r="L174" i="50"/>
  <c r="L220" i="50"/>
  <c r="L219" i="50"/>
  <c r="L123" i="50"/>
  <c r="L122" i="50"/>
  <c r="L266" i="50"/>
  <c r="L176" i="50"/>
  <c r="L173" i="50"/>
  <c r="L263" i="50"/>
  <c r="L249" i="50"/>
  <c r="L253" i="50"/>
  <c r="L166" i="50"/>
  <c r="L59" i="50"/>
  <c r="L67" i="50"/>
  <c r="L66" i="50"/>
  <c r="L136" i="50"/>
  <c r="L141" i="50"/>
  <c r="L133" i="50"/>
  <c r="L21" i="50"/>
  <c r="L74" i="50"/>
  <c r="L48" i="50"/>
  <c r="L39" i="50"/>
  <c r="L130" i="50"/>
  <c r="L142" i="50"/>
  <c r="L11" i="50"/>
  <c r="L12" i="50"/>
  <c r="L121" i="50"/>
  <c r="L265" i="50"/>
  <c r="L165" i="50"/>
  <c r="L252" i="50"/>
  <c r="L248" i="50"/>
  <c r="L73" i="50"/>
  <c r="L206" i="50"/>
  <c r="L225" i="50"/>
  <c r="L332" i="50"/>
  <c r="L261" i="50"/>
  <c r="L128" i="50"/>
  <c r="E241" i="51"/>
  <c r="L209" i="50"/>
  <c r="L201" i="50"/>
  <c r="L105" i="50"/>
  <c r="L17" i="50"/>
  <c r="L16" i="50"/>
  <c r="L32" i="50"/>
  <c r="L10" i="50"/>
  <c r="L9" i="50"/>
  <c r="L349" i="50"/>
  <c r="L72" i="50"/>
  <c r="L355" i="50"/>
  <c r="L132" i="50"/>
  <c r="L116" i="50"/>
  <c r="L241" i="50"/>
  <c r="L240" i="50"/>
  <c r="L237" i="50"/>
  <c r="L285" i="50"/>
  <c r="L187" i="50"/>
  <c r="L286" i="50"/>
  <c r="L256" i="50"/>
  <c r="L262" i="50"/>
  <c r="L157" i="50"/>
  <c r="L153" i="50"/>
  <c r="L150" i="50"/>
  <c r="L151" i="50"/>
  <c r="S43" i="53"/>
  <c r="S45" i="53"/>
  <c r="S48" i="53"/>
  <c r="S49" i="53"/>
  <c r="Q52" i="53"/>
  <c r="S61" i="53" s="1"/>
  <c r="S31" i="53"/>
  <c r="L305" i="50"/>
  <c r="L354" i="50"/>
  <c r="L144" i="50"/>
  <c r="L145" i="50"/>
  <c r="L388" i="50"/>
  <c r="L376" i="50"/>
  <c r="L345" i="50"/>
  <c r="L333" i="50"/>
  <c r="L320" i="50"/>
  <c r="L308" i="50"/>
  <c r="L299" i="50"/>
  <c r="L273" i="50"/>
  <c r="L254" i="50"/>
  <c r="L238" i="50"/>
  <c r="L226" i="50"/>
  <c r="L210" i="50"/>
  <c r="L195" i="50"/>
  <c r="L182" i="50"/>
  <c r="L164" i="50"/>
  <c r="L148" i="50"/>
  <c r="L112" i="50"/>
  <c r="L98" i="50"/>
  <c r="L86" i="50"/>
  <c r="L71" i="50"/>
  <c r="L55" i="50"/>
  <c r="L42" i="50"/>
  <c r="L26" i="50"/>
  <c r="L358" i="50"/>
  <c r="L330" i="50"/>
  <c r="L306" i="50"/>
  <c r="L271" i="50"/>
  <c r="L236" i="50"/>
  <c r="L207" i="50"/>
  <c r="L180" i="50"/>
  <c r="L146" i="50"/>
  <c r="L109" i="50"/>
  <c r="L84" i="50"/>
  <c r="L53" i="50"/>
  <c r="L40" i="50"/>
  <c r="L357" i="50"/>
  <c r="L317" i="50"/>
  <c r="L282" i="50"/>
  <c r="L235" i="50"/>
  <c r="L205" i="50"/>
  <c r="L161" i="50"/>
  <c r="L125" i="50"/>
  <c r="L83" i="50"/>
  <c r="L38" i="50"/>
  <c r="L384" i="50"/>
  <c r="L328" i="50"/>
  <c r="L304" i="50"/>
  <c r="L246" i="50"/>
  <c r="L191" i="50"/>
  <c r="L160" i="50"/>
  <c r="L94" i="50"/>
  <c r="L371" i="50"/>
  <c r="L315" i="50"/>
  <c r="L267" i="50"/>
  <c r="L203" i="50"/>
  <c r="L139" i="50"/>
  <c r="L81" i="50"/>
  <c r="L19" i="50"/>
  <c r="L352" i="50"/>
  <c r="L302" i="50"/>
  <c r="L232" i="50"/>
  <c r="L202" i="50"/>
  <c r="L138" i="50"/>
  <c r="L80" i="50"/>
  <c r="L18" i="50"/>
  <c r="L351" i="50"/>
  <c r="L301" i="50"/>
  <c r="L231" i="50"/>
  <c r="L156" i="50"/>
  <c r="L119" i="50"/>
  <c r="L61" i="50"/>
  <c r="L337" i="50"/>
  <c r="L289" i="50"/>
  <c r="L186" i="50"/>
  <c r="L118" i="50"/>
  <c r="L60" i="50"/>
  <c r="L336" i="50"/>
  <c r="L242" i="50"/>
  <c r="L198" i="50"/>
  <c r="L387" i="50"/>
  <c r="L375" i="50"/>
  <c r="L359" i="50"/>
  <c r="L344" i="50"/>
  <c r="L331" i="50"/>
  <c r="L319" i="50"/>
  <c r="L307" i="50"/>
  <c r="L296" i="50"/>
  <c r="L284" i="50"/>
  <c r="L272" i="50"/>
  <c r="L251" i="50"/>
  <c r="L224" i="50"/>
  <c r="L208" i="50"/>
  <c r="L194" i="50"/>
  <c r="L181" i="50"/>
  <c r="L163" i="50"/>
  <c r="L147" i="50"/>
  <c r="L127" i="50"/>
  <c r="L110" i="50"/>
  <c r="L97" i="50"/>
  <c r="L85" i="50"/>
  <c r="L70" i="50"/>
  <c r="L54" i="50"/>
  <c r="L41" i="50"/>
  <c r="L25" i="50"/>
  <c r="L374" i="50"/>
  <c r="L343" i="50"/>
  <c r="L318" i="50"/>
  <c r="L295" i="50"/>
  <c r="L283" i="50"/>
  <c r="L250" i="50"/>
  <c r="L223" i="50"/>
  <c r="L193" i="50"/>
  <c r="L162" i="50"/>
  <c r="L126" i="50"/>
  <c r="L96" i="50"/>
  <c r="L69" i="50"/>
  <c r="L24" i="50"/>
  <c r="L373" i="50"/>
  <c r="L270" i="50"/>
  <c r="L222" i="50"/>
  <c r="L179" i="50"/>
  <c r="L108" i="50"/>
  <c r="L68" i="50"/>
  <c r="L22" i="50"/>
  <c r="L372" i="50"/>
  <c r="L316" i="50"/>
  <c r="L269" i="50"/>
  <c r="L204" i="50"/>
  <c r="L140" i="50"/>
  <c r="L65" i="50"/>
  <c r="L353" i="50"/>
  <c r="L292" i="50"/>
  <c r="L233" i="50"/>
  <c r="L177" i="50"/>
  <c r="L106" i="50"/>
  <c r="L63" i="50"/>
  <c r="L339" i="50"/>
  <c r="L291" i="50"/>
  <c r="L244" i="50"/>
  <c r="L189" i="50"/>
  <c r="L104" i="50"/>
  <c r="L49" i="50"/>
  <c r="L369" i="50"/>
  <c r="L313" i="50"/>
  <c r="L260" i="50"/>
  <c r="L188" i="50"/>
  <c r="L103" i="50"/>
  <c r="L47" i="50"/>
  <c r="L368" i="50"/>
  <c r="L324" i="50"/>
  <c r="L259" i="50"/>
  <c r="L199" i="50"/>
  <c r="L135" i="50"/>
  <c r="L90" i="50"/>
  <c r="L30" i="50"/>
  <c r="L367" i="50"/>
  <c r="L288" i="50"/>
  <c r="L229" i="50"/>
  <c r="L169" i="50"/>
  <c r="L89" i="50"/>
  <c r="L386" i="50"/>
  <c r="L385" i="50"/>
  <c r="L342" i="50"/>
  <c r="L329" i="50"/>
  <c r="L294" i="50"/>
  <c r="L247" i="50"/>
  <c r="L192" i="50"/>
  <c r="L143" i="50"/>
  <c r="L95" i="50"/>
  <c r="L52" i="50"/>
  <c r="L356" i="50"/>
  <c r="L281" i="50"/>
  <c r="L234" i="50"/>
  <c r="L178" i="50"/>
  <c r="L107" i="50"/>
  <c r="L51" i="50"/>
  <c r="L383" i="50"/>
  <c r="L327" i="50"/>
  <c r="L280" i="50"/>
  <c r="L218" i="50"/>
  <c r="L159" i="50"/>
  <c r="L93" i="50"/>
  <c r="L36" i="50"/>
  <c r="L370" i="50"/>
  <c r="L326" i="50"/>
  <c r="L279" i="50"/>
  <c r="L217" i="50"/>
  <c r="L158" i="50"/>
  <c r="L92" i="50"/>
  <c r="L34" i="50"/>
  <c r="L381" i="50"/>
  <c r="L325" i="50"/>
  <c r="L278" i="50"/>
  <c r="L200" i="50"/>
  <c r="L137" i="50"/>
  <c r="L79" i="50"/>
  <c r="L15" i="50"/>
  <c r="L350" i="50"/>
  <c r="L300" i="50"/>
  <c r="L277" i="50"/>
  <c r="L230" i="50"/>
  <c r="L170" i="50"/>
  <c r="L102" i="50"/>
  <c r="L46" i="50"/>
  <c r="L379" i="50"/>
  <c r="L323" i="50"/>
  <c r="L276" i="50"/>
  <c r="L214" i="50"/>
  <c r="L154" i="50"/>
  <c r="L101" i="50"/>
  <c r="L216" i="50"/>
  <c r="L378" i="50"/>
  <c r="L366" i="50"/>
  <c r="L347" i="50"/>
  <c r="L335" i="50"/>
  <c r="L322" i="50"/>
  <c r="L310" i="50"/>
  <c r="L298" i="50"/>
  <c r="L287" i="50"/>
  <c r="L275" i="50"/>
  <c r="L257" i="50"/>
  <c r="L228" i="50"/>
  <c r="L213" i="50"/>
  <c r="L197" i="50"/>
  <c r="L184" i="50"/>
  <c r="L168" i="50"/>
  <c r="L131" i="50"/>
  <c r="L114" i="50"/>
  <c r="L100" i="50"/>
  <c r="L88" i="50"/>
  <c r="L76" i="50"/>
  <c r="L57" i="50"/>
  <c r="L44" i="50"/>
  <c r="L28" i="50"/>
  <c r="L8" i="50"/>
  <c r="L377" i="50"/>
  <c r="L346" i="50"/>
  <c r="L334" i="50"/>
  <c r="L321" i="50"/>
  <c r="L309" i="50"/>
  <c r="L297" i="50"/>
  <c r="L274" i="50"/>
  <c r="L255" i="50"/>
  <c r="L239" i="50"/>
  <c r="L227" i="50"/>
  <c r="L212" i="50"/>
  <c r="L196" i="50"/>
  <c r="L183" i="50"/>
  <c r="L167" i="50"/>
  <c r="L149" i="50"/>
  <c r="L129" i="50"/>
  <c r="L113" i="50"/>
  <c r="L99" i="50"/>
  <c r="L87" i="50"/>
  <c r="L75" i="50"/>
  <c r="L56" i="50"/>
  <c r="L43" i="50"/>
  <c r="L27" i="50"/>
  <c r="L341" i="50"/>
  <c r="L293" i="50"/>
  <c r="L221" i="50"/>
  <c r="L124" i="50"/>
  <c r="L82" i="50"/>
  <c r="L20" i="50"/>
  <c r="L340" i="50"/>
  <c r="L303" i="50"/>
  <c r="L245" i="50"/>
  <c r="L190" i="50"/>
  <c r="L50" i="50"/>
  <c r="L382" i="50"/>
  <c r="L314" i="50"/>
  <c r="L264" i="50"/>
  <c r="L175" i="50"/>
  <c r="L120" i="50"/>
  <c r="L62" i="50"/>
  <c r="L338" i="50"/>
  <c r="L290" i="50"/>
  <c r="L243" i="50"/>
  <c r="L172" i="50"/>
  <c r="L91" i="50"/>
  <c r="L31" i="50"/>
  <c r="L380" i="50"/>
  <c r="L312" i="50"/>
  <c r="L215" i="50"/>
  <c r="L155" i="50"/>
  <c r="L78" i="50"/>
  <c r="L14" i="50"/>
  <c r="L348" i="50"/>
  <c r="L311" i="50"/>
  <c r="L258" i="50"/>
  <c r="L185" i="50"/>
  <c r="L134" i="50"/>
  <c r="L115" i="50"/>
  <c r="L77" i="50"/>
  <c r="L29" i="50"/>
  <c r="L58" i="50"/>
  <c r="L45" i="50"/>
  <c r="H53" i="51"/>
  <c r="H200" i="51"/>
  <c r="H201" i="51"/>
  <c r="H206" i="51"/>
  <c r="H203" i="51"/>
  <c r="S58" i="53"/>
  <c r="S64" i="53"/>
  <c r="S44" i="53"/>
  <c r="S47" i="53"/>
  <c r="S41" i="53"/>
  <c r="L7" i="50"/>
  <c r="H37" i="51"/>
  <c r="E244" i="51"/>
  <c r="E28" i="51"/>
  <c r="H18" i="51"/>
  <c r="H113" i="51"/>
  <c r="E243" i="51"/>
  <c r="E231" i="51"/>
  <c r="E219" i="51"/>
  <c r="E195" i="51"/>
  <c r="E183" i="51"/>
  <c r="E171" i="51"/>
  <c r="E159" i="51"/>
  <c r="E147" i="51"/>
  <c r="E135" i="51"/>
  <c r="D135" i="51" s="1"/>
  <c r="E123" i="51"/>
  <c r="E111" i="51"/>
  <c r="E99" i="51"/>
  <c r="E87" i="51"/>
  <c r="E75" i="51"/>
  <c r="E63" i="51"/>
  <c r="E51" i="51"/>
  <c r="E39" i="51"/>
  <c r="E27" i="51"/>
  <c r="E15" i="51"/>
  <c r="H245" i="51"/>
  <c r="H233" i="51"/>
  <c r="H221" i="51"/>
  <c r="H209" i="51"/>
  <c r="H197" i="51"/>
  <c r="H185" i="51"/>
  <c r="H173" i="51"/>
  <c r="H161" i="51"/>
  <c r="H149" i="51"/>
  <c r="H137" i="51"/>
  <c r="H125" i="51"/>
  <c r="H101" i="51"/>
  <c r="H89" i="51"/>
  <c r="H77" i="51"/>
  <c r="H65" i="51"/>
  <c r="H41" i="51"/>
  <c r="H29" i="51"/>
  <c r="H17" i="51"/>
  <c r="E242" i="51"/>
  <c r="E230" i="51"/>
  <c r="D230" i="51" s="1"/>
  <c r="E218" i="51"/>
  <c r="E206" i="51"/>
  <c r="E194" i="51"/>
  <c r="E182" i="51"/>
  <c r="E170" i="51"/>
  <c r="E158" i="51"/>
  <c r="E146" i="51"/>
  <c r="E134" i="51"/>
  <c r="E122" i="51"/>
  <c r="E110" i="51"/>
  <c r="E98" i="51"/>
  <c r="E86" i="51"/>
  <c r="E74" i="51"/>
  <c r="E62" i="51"/>
  <c r="E50" i="51"/>
  <c r="E38" i="51"/>
  <c r="E26" i="51"/>
  <c r="E14" i="51"/>
  <c r="H244" i="51"/>
  <c r="H232" i="51"/>
  <c r="H220" i="51"/>
  <c r="H208" i="51"/>
  <c r="H196" i="51"/>
  <c r="H184" i="51"/>
  <c r="H172" i="51"/>
  <c r="H160" i="51"/>
  <c r="H148" i="51"/>
  <c r="H136" i="51"/>
  <c r="H124" i="51"/>
  <c r="H112" i="51"/>
  <c r="H100" i="51"/>
  <c r="H88" i="51"/>
  <c r="H76" i="51"/>
  <c r="H64" i="51"/>
  <c r="H52" i="51"/>
  <c r="H40" i="51"/>
  <c r="H28" i="51"/>
  <c r="H16" i="51"/>
  <c r="E217" i="51"/>
  <c r="E193" i="51"/>
  <c r="E181" i="51"/>
  <c r="E157" i="51"/>
  <c r="E133" i="51"/>
  <c r="E121" i="51"/>
  <c r="E85" i="51"/>
  <c r="E37" i="51"/>
  <c r="H243" i="51"/>
  <c r="H219" i="51"/>
  <c r="H207" i="51"/>
  <c r="H195" i="51"/>
  <c r="H183" i="51"/>
  <c r="H159" i="51"/>
  <c r="H147" i="51"/>
  <c r="H135" i="51"/>
  <c r="H123" i="51"/>
  <c r="H111" i="51"/>
  <c r="H99" i="51"/>
  <c r="H87" i="51"/>
  <c r="H75" i="51"/>
  <c r="H63" i="51"/>
  <c r="H51" i="51"/>
  <c r="H39" i="51"/>
  <c r="H27" i="51"/>
  <c r="H15" i="51"/>
  <c r="E229" i="51"/>
  <c r="E205" i="51"/>
  <c r="E169" i="51"/>
  <c r="E145" i="51"/>
  <c r="E109" i="51"/>
  <c r="E97" i="51"/>
  <c r="E73" i="51"/>
  <c r="E61" i="51"/>
  <c r="E49" i="51"/>
  <c r="E25" i="51"/>
  <c r="E13" i="51"/>
  <c r="H231" i="51"/>
  <c r="H171" i="51"/>
  <c r="E240" i="51"/>
  <c r="E228" i="51"/>
  <c r="D228" i="51" s="1"/>
  <c r="E216" i="51"/>
  <c r="E204" i="51"/>
  <c r="E192" i="51"/>
  <c r="E180" i="51"/>
  <c r="E168" i="51"/>
  <c r="E156" i="51"/>
  <c r="E144" i="51"/>
  <c r="E132" i="51"/>
  <c r="E120" i="51"/>
  <c r="E108" i="51"/>
  <c r="E96" i="51"/>
  <c r="E84" i="51"/>
  <c r="E72" i="51"/>
  <c r="E60" i="51"/>
  <c r="E48" i="51"/>
  <c r="D48" i="51" s="1"/>
  <c r="E36" i="51"/>
  <c r="E24" i="51"/>
  <c r="E12" i="51"/>
  <c r="H242" i="51"/>
  <c r="H230" i="51"/>
  <c r="H218" i="51"/>
  <c r="H194" i="51"/>
  <c r="H182" i="51"/>
  <c r="H170" i="51"/>
  <c r="H158" i="51"/>
  <c r="H146" i="51"/>
  <c r="H134" i="51"/>
  <c r="H122" i="51"/>
  <c r="H110" i="51"/>
  <c r="H98" i="51"/>
  <c r="H86" i="51"/>
  <c r="H74" i="51"/>
  <c r="H62" i="51"/>
  <c r="H50" i="51"/>
  <c r="H38" i="51"/>
  <c r="H26" i="51"/>
  <c r="H14" i="51"/>
  <c r="E191" i="51"/>
  <c r="E119" i="51"/>
  <c r="E47" i="51"/>
  <c r="D47" i="51" s="1"/>
  <c r="H217" i="51"/>
  <c r="H169" i="51"/>
  <c r="H109" i="51"/>
  <c r="H49" i="51"/>
  <c r="E226" i="51"/>
  <c r="D226" i="51" s="1"/>
  <c r="E202" i="51"/>
  <c r="E178" i="51"/>
  <c r="E154" i="51"/>
  <c r="E130" i="51"/>
  <c r="E106" i="51"/>
  <c r="E82" i="51"/>
  <c r="E70" i="51"/>
  <c r="E46" i="51"/>
  <c r="E22" i="51"/>
  <c r="E10" i="51"/>
  <c r="H216" i="51"/>
  <c r="H192" i="51"/>
  <c r="H168" i="51"/>
  <c r="H156" i="51"/>
  <c r="H132" i="51"/>
  <c r="H120" i="51"/>
  <c r="H108" i="51"/>
  <c r="H84" i="51"/>
  <c r="H72" i="51"/>
  <c r="H60" i="51"/>
  <c r="H48" i="51"/>
  <c r="H36" i="51"/>
  <c r="H24" i="51"/>
  <c r="H12" i="51"/>
  <c r="E237" i="51"/>
  <c r="E225" i="51"/>
  <c r="E213" i="51"/>
  <c r="E201" i="51"/>
  <c r="E189" i="51"/>
  <c r="E177" i="51"/>
  <c r="E165" i="51"/>
  <c r="E153" i="51"/>
  <c r="E141" i="51"/>
  <c r="E129" i="51"/>
  <c r="E117" i="51"/>
  <c r="E105" i="51"/>
  <c r="E93" i="51"/>
  <c r="E81" i="51"/>
  <c r="E69" i="51"/>
  <c r="E57" i="51"/>
  <c r="E45" i="51"/>
  <c r="E33" i="51"/>
  <c r="D33" i="51" s="1"/>
  <c r="E21" i="51"/>
  <c r="E9" i="51"/>
  <c r="H239" i="51"/>
  <c r="H227" i="51"/>
  <c r="H215" i="51"/>
  <c r="H191" i="51"/>
  <c r="H179" i="51"/>
  <c r="H167" i="51"/>
  <c r="H155" i="51"/>
  <c r="H143" i="51"/>
  <c r="H131" i="51"/>
  <c r="H119" i="51"/>
  <c r="H107" i="51"/>
  <c r="H95" i="51"/>
  <c r="H83" i="51"/>
  <c r="H71" i="51"/>
  <c r="H59" i="51"/>
  <c r="H47" i="51"/>
  <c r="H35" i="51"/>
  <c r="H23" i="51"/>
  <c r="H11" i="51"/>
  <c r="E227" i="51"/>
  <c r="E167" i="51"/>
  <c r="E83" i="51"/>
  <c r="H229" i="51"/>
  <c r="H157" i="51"/>
  <c r="H61" i="51"/>
  <c r="E238" i="51"/>
  <c r="E214" i="51"/>
  <c r="E190" i="51"/>
  <c r="E166" i="51"/>
  <c r="E142" i="51"/>
  <c r="E118" i="51"/>
  <c r="E94" i="51"/>
  <c r="E58" i="51"/>
  <c r="E34" i="51"/>
  <c r="H240" i="51"/>
  <c r="H228" i="51"/>
  <c r="H204" i="51"/>
  <c r="H180" i="51"/>
  <c r="H144" i="51"/>
  <c r="H96" i="51"/>
  <c r="E236" i="51"/>
  <c r="E224" i="51"/>
  <c r="D212" i="51"/>
  <c r="E200" i="51"/>
  <c r="E188" i="51"/>
  <c r="E176" i="51"/>
  <c r="E164" i="51"/>
  <c r="E152" i="51"/>
  <c r="E140" i="51"/>
  <c r="E128" i="51"/>
  <c r="E116" i="51"/>
  <c r="E104" i="51"/>
  <c r="E92" i="51"/>
  <c r="E80" i="51"/>
  <c r="E68" i="51"/>
  <c r="E56" i="51"/>
  <c r="E32" i="51"/>
  <c r="E20" i="51"/>
  <c r="E8" i="51"/>
  <c r="H238" i="51"/>
  <c r="H226" i="51"/>
  <c r="H214" i="51"/>
  <c r="H202" i="51"/>
  <c r="H190" i="51"/>
  <c r="H178" i="51"/>
  <c r="H166" i="51"/>
  <c r="H154" i="51"/>
  <c r="H142" i="51"/>
  <c r="H130" i="51"/>
  <c r="H118" i="51"/>
  <c r="H106" i="51"/>
  <c r="H94" i="51"/>
  <c r="H82" i="51"/>
  <c r="H70" i="51"/>
  <c r="H58" i="51"/>
  <c r="H46" i="51"/>
  <c r="H34" i="51"/>
  <c r="H22" i="51"/>
  <c r="H10" i="51"/>
  <c r="E107" i="51"/>
  <c r="H241" i="51"/>
  <c r="H73" i="51"/>
  <c r="E203" i="51"/>
  <c r="E143" i="51"/>
  <c r="E59" i="51"/>
  <c r="E11" i="51"/>
  <c r="H181" i="51"/>
  <c r="H133" i="51"/>
  <c r="H85" i="51"/>
  <c r="H13" i="51"/>
  <c r="E223" i="51"/>
  <c r="E187" i="51"/>
  <c r="E151" i="51"/>
  <c r="E127" i="51"/>
  <c r="E91" i="51"/>
  <c r="E67" i="51"/>
  <c r="E43" i="51"/>
  <c r="E31" i="51"/>
  <c r="E19" i="51"/>
  <c r="E7" i="51"/>
  <c r="D7" i="51" s="1"/>
  <c r="H213" i="51"/>
  <c r="H189" i="51"/>
  <c r="H177" i="51"/>
  <c r="H153" i="51"/>
  <c r="H129" i="51"/>
  <c r="H105" i="51"/>
  <c r="H81" i="51"/>
  <c r="H57" i="51"/>
  <c r="H33" i="51"/>
  <c r="H21" i="51"/>
  <c r="E234" i="51"/>
  <c r="E222" i="51"/>
  <c r="E210" i="51"/>
  <c r="E198" i="51"/>
  <c r="E186" i="51"/>
  <c r="E174" i="51"/>
  <c r="E162" i="51"/>
  <c r="E150" i="51"/>
  <c r="E138" i="51"/>
  <c r="E126" i="51"/>
  <c r="E114" i="51"/>
  <c r="E90" i="51"/>
  <c r="E78" i="51"/>
  <c r="E66" i="51"/>
  <c r="E54" i="51"/>
  <c r="E42" i="51"/>
  <c r="E30" i="51"/>
  <c r="E18" i="51"/>
  <c r="H236" i="51"/>
  <c r="H224" i="51"/>
  <c r="H212" i="51"/>
  <c r="H188" i="51"/>
  <c r="H176" i="51"/>
  <c r="H164" i="51"/>
  <c r="H152" i="51"/>
  <c r="H140" i="51"/>
  <c r="H128" i="51"/>
  <c r="H116" i="51"/>
  <c r="H104" i="51"/>
  <c r="H92" i="51"/>
  <c r="H80" i="51"/>
  <c r="H68" i="51"/>
  <c r="H56" i="51"/>
  <c r="H44" i="51"/>
  <c r="H32" i="51"/>
  <c r="H20" i="51"/>
  <c r="H8" i="51"/>
  <c r="E215" i="51"/>
  <c r="D215" i="51" s="1"/>
  <c r="E155" i="51"/>
  <c r="E95" i="51"/>
  <c r="E35" i="51"/>
  <c r="H193" i="51"/>
  <c r="H145" i="51"/>
  <c r="H97" i="51"/>
  <c r="H25" i="51"/>
  <c r="E235" i="51"/>
  <c r="E199" i="51"/>
  <c r="E175" i="51"/>
  <c r="E139" i="51"/>
  <c r="E115" i="51"/>
  <c r="E103" i="51"/>
  <c r="E55" i="51"/>
  <c r="H237" i="51"/>
  <c r="H225" i="51"/>
  <c r="H165" i="51"/>
  <c r="H141" i="51"/>
  <c r="H117" i="51"/>
  <c r="H93" i="51"/>
  <c r="H69" i="51"/>
  <c r="H45" i="51"/>
  <c r="H9" i="51"/>
  <c r="E245" i="51"/>
  <c r="E233" i="51"/>
  <c r="E221" i="51"/>
  <c r="E209" i="51"/>
  <c r="E197" i="51"/>
  <c r="E185" i="51"/>
  <c r="E173" i="51"/>
  <c r="E161" i="51"/>
  <c r="E149" i="51"/>
  <c r="E137" i="51"/>
  <c r="E125" i="51"/>
  <c r="E113" i="51"/>
  <c r="E101" i="51"/>
  <c r="E89" i="51"/>
  <c r="E65" i="51"/>
  <c r="E53" i="51"/>
  <c r="E41" i="51"/>
  <c r="E29" i="51"/>
  <c r="E17" i="51"/>
  <c r="H235" i="51"/>
  <c r="H223" i="51"/>
  <c r="H211" i="51"/>
  <c r="H199" i="51"/>
  <c r="H187" i="51"/>
  <c r="H175" i="51"/>
  <c r="H163" i="51"/>
  <c r="H151" i="51"/>
  <c r="H139" i="51"/>
  <c r="H127" i="51"/>
  <c r="H115" i="51"/>
  <c r="H103" i="51"/>
  <c r="H91" i="51"/>
  <c r="H79" i="51"/>
  <c r="H67" i="51"/>
  <c r="H55" i="51"/>
  <c r="H43" i="51"/>
  <c r="H31" i="51"/>
  <c r="H19" i="51"/>
  <c r="H7" i="51"/>
  <c r="E239" i="51"/>
  <c r="E179" i="51"/>
  <c r="E131" i="51"/>
  <c r="E71" i="51"/>
  <c r="E23" i="51"/>
  <c r="H205" i="51"/>
  <c r="H121" i="51"/>
  <c r="E211" i="51"/>
  <c r="E163" i="51"/>
  <c r="E79" i="51"/>
  <c r="E232" i="51"/>
  <c r="E220" i="51"/>
  <c r="E208" i="51"/>
  <c r="D208" i="51" s="1"/>
  <c r="E196" i="51"/>
  <c r="E184" i="51"/>
  <c r="E172" i="51"/>
  <c r="E160" i="51"/>
  <c r="E148" i="51"/>
  <c r="E136" i="51"/>
  <c r="E124" i="51"/>
  <c r="E112" i="51"/>
  <c r="E100" i="51"/>
  <c r="E88" i="51"/>
  <c r="E76" i="51"/>
  <c r="E64" i="51"/>
  <c r="E52" i="51"/>
  <c r="D40" i="51"/>
  <c r="E16" i="51"/>
  <c r="H246" i="51"/>
  <c r="H234" i="51"/>
  <c r="H222" i="51"/>
  <c r="H210" i="51"/>
  <c r="H198" i="51"/>
  <c r="H186" i="51"/>
  <c r="H174" i="51"/>
  <c r="H162" i="51"/>
  <c r="H150" i="51"/>
  <c r="H138" i="51"/>
  <c r="H126" i="51"/>
  <c r="H114" i="51"/>
  <c r="H102" i="51"/>
  <c r="H90" i="51"/>
  <c r="H78" i="51"/>
  <c r="H66" i="51"/>
  <c r="H54" i="51"/>
  <c r="H42" i="51"/>
  <c r="H30" i="51"/>
  <c r="S42" i="53" l="1"/>
  <c r="S46" i="53"/>
  <c r="F71" i="51"/>
  <c r="D71" i="51"/>
  <c r="F17" i="51"/>
  <c r="D17" i="51"/>
  <c r="F161" i="51"/>
  <c r="D161" i="51"/>
  <c r="F126" i="51"/>
  <c r="D126" i="51"/>
  <c r="F67" i="51"/>
  <c r="D67" i="51"/>
  <c r="F143" i="51"/>
  <c r="D143" i="51"/>
  <c r="F150" i="51"/>
  <c r="D150" i="51"/>
  <c r="F127" i="51"/>
  <c r="D127" i="51"/>
  <c r="F20" i="51"/>
  <c r="D20" i="51"/>
  <c r="F164" i="51"/>
  <c r="D164" i="51"/>
  <c r="F21" i="51"/>
  <c r="D21" i="51"/>
  <c r="F165" i="51"/>
  <c r="D165" i="51"/>
  <c r="F70" i="51"/>
  <c r="D70" i="51"/>
  <c r="F36" i="51"/>
  <c r="D36" i="51"/>
  <c r="F180" i="51"/>
  <c r="D180" i="51"/>
  <c r="F73" i="51"/>
  <c r="D73" i="51"/>
  <c r="F98" i="51"/>
  <c r="D98" i="51"/>
  <c r="F242" i="51"/>
  <c r="D242" i="51"/>
  <c r="F75" i="51"/>
  <c r="D75" i="51"/>
  <c r="F231" i="51"/>
  <c r="D231" i="51"/>
  <c r="F184" i="51"/>
  <c r="D184" i="51"/>
  <c r="F131" i="51"/>
  <c r="D131" i="51"/>
  <c r="F29" i="51"/>
  <c r="D29" i="51"/>
  <c r="F173" i="51"/>
  <c r="D173" i="51"/>
  <c r="F64" i="51"/>
  <c r="D64" i="51"/>
  <c r="F239" i="51"/>
  <c r="D239" i="51"/>
  <c r="F53" i="51"/>
  <c r="D53" i="51"/>
  <c r="F197" i="51"/>
  <c r="D197" i="51"/>
  <c r="F18" i="51"/>
  <c r="D18" i="51"/>
  <c r="F162" i="51"/>
  <c r="D162" i="51"/>
  <c r="F151" i="51"/>
  <c r="D151" i="51"/>
  <c r="F32" i="51"/>
  <c r="D32" i="51"/>
  <c r="F176" i="51"/>
  <c r="D176" i="51"/>
  <c r="F34" i="51"/>
  <c r="D34" i="51"/>
  <c r="F83" i="51"/>
  <c r="D83" i="51"/>
  <c r="F110" i="51"/>
  <c r="D110" i="51"/>
  <c r="F87" i="51"/>
  <c r="D87" i="51"/>
  <c r="F243" i="51"/>
  <c r="D243" i="51"/>
  <c r="F112" i="51"/>
  <c r="D112" i="51"/>
  <c r="F163" i="51"/>
  <c r="D163" i="51"/>
  <c r="F101" i="51"/>
  <c r="D101" i="51"/>
  <c r="F245" i="51"/>
  <c r="D245" i="51"/>
  <c r="F115" i="51"/>
  <c r="D115" i="51"/>
  <c r="F66" i="51"/>
  <c r="D66" i="51"/>
  <c r="F210" i="51"/>
  <c r="D210" i="51"/>
  <c r="F80" i="51"/>
  <c r="D80" i="51"/>
  <c r="F224" i="51"/>
  <c r="D224" i="51"/>
  <c r="F142" i="51"/>
  <c r="D142" i="51"/>
  <c r="F148" i="51"/>
  <c r="D148" i="51"/>
  <c r="F137" i="51"/>
  <c r="D137" i="51"/>
  <c r="F199" i="51"/>
  <c r="D199" i="51"/>
  <c r="F102" i="51"/>
  <c r="D102" i="51"/>
  <c r="F31" i="51"/>
  <c r="D31" i="51"/>
  <c r="F11" i="51"/>
  <c r="D11" i="51"/>
  <c r="F116" i="51"/>
  <c r="D116" i="51"/>
  <c r="F214" i="51"/>
  <c r="D214" i="51"/>
  <c r="F160" i="51"/>
  <c r="D160" i="51"/>
  <c r="F23" i="51"/>
  <c r="D23" i="51"/>
  <c r="F149" i="51"/>
  <c r="D149" i="51"/>
  <c r="F235" i="51"/>
  <c r="D235" i="51"/>
  <c r="F114" i="51"/>
  <c r="D114" i="51"/>
  <c r="F43" i="51"/>
  <c r="D43" i="51"/>
  <c r="F59" i="51"/>
  <c r="D59" i="51"/>
  <c r="F16" i="51"/>
  <c r="D16" i="51"/>
  <c r="F172" i="51"/>
  <c r="D172" i="51"/>
  <c r="F8" i="51"/>
  <c r="D8" i="51"/>
  <c r="F152" i="51"/>
  <c r="D152" i="51"/>
  <c r="F52" i="51"/>
  <c r="D52" i="51"/>
  <c r="F196" i="51"/>
  <c r="D196" i="51"/>
  <c r="F179" i="51"/>
  <c r="D179" i="51"/>
  <c r="F41" i="51"/>
  <c r="D41" i="51"/>
  <c r="F185" i="51"/>
  <c r="D185" i="51"/>
  <c r="F82" i="51"/>
  <c r="D82" i="51"/>
  <c r="F119" i="51"/>
  <c r="D119" i="51"/>
  <c r="F192" i="51"/>
  <c r="D192" i="51"/>
  <c r="F97" i="51"/>
  <c r="D97" i="51"/>
  <c r="F37" i="51"/>
  <c r="D37" i="51"/>
  <c r="F76" i="51"/>
  <c r="D76" i="51"/>
  <c r="F220" i="51"/>
  <c r="D220" i="51"/>
  <c r="F106" i="51"/>
  <c r="D106" i="51"/>
  <c r="F191" i="51"/>
  <c r="D191" i="51"/>
  <c r="F60" i="51"/>
  <c r="D60" i="51"/>
  <c r="F204" i="51"/>
  <c r="D204" i="51"/>
  <c r="F109" i="51"/>
  <c r="D109" i="51"/>
  <c r="F85" i="51"/>
  <c r="D85" i="51"/>
  <c r="F122" i="51"/>
  <c r="D122" i="51"/>
  <c r="F99" i="51"/>
  <c r="D99" i="51"/>
  <c r="F138" i="51"/>
  <c r="D138" i="51"/>
  <c r="F91" i="51"/>
  <c r="D91" i="51"/>
  <c r="F203" i="51"/>
  <c r="D203" i="51"/>
  <c r="F177" i="51"/>
  <c r="D177" i="51"/>
  <c r="F56" i="51"/>
  <c r="D56" i="51"/>
  <c r="F200" i="51"/>
  <c r="D200" i="51"/>
  <c r="F94" i="51"/>
  <c r="D94" i="51"/>
  <c r="F227" i="51"/>
  <c r="D227" i="51"/>
  <c r="F57" i="51"/>
  <c r="D57" i="51"/>
  <c r="F201" i="51"/>
  <c r="D201" i="51"/>
  <c r="F130" i="51"/>
  <c r="D130" i="51"/>
  <c r="F72" i="51"/>
  <c r="D72" i="51"/>
  <c r="F216" i="51"/>
  <c r="D216" i="51"/>
  <c r="F145" i="51"/>
  <c r="D145" i="51"/>
  <c r="F121" i="51"/>
  <c r="D121" i="51"/>
  <c r="F134" i="51"/>
  <c r="D134" i="51"/>
  <c r="F111" i="51"/>
  <c r="D111" i="51"/>
  <c r="F65" i="51"/>
  <c r="D65" i="51"/>
  <c r="F209" i="51"/>
  <c r="D209" i="51"/>
  <c r="F35" i="51"/>
  <c r="D35" i="51"/>
  <c r="F30" i="51"/>
  <c r="D30" i="51"/>
  <c r="F174" i="51"/>
  <c r="D174" i="51"/>
  <c r="F187" i="51"/>
  <c r="D187" i="51"/>
  <c r="F107" i="51"/>
  <c r="D107" i="51"/>
  <c r="F44" i="51"/>
  <c r="D44" i="51"/>
  <c r="F188" i="51"/>
  <c r="D188" i="51"/>
  <c r="F58" i="51"/>
  <c r="D58" i="51"/>
  <c r="F167" i="51"/>
  <c r="D167" i="51"/>
  <c r="F45" i="51"/>
  <c r="D45" i="51"/>
  <c r="F189" i="51"/>
  <c r="D189" i="51"/>
  <c r="F88" i="51"/>
  <c r="D88" i="51"/>
  <c r="F232" i="51"/>
  <c r="D232" i="51"/>
  <c r="F77" i="51"/>
  <c r="D77" i="51"/>
  <c r="F221" i="51"/>
  <c r="D221" i="51"/>
  <c r="F55" i="51"/>
  <c r="D55" i="51"/>
  <c r="F95" i="51"/>
  <c r="D95" i="51"/>
  <c r="F42" i="51"/>
  <c r="D42" i="51"/>
  <c r="F186" i="51"/>
  <c r="D186" i="51"/>
  <c r="F223" i="51"/>
  <c r="D223" i="51"/>
  <c r="F100" i="51"/>
  <c r="D100" i="51"/>
  <c r="F79" i="51"/>
  <c r="D79" i="51"/>
  <c r="F89" i="51"/>
  <c r="D89" i="51"/>
  <c r="F233" i="51"/>
  <c r="D233" i="51"/>
  <c r="F103" i="51"/>
  <c r="D103" i="51"/>
  <c r="F155" i="51"/>
  <c r="D155" i="51"/>
  <c r="F54" i="51"/>
  <c r="D54" i="51"/>
  <c r="F198" i="51"/>
  <c r="D198" i="51"/>
  <c r="F68" i="51"/>
  <c r="D68" i="51"/>
  <c r="F118" i="51"/>
  <c r="D118" i="51"/>
  <c r="F69" i="51"/>
  <c r="D69" i="51"/>
  <c r="F213" i="51"/>
  <c r="D213" i="51"/>
  <c r="F154" i="51"/>
  <c r="D154" i="51"/>
  <c r="F84" i="51"/>
  <c r="D84" i="51"/>
  <c r="F169" i="51"/>
  <c r="D169" i="51"/>
  <c r="F133" i="51"/>
  <c r="D133" i="51"/>
  <c r="F146" i="51"/>
  <c r="D146" i="51"/>
  <c r="F123" i="51"/>
  <c r="D123" i="51"/>
  <c r="F81" i="51"/>
  <c r="D81" i="51"/>
  <c r="F225" i="51"/>
  <c r="D225" i="51"/>
  <c r="F178" i="51"/>
  <c r="D178" i="51"/>
  <c r="F96" i="51"/>
  <c r="D96" i="51"/>
  <c r="F240" i="51"/>
  <c r="D240" i="51"/>
  <c r="F205" i="51"/>
  <c r="D205" i="51"/>
  <c r="F28" i="51"/>
  <c r="D28" i="51"/>
  <c r="F157" i="51"/>
  <c r="D157" i="51"/>
  <c r="F14" i="51"/>
  <c r="D14" i="51"/>
  <c r="F158" i="51"/>
  <c r="D158" i="51"/>
  <c r="F124" i="51"/>
  <c r="D124" i="51"/>
  <c r="F211" i="51"/>
  <c r="D211" i="51"/>
  <c r="F113" i="51"/>
  <c r="D113" i="51"/>
  <c r="F139" i="51"/>
  <c r="D139" i="51"/>
  <c r="F78" i="51"/>
  <c r="D78" i="51"/>
  <c r="F222" i="51"/>
  <c r="D222" i="51"/>
  <c r="F92" i="51"/>
  <c r="D92" i="51"/>
  <c r="F236" i="51"/>
  <c r="D236" i="51"/>
  <c r="F166" i="51"/>
  <c r="D166" i="51"/>
  <c r="F93" i="51"/>
  <c r="D93" i="51"/>
  <c r="F237" i="51"/>
  <c r="D237" i="51"/>
  <c r="F202" i="51"/>
  <c r="D202" i="51"/>
  <c r="F108" i="51"/>
  <c r="D108" i="51"/>
  <c r="F229" i="51"/>
  <c r="D229" i="51"/>
  <c r="F181" i="51"/>
  <c r="D181" i="51"/>
  <c r="F26" i="51"/>
  <c r="D26" i="51"/>
  <c r="F170" i="51"/>
  <c r="D170" i="51"/>
  <c r="F147" i="51"/>
  <c r="D147" i="51"/>
  <c r="F244" i="51"/>
  <c r="D244" i="51"/>
  <c r="F136" i="51"/>
  <c r="D136" i="51"/>
  <c r="F125" i="51"/>
  <c r="D125" i="51"/>
  <c r="F175" i="51"/>
  <c r="D175" i="51"/>
  <c r="F90" i="51"/>
  <c r="D90" i="51"/>
  <c r="F234" i="51"/>
  <c r="D234" i="51"/>
  <c r="F19" i="51"/>
  <c r="D19" i="51"/>
  <c r="F104" i="51"/>
  <c r="D104" i="51"/>
  <c r="F190" i="51"/>
  <c r="D190" i="51"/>
  <c r="F105" i="51"/>
  <c r="D105" i="51"/>
  <c r="F120" i="51"/>
  <c r="D120" i="51"/>
  <c r="F193" i="51"/>
  <c r="D193" i="51"/>
  <c r="F38" i="51"/>
  <c r="D38" i="51"/>
  <c r="F182" i="51"/>
  <c r="D182" i="51"/>
  <c r="F15" i="51"/>
  <c r="D15" i="51"/>
  <c r="F159" i="51"/>
  <c r="D159" i="51"/>
  <c r="F117" i="51"/>
  <c r="D117" i="51"/>
  <c r="F132" i="51"/>
  <c r="D132" i="51"/>
  <c r="F13" i="51"/>
  <c r="D13" i="51"/>
  <c r="F217" i="51"/>
  <c r="D217" i="51"/>
  <c r="F50" i="51"/>
  <c r="D50" i="51"/>
  <c r="F194" i="51"/>
  <c r="D194" i="51"/>
  <c r="F27" i="51"/>
  <c r="D27" i="51"/>
  <c r="F171" i="51"/>
  <c r="D171" i="51"/>
  <c r="F128" i="51"/>
  <c r="D128" i="51"/>
  <c r="F238" i="51"/>
  <c r="D238" i="51"/>
  <c r="F129" i="51"/>
  <c r="D129" i="51"/>
  <c r="F10" i="51"/>
  <c r="D10" i="51"/>
  <c r="F144" i="51"/>
  <c r="D144" i="51"/>
  <c r="F25" i="51"/>
  <c r="D25" i="51"/>
  <c r="F62" i="51"/>
  <c r="D62" i="51"/>
  <c r="F206" i="51"/>
  <c r="D206" i="51"/>
  <c r="F39" i="51"/>
  <c r="D39" i="51"/>
  <c r="F183" i="51"/>
  <c r="D183" i="51"/>
  <c r="F140" i="51"/>
  <c r="D140" i="51"/>
  <c r="F141" i="51"/>
  <c r="D141" i="51"/>
  <c r="F22" i="51"/>
  <c r="D22" i="51"/>
  <c r="F12" i="51"/>
  <c r="D12" i="51"/>
  <c r="F156" i="51"/>
  <c r="D156" i="51"/>
  <c r="F49" i="51"/>
  <c r="D49" i="51"/>
  <c r="F74" i="51"/>
  <c r="D74" i="51"/>
  <c r="F218" i="51"/>
  <c r="D218" i="51"/>
  <c r="F51" i="51"/>
  <c r="D51" i="51"/>
  <c r="F195" i="51"/>
  <c r="D195" i="51"/>
  <c r="F9" i="51"/>
  <c r="D9" i="51"/>
  <c r="F153" i="51"/>
  <c r="D153" i="51"/>
  <c r="F46" i="51"/>
  <c r="D46" i="51"/>
  <c r="F24" i="51"/>
  <c r="D24" i="51"/>
  <c r="F168" i="51"/>
  <c r="D168" i="51"/>
  <c r="F61" i="51"/>
  <c r="D61" i="51"/>
  <c r="F86" i="51"/>
  <c r="D86" i="51"/>
  <c r="F63" i="51"/>
  <c r="D63" i="51"/>
  <c r="F219" i="51"/>
  <c r="D219" i="51"/>
  <c r="F241" i="51"/>
  <c r="D241" i="51"/>
  <c r="S67" i="53"/>
  <c r="S66" i="53"/>
  <c r="S62" i="53"/>
  <c r="S60" i="53"/>
  <c r="S59" i="53"/>
  <c r="S65" i="53"/>
  <c r="S63" i="53"/>
  <c r="Q69" i="53"/>
  <c r="A7" i="55" a="1"/>
  <c r="A7" i="55" s="1"/>
  <c r="A2" i="50" l="1"/>
  <c r="A2" i="51" s="1"/>
  <c r="S84" i="53"/>
  <c r="Q86" i="53"/>
  <c r="S83" i="53"/>
  <c r="S82" i="53"/>
  <c r="S80" i="53"/>
  <c r="S79" i="53"/>
  <c r="S77" i="53"/>
  <c r="S76" i="53"/>
  <c r="S75" i="53"/>
  <c r="S78" i="53"/>
  <c r="S81" i="53"/>
  <c r="C17" i="51" l="1"/>
  <c r="C19" i="51"/>
  <c r="C52" i="51"/>
  <c r="B149" i="51"/>
  <c r="C136" i="51"/>
  <c r="B144" i="51"/>
  <c r="B159" i="51"/>
  <c r="C55" i="51"/>
  <c r="C174" i="51"/>
  <c r="C180" i="51"/>
  <c r="B234" i="51"/>
  <c r="B196" i="51"/>
  <c r="B99" i="51"/>
  <c r="B35" i="51"/>
  <c r="B110" i="51"/>
  <c r="B239" i="51"/>
  <c r="B20" i="51"/>
  <c r="C244" i="51"/>
  <c r="C80" i="51"/>
  <c r="C14" i="51"/>
  <c r="B179" i="51"/>
  <c r="B41" i="51"/>
  <c r="C240" i="51"/>
  <c r="C160" i="51"/>
  <c r="C159" i="51"/>
  <c r="C9" i="51"/>
  <c r="B116" i="51"/>
  <c r="C128" i="51"/>
  <c r="B183" i="51"/>
  <c r="C25" i="51"/>
  <c r="B140" i="51"/>
  <c r="B12" i="51"/>
  <c r="C95" i="51"/>
  <c r="B240" i="51"/>
  <c r="C212" i="51"/>
  <c r="B141" i="51"/>
  <c r="C110" i="51"/>
  <c r="B97" i="51"/>
  <c r="B156" i="51"/>
  <c r="C230" i="51"/>
  <c r="B138" i="51"/>
  <c r="C41" i="51"/>
  <c r="C108" i="51"/>
  <c r="B218" i="51"/>
  <c r="C130" i="51"/>
  <c r="B124" i="51"/>
  <c r="B51" i="51"/>
  <c r="C48" i="51"/>
  <c r="C224" i="51"/>
  <c r="C124" i="51"/>
  <c r="B222" i="51"/>
  <c r="C216" i="51"/>
  <c r="C206" i="51"/>
  <c r="C228" i="51"/>
  <c r="B29" i="51"/>
  <c r="B223" i="51"/>
  <c r="C242" i="51"/>
  <c r="C135" i="51"/>
  <c r="B228" i="51"/>
  <c r="C144" i="51"/>
  <c r="C40" i="51"/>
  <c r="C246" i="51"/>
  <c r="C56" i="51"/>
  <c r="C93" i="51"/>
  <c r="C15" i="51"/>
  <c r="C203" i="51"/>
  <c r="B224" i="51"/>
  <c r="C200" i="51"/>
  <c r="B214" i="51"/>
  <c r="C94" i="51"/>
  <c r="C161" i="51"/>
  <c r="C109" i="51"/>
  <c r="C39" i="51"/>
  <c r="C143" i="51"/>
  <c r="B135" i="51"/>
  <c r="B82" i="51"/>
  <c r="B202" i="51"/>
  <c r="B203" i="51"/>
  <c r="B221" i="51"/>
  <c r="B200" i="51"/>
  <c r="B49" i="51"/>
  <c r="C205" i="51"/>
  <c r="B72" i="51"/>
  <c r="C171" i="51"/>
  <c r="B24" i="51"/>
  <c r="C116" i="51"/>
  <c r="C62" i="51"/>
  <c r="C220" i="51"/>
  <c r="C231" i="51"/>
  <c r="B36" i="51"/>
  <c r="C127" i="51"/>
  <c r="B227" i="51"/>
  <c r="B52" i="51"/>
  <c r="B126" i="51"/>
  <c r="B71" i="51"/>
  <c r="C81" i="51"/>
  <c r="B188" i="51"/>
  <c r="B96" i="51"/>
  <c r="C188" i="51"/>
  <c r="C199" i="51"/>
  <c r="B80" i="51"/>
  <c r="B46" i="51"/>
  <c r="B104" i="51"/>
  <c r="C184" i="51"/>
  <c r="B106" i="51"/>
  <c r="B242" i="51"/>
  <c r="B48" i="51"/>
  <c r="C13" i="51"/>
  <c r="B231" i="51"/>
  <c r="B115" i="51"/>
  <c r="B131" i="51"/>
  <c r="C210" i="51"/>
  <c r="B147" i="51"/>
  <c r="B152" i="51"/>
  <c r="B44" i="51"/>
  <c r="B142" i="51"/>
  <c r="B181" i="51"/>
  <c r="B137" i="51"/>
  <c r="C140" i="51"/>
  <c r="B164" i="51"/>
  <c r="B15" i="51"/>
  <c r="C90" i="51"/>
  <c r="B210" i="51"/>
  <c r="B162" i="51"/>
  <c r="C198" i="51"/>
  <c r="B130" i="51"/>
  <c r="B17" i="51"/>
  <c r="C21" i="51"/>
  <c r="C82" i="51"/>
  <c r="B198" i="51"/>
  <c r="C217" i="51"/>
  <c r="C208" i="51"/>
  <c r="B25" i="51"/>
  <c r="C169" i="51"/>
  <c r="C148" i="51"/>
  <c r="B194" i="51"/>
  <c r="C152" i="51"/>
  <c r="B81" i="51"/>
  <c r="C122" i="51"/>
  <c r="B33" i="51"/>
  <c r="C221" i="51"/>
  <c r="C170" i="51"/>
  <c r="B91" i="51"/>
  <c r="C173" i="51"/>
  <c r="B118" i="51"/>
  <c r="C137" i="51"/>
  <c r="C99" i="51"/>
  <c r="B235" i="51"/>
  <c r="C179" i="51"/>
  <c r="C49" i="51"/>
  <c r="C111" i="51"/>
  <c r="C141" i="51"/>
  <c r="B74" i="51"/>
  <c r="C176" i="51"/>
  <c r="C162" i="51"/>
  <c r="C213" i="51"/>
  <c r="B13" i="51"/>
  <c r="C153" i="51"/>
  <c r="C215" i="51"/>
  <c r="C59" i="51"/>
  <c r="B85" i="51"/>
  <c r="B68" i="51"/>
  <c r="B148" i="51"/>
  <c r="C241" i="51"/>
  <c r="B16" i="51"/>
  <c r="B246" i="51"/>
  <c r="B120" i="51"/>
  <c r="C238" i="51"/>
  <c r="B129" i="51"/>
  <c r="B134" i="51"/>
  <c r="C155" i="51"/>
  <c r="B206" i="51"/>
  <c r="C156" i="51"/>
  <c r="B157" i="51"/>
  <c r="C207" i="51"/>
  <c r="B128" i="51"/>
  <c r="C43" i="51"/>
  <c r="C72" i="51"/>
  <c r="C175" i="51"/>
  <c r="C118" i="51"/>
  <c r="B76" i="51"/>
  <c r="B169" i="51"/>
  <c r="B109" i="51"/>
  <c r="B168" i="51"/>
  <c r="B70" i="51"/>
  <c r="C27" i="51"/>
  <c r="B167" i="51"/>
  <c r="B186" i="51"/>
  <c r="C134" i="51"/>
  <c r="C119" i="51"/>
  <c r="B238" i="51"/>
  <c r="B153" i="51"/>
  <c r="B102" i="51"/>
  <c r="B161" i="51"/>
  <c r="C78" i="51"/>
  <c r="C7" i="51"/>
  <c r="B107" i="51"/>
  <c r="B9" i="51"/>
  <c r="C209" i="51"/>
  <c r="C46" i="51"/>
  <c r="C100" i="51"/>
  <c r="B73" i="51"/>
  <c r="B243" i="51"/>
  <c r="C125" i="51"/>
  <c r="C112" i="51"/>
  <c r="B21" i="51"/>
  <c r="C132" i="51"/>
  <c r="B182" i="51"/>
  <c r="B75" i="51"/>
  <c r="B123" i="51"/>
  <c r="B133" i="51"/>
  <c r="C20" i="51"/>
  <c r="C168" i="51"/>
  <c r="B145" i="51"/>
  <c r="B193" i="51"/>
  <c r="C87" i="51"/>
  <c r="B187" i="51"/>
  <c r="B22" i="51"/>
  <c r="C33" i="51"/>
  <c r="B14" i="51"/>
  <c r="C236" i="51"/>
  <c r="B177" i="51"/>
  <c r="C202" i="51"/>
  <c r="C30" i="51"/>
  <c r="B236" i="51"/>
  <c r="B31" i="51"/>
  <c r="C214" i="51"/>
  <c r="C86" i="51"/>
  <c r="C91" i="51"/>
  <c r="C211" i="51"/>
  <c r="C185" i="51"/>
  <c r="C68" i="51"/>
  <c r="B66" i="51"/>
  <c r="C123" i="51"/>
  <c r="B43" i="51"/>
  <c r="C60" i="51"/>
  <c r="C53" i="51"/>
  <c r="C88" i="51"/>
  <c r="C104" i="51"/>
  <c r="C96" i="51"/>
  <c r="C113" i="51"/>
  <c r="B241" i="51"/>
  <c r="B108" i="51"/>
  <c r="B207" i="51"/>
  <c r="C163" i="51"/>
  <c r="C223" i="51"/>
  <c r="C76" i="51"/>
  <c r="C182" i="51"/>
  <c r="B103" i="51"/>
  <c r="C235" i="51"/>
  <c r="C226" i="51"/>
  <c r="B215" i="51"/>
  <c r="B117" i="51"/>
  <c r="B175" i="51"/>
  <c r="B204" i="51"/>
  <c r="C16" i="51"/>
  <c r="C29" i="51"/>
  <c r="B40" i="51"/>
  <c r="B53" i="51"/>
  <c r="B154" i="51"/>
  <c r="C114" i="51"/>
  <c r="B54" i="51"/>
  <c r="B220" i="51"/>
  <c r="C83" i="51"/>
  <c r="B77" i="51"/>
  <c r="B23" i="51"/>
  <c r="B113" i="51"/>
  <c r="B136" i="51"/>
  <c r="B61" i="51"/>
  <c r="C44" i="51"/>
  <c r="C222" i="51"/>
  <c r="B216" i="51"/>
  <c r="C101" i="51"/>
  <c r="B208" i="51"/>
  <c r="C133" i="51"/>
  <c r="B55" i="51"/>
  <c r="C186" i="51"/>
  <c r="C74" i="51"/>
  <c r="B37" i="51"/>
  <c r="B230" i="51"/>
  <c r="C187" i="51"/>
  <c r="B205" i="51"/>
  <c r="C84" i="51"/>
  <c r="C115" i="51"/>
  <c r="C24" i="51"/>
  <c r="B163" i="51"/>
  <c r="B189" i="51"/>
  <c r="B50" i="51"/>
  <c r="C204" i="51"/>
  <c r="B89" i="51"/>
  <c r="C219" i="51"/>
  <c r="C120" i="51"/>
  <c r="C191" i="51"/>
  <c r="C51" i="51"/>
  <c r="C64" i="51"/>
  <c r="C157" i="51"/>
  <c r="B165" i="51"/>
  <c r="B112" i="51"/>
  <c r="B79" i="51"/>
  <c r="B143" i="51"/>
  <c r="C107" i="51"/>
  <c r="C50" i="51"/>
  <c r="B42" i="51"/>
  <c r="B184" i="51"/>
  <c r="C36" i="51"/>
  <c r="C12" i="51"/>
  <c r="B226" i="51"/>
  <c r="B58" i="51"/>
  <c r="B32" i="51"/>
  <c r="B83" i="51"/>
  <c r="B171" i="51"/>
  <c r="B122" i="51"/>
  <c r="B59" i="51"/>
  <c r="C89" i="51"/>
  <c r="B160" i="51"/>
  <c r="B158" i="51"/>
  <c r="B94" i="51"/>
  <c r="C61" i="51"/>
  <c r="B213" i="51"/>
  <c r="C105" i="51"/>
  <c r="C69" i="51"/>
  <c r="B69" i="51"/>
  <c r="B105" i="51"/>
  <c r="C97" i="51"/>
  <c r="B100" i="51"/>
  <c r="C193" i="51"/>
  <c r="B151" i="51"/>
  <c r="C154" i="51"/>
  <c r="B155" i="51"/>
  <c r="C98" i="51"/>
  <c r="B233" i="51"/>
  <c r="B92" i="51"/>
  <c r="C54" i="51"/>
  <c r="B30" i="51"/>
  <c r="B56" i="51"/>
  <c r="C147" i="51"/>
  <c r="C201" i="51"/>
  <c r="B180" i="51"/>
  <c r="C70" i="51"/>
  <c r="C35" i="51"/>
  <c r="C195" i="51"/>
  <c r="B101" i="51"/>
  <c r="C75" i="51"/>
  <c r="B98" i="51"/>
  <c r="C77" i="51"/>
  <c r="B67" i="51"/>
  <c r="B111" i="51"/>
  <c r="C47" i="51"/>
  <c r="C145" i="51"/>
  <c r="B27" i="51"/>
  <c r="C181" i="51"/>
  <c r="C23" i="51"/>
  <c r="C26" i="51"/>
  <c r="B11" i="51"/>
  <c r="C18" i="51"/>
  <c r="B173" i="51"/>
  <c r="C225" i="51"/>
  <c r="B139" i="51"/>
  <c r="B229" i="51"/>
  <c r="C172" i="51"/>
  <c r="B178" i="51"/>
  <c r="C37" i="51"/>
  <c r="C167" i="51"/>
  <c r="C22" i="51"/>
  <c r="C102" i="51"/>
  <c r="B191" i="51"/>
  <c r="B170" i="51"/>
  <c r="C66" i="51"/>
  <c r="B219" i="51"/>
  <c r="C38" i="51"/>
  <c r="C197" i="51"/>
  <c r="B26" i="51"/>
  <c r="B166" i="51"/>
  <c r="C103" i="51"/>
  <c r="B212" i="51"/>
  <c r="B63" i="51"/>
  <c r="B192" i="51"/>
  <c r="B64" i="51"/>
  <c r="B244" i="51"/>
  <c r="B47" i="51"/>
  <c r="B10" i="51"/>
  <c r="C65" i="51"/>
  <c r="B217" i="51"/>
  <c r="C164" i="51"/>
  <c r="C239" i="51"/>
  <c r="C166" i="51"/>
  <c r="B197" i="51"/>
  <c r="C165" i="51"/>
  <c r="B8" i="51"/>
  <c r="C218" i="51"/>
  <c r="C139" i="51"/>
  <c r="C92" i="51"/>
  <c r="C126" i="51"/>
  <c r="C71" i="51"/>
  <c r="B127" i="51"/>
  <c r="C151" i="51"/>
  <c r="B87" i="51"/>
  <c r="B38" i="51"/>
  <c r="C196" i="51"/>
  <c r="B65" i="51"/>
  <c r="C79" i="51"/>
  <c r="C227" i="51"/>
  <c r="B57" i="51"/>
  <c r="B174" i="51"/>
  <c r="B93" i="51"/>
  <c r="B209" i="51"/>
  <c r="B150" i="51"/>
  <c r="C45" i="51"/>
  <c r="C194" i="51"/>
  <c r="B90" i="51"/>
  <c r="C129" i="51"/>
  <c r="B132" i="51"/>
  <c r="C8" i="51"/>
  <c r="B225" i="51"/>
  <c r="B237" i="51"/>
  <c r="C146" i="51"/>
  <c r="C245" i="51"/>
  <c r="B232" i="51"/>
  <c r="B125" i="51"/>
  <c r="B62" i="51"/>
  <c r="B185" i="51"/>
  <c r="B201" i="51"/>
  <c r="B119" i="51"/>
  <c r="B211" i="51"/>
  <c r="C57" i="51"/>
  <c r="B34" i="51"/>
  <c r="C67" i="51"/>
  <c r="B88" i="51"/>
  <c r="C32" i="51"/>
  <c r="B45" i="51"/>
  <c r="C34" i="51"/>
  <c r="B195" i="51"/>
  <c r="C31" i="51"/>
  <c r="C177" i="51"/>
  <c r="C131" i="51"/>
  <c r="C232" i="51"/>
  <c r="C42" i="51"/>
  <c r="C106" i="51"/>
  <c r="C121" i="51"/>
  <c r="C149" i="51"/>
  <c r="C142" i="51"/>
  <c r="B86" i="51"/>
  <c r="C183" i="51"/>
  <c r="B18" i="51"/>
  <c r="C85" i="51"/>
  <c r="B84" i="51"/>
  <c r="B121" i="51"/>
  <c r="C237" i="51"/>
  <c r="C178" i="51"/>
  <c r="B78" i="51"/>
  <c r="C192" i="51"/>
  <c r="C73" i="51"/>
  <c r="B176" i="51"/>
  <c r="B95" i="51"/>
  <c r="C190" i="51"/>
  <c r="C150" i="51"/>
  <c r="C233" i="51"/>
  <c r="B172" i="51"/>
  <c r="C117" i="51"/>
  <c r="B7" i="51"/>
  <c r="C138" i="51"/>
  <c r="B39" i="51"/>
  <c r="B245" i="51"/>
  <c r="C28" i="51"/>
  <c r="C10" i="51"/>
  <c r="B60" i="51"/>
  <c r="C158" i="51"/>
  <c r="B28" i="51"/>
  <c r="C189" i="51"/>
  <c r="C11" i="51"/>
  <c r="C58" i="51"/>
  <c r="B146" i="51"/>
  <c r="B114" i="51"/>
  <c r="C243" i="51"/>
  <c r="C229" i="51"/>
  <c r="B19" i="51"/>
  <c r="C234" i="51"/>
  <c r="C63" i="51"/>
  <c r="B199" i="51"/>
  <c r="B190" i="51"/>
  <c r="A2" i="55"/>
  <c r="S101" i="53"/>
  <c r="S97" i="53"/>
  <c r="S93" i="53"/>
  <c r="S94" i="53"/>
  <c r="Q103" i="53"/>
  <c r="S100" i="53"/>
  <c r="S99" i="53"/>
  <c r="S96" i="53"/>
  <c r="S95" i="53"/>
  <c r="S98" i="53"/>
  <c r="S92" i="53"/>
  <c r="A2" i="52" l="1" a="1"/>
  <c r="A2" i="52" s="1"/>
  <c r="V7" i="53"/>
  <c r="S115" i="53"/>
  <c r="S117" i="53"/>
  <c r="S116" i="53"/>
  <c r="S114" i="53"/>
  <c r="S113" i="53"/>
  <c r="S111" i="53"/>
  <c r="S110" i="53"/>
  <c r="Q120" i="53"/>
  <c r="S109" i="53"/>
  <c r="S118" i="53"/>
  <c r="S112" i="53"/>
  <c r="T7" i="53"/>
  <c r="U7" i="53"/>
  <c r="S135" i="53" l="1"/>
  <c r="S128" i="53"/>
  <c r="Q137" i="53"/>
  <c r="S134" i="53"/>
  <c r="S133" i="53"/>
  <c r="S131" i="53"/>
  <c r="S130" i="53"/>
  <c r="S127" i="53"/>
  <c r="S126" i="53"/>
  <c r="S132" i="53"/>
  <c r="S129" i="53"/>
  <c r="S149" i="53" l="1"/>
  <c r="Q154" i="53"/>
  <c r="S148" i="53"/>
  <c r="S147" i="53"/>
  <c r="S145" i="53"/>
  <c r="S144" i="53"/>
  <c r="S150" i="53"/>
  <c r="S151" i="53"/>
  <c r="S143" i="53"/>
  <c r="S152" i="53"/>
  <c r="S146" i="53"/>
  <c r="S169" i="53" l="1"/>
  <c r="Q171" i="53"/>
  <c r="S168" i="53"/>
  <c r="S167" i="53"/>
  <c r="S165" i="53"/>
  <c r="S164" i="53"/>
  <c r="S162" i="53"/>
  <c r="S161" i="53"/>
  <c r="S160" i="53"/>
  <c r="S163" i="53"/>
  <c r="S166" i="53"/>
  <c r="S186" i="53" l="1"/>
  <c r="S184" i="53"/>
  <c r="S179" i="53"/>
  <c r="S178" i="53"/>
  <c r="S181" i="53"/>
  <c r="Q188" i="53"/>
  <c r="S185" i="53"/>
  <c r="S182" i="53"/>
  <c r="S180" i="53"/>
  <c r="S177" i="53"/>
  <c r="S183" i="53"/>
  <c r="S203" i="53" l="1"/>
  <c r="Q205" i="53"/>
  <c r="S202" i="53"/>
  <c r="S201" i="53"/>
  <c r="S199" i="53"/>
  <c r="S198" i="53"/>
  <c r="S196" i="53"/>
  <c r="S195" i="53"/>
  <c r="S200" i="53"/>
  <c r="S194" i="53"/>
  <c r="S197" i="53"/>
  <c r="S217" i="53" l="1"/>
  <c r="S215" i="53"/>
  <c r="Q222" i="53"/>
  <c r="S219" i="53"/>
  <c r="S218" i="53"/>
  <c r="S216" i="53"/>
  <c r="S213" i="53"/>
  <c r="S212" i="53"/>
  <c r="S211" i="53"/>
  <c r="S214" i="53"/>
  <c r="S220" i="53"/>
  <c r="S234" i="53" l="1"/>
  <c r="S235" i="53"/>
  <c r="S233" i="53"/>
  <c r="S232" i="53"/>
  <c r="S236" i="53"/>
  <c r="S230" i="53"/>
  <c r="S229" i="53"/>
  <c r="Q239" i="53"/>
  <c r="S231" i="53"/>
  <c r="S237" i="53"/>
  <c r="S228" i="53"/>
  <c r="S254" i="53" l="1"/>
  <c r="S246" i="53"/>
  <c r="Q256" i="53"/>
  <c r="S252" i="53"/>
  <c r="S249" i="53"/>
  <c r="S247" i="53"/>
  <c r="S250" i="53"/>
  <c r="S253" i="53"/>
  <c r="S245" i="53"/>
  <c r="S248" i="53"/>
  <c r="S251" i="53"/>
  <c r="S270" i="53" l="1"/>
  <c r="S267" i="53"/>
  <c r="S266" i="53"/>
  <c r="S265" i="53"/>
  <c r="S264" i="53"/>
  <c r="S263" i="53"/>
  <c r="S262" i="53"/>
  <c r="Q273" i="53"/>
  <c r="S268" i="53"/>
  <c r="S271" i="53"/>
  <c r="S269" i="53"/>
  <c r="S288" i="53" l="1"/>
  <c r="Q290" i="53"/>
  <c r="S287" i="53"/>
  <c r="S286" i="53"/>
  <c r="S284" i="53"/>
  <c r="S283" i="53"/>
  <c r="S281" i="53"/>
  <c r="S280" i="53"/>
  <c r="S279" i="53"/>
  <c r="S285" i="53"/>
  <c r="S282" i="53"/>
  <c r="S300" i="53" l="1"/>
  <c r="Q307" i="53"/>
  <c r="S297" i="53"/>
  <c r="S305" i="53"/>
  <c r="S304" i="53"/>
  <c r="S298" i="53"/>
  <c r="S303" i="53"/>
  <c r="S301" i="53"/>
  <c r="S296" i="53"/>
  <c r="S299" i="53"/>
  <c r="S302" i="53"/>
  <c r="S319" i="53" l="1"/>
  <c r="S316" i="53"/>
  <c r="S315" i="53"/>
  <c r="S314" i="53"/>
  <c r="S313" i="53"/>
  <c r="Q324" i="53"/>
  <c r="S322" i="53"/>
  <c r="S321" i="53"/>
  <c r="S320" i="53"/>
  <c r="S318" i="53"/>
  <c r="S317" i="53"/>
  <c r="S339" i="53" l="1"/>
  <c r="S337" i="53"/>
  <c r="S335" i="53"/>
  <c r="S334" i="53"/>
  <c r="S332" i="53"/>
  <c r="S331" i="53"/>
  <c r="S338" i="53"/>
  <c r="Q341" i="53"/>
  <c r="S330" i="53"/>
  <c r="S336" i="53"/>
  <c r="S333" i="53"/>
  <c r="S350" i="53" l="1"/>
  <c r="S348" i="53"/>
  <c r="Q358" i="53"/>
  <c r="S355" i="53"/>
  <c r="S354" i="53"/>
  <c r="S352" i="53"/>
  <c r="S351" i="53"/>
  <c r="S349" i="53"/>
  <c r="S353" i="53"/>
  <c r="S347" i="53"/>
  <c r="S356" i="53"/>
  <c r="S370" i="53" l="1"/>
  <c r="S372" i="53"/>
  <c r="S368" i="53"/>
  <c r="S366" i="53"/>
  <c r="S365" i="53"/>
  <c r="S369" i="53"/>
  <c r="Q375" i="53"/>
  <c r="S371" i="53"/>
  <c r="S364" i="53"/>
  <c r="S373" i="53"/>
  <c r="S367" i="53"/>
  <c r="S390" i="53" l="1"/>
  <c r="Q392" i="53"/>
  <c r="S388" i="53"/>
  <c r="S385" i="53"/>
  <c r="S382" i="53"/>
  <c r="S383" i="53"/>
  <c r="S386" i="53"/>
  <c r="S389" i="53"/>
  <c r="S381" i="53"/>
  <c r="S384" i="53"/>
  <c r="S387" i="53"/>
  <c r="S407" i="53" l="1"/>
  <c r="Q409" i="53"/>
  <c r="S403" i="53"/>
  <c r="S402" i="53"/>
  <c r="S400" i="53"/>
  <c r="S399" i="53"/>
  <c r="S405" i="53"/>
  <c r="S406" i="53"/>
  <c r="S398" i="53"/>
  <c r="S401" i="53"/>
  <c r="S404" i="53"/>
  <c r="S421" i="53" l="1"/>
  <c r="Q426" i="53"/>
  <c r="S423" i="53"/>
  <c r="S422" i="53"/>
  <c r="S420" i="53"/>
  <c r="S419" i="53"/>
  <c r="S417" i="53"/>
  <c r="S416" i="53"/>
  <c r="S418" i="53"/>
  <c r="S424" i="53"/>
  <c r="S415" i="53"/>
  <c r="S438" i="53" l="1"/>
  <c r="S439" i="53"/>
  <c r="S434" i="53"/>
  <c r="S433" i="53"/>
  <c r="S436" i="53"/>
  <c r="S440" i="53"/>
  <c r="S437" i="53"/>
  <c r="S432" i="53"/>
  <c r="S441" i="53"/>
  <c r="S435" i="53"/>
  <c r="H3" i="52" l="1"/>
  <c r="H4" i="52" s="1"/>
  <c r="K3" i="52" l="1"/>
  <c r="J3" i="52"/>
  <c r="H5" i="52"/>
  <c r="K4" i="52"/>
  <c r="J4" i="52"/>
  <c r="I3" i="52" l="1"/>
  <c r="L3" i="52" s="1"/>
  <c r="H6" i="52"/>
  <c r="J5" i="52"/>
  <c r="K5" i="52"/>
  <c r="I4" i="52" l="1"/>
  <c r="L4" i="52" s="1"/>
  <c r="V9" i="53" s="1"/>
  <c r="U8" i="53"/>
  <c r="T8" i="53"/>
  <c r="V8" i="53"/>
  <c r="H7" i="52"/>
  <c r="K6" i="52"/>
  <c r="J6" i="52"/>
  <c r="U9" i="53" l="1"/>
  <c r="T9" i="53"/>
  <c r="I5" i="52"/>
  <c r="L5" i="52" s="1"/>
  <c r="T10" i="53" s="1"/>
  <c r="H8" i="52"/>
  <c r="J7" i="52"/>
  <c r="K7" i="52"/>
  <c r="V10" i="53" l="1"/>
  <c r="U10" i="53"/>
  <c r="I6" i="52"/>
  <c r="L6" i="52" s="1"/>
  <c r="V11" i="53" s="1"/>
  <c r="H9" i="52"/>
  <c r="K8" i="52"/>
  <c r="J8" i="52"/>
  <c r="I7" i="52" l="1"/>
  <c r="L7" i="52" s="1"/>
  <c r="V12" i="53" s="1"/>
  <c r="U11" i="53"/>
  <c r="T11" i="53"/>
  <c r="H10" i="52"/>
  <c r="J9" i="52"/>
  <c r="K9" i="52"/>
  <c r="T12" i="53" l="1"/>
  <c r="I8" i="52"/>
  <c r="L8" i="52" s="1"/>
  <c r="T13" i="53" s="1"/>
  <c r="U12" i="53"/>
  <c r="H11" i="52"/>
  <c r="K10" i="52"/>
  <c r="J10" i="52"/>
  <c r="I9" i="52" l="1"/>
  <c r="L9" i="52" s="1"/>
  <c r="T14" i="53" s="1"/>
  <c r="U13" i="53"/>
  <c r="V13" i="53"/>
  <c r="H12" i="52"/>
  <c r="J11" i="52"/>
  <c r="K11" i="52"/>
  <c r="U14" i="53" l="1"/>
  <c r="V14" i="53"/>
  <c r="H13" i="52"/>
  <c r="J12" i="52"/>
  <c r="K12" i="52"/>
  <c r="H14" i="52" l="1"/>
  <c r="H15" i="52" s="1"/>
  <c r="K13" i="52"/>
  <c r="J13" i="52"/>
  <c r="H16" i="52" l="1"/>
  <c r="K15" i="52"/>
  <c r="J15" i="52"/>
  <c r="K14" i="52"/>
  <c r="J14" i="52"/>
  <c r="H17" i="52" l="1"/>
  <c r="K16" i="52"/>
  <c r="J16" i="52"/>
  <c r="H18" i="52" l="1"/>
  <c r="K17" i="52"/>
  <c r="J17" i="52"/>
  <c r="H19" i="52" l="1"/>
  <c r="K18" i="52"/>
  <c r="J18" i="52"/>
  <c r="H20" i="52" l="1"/>
  <c r="J19" i="52"/>
  <c r="K19" i="52"/>
  <c r="J20" i="52" l="1"/>
  <c r="K20" i="52"/>
  <c r="H21" i="52"/>
  <c r="H22" i="52" l="1"/>
  <c r="K21" i="52"/>
  <c r="J21" i="52"/>
  <c r="H23" i="52" l="1"/>
  <c r="J22" i="52"/>
  <c r="K22" i="52"/>
  <c r="H24" i="52" l="1"/>
  <c r="K23" i="52"/>
  <c r="J23" i="52"/>
  <c r="H25" i="52" l="1"/>
  <c r="J24" i="52"/>
  <c r="K24" i="52"/>
  <c r="H26" i="52" l="1"/>
  <c r="K25" i="52"/>
  <c r="J25" i="52"/>
  <c r="J26" i="52" l="1"/>
  <c r="K26" i="52"/>
  <c r="H27" i="52"/>
  <c r="H28" i="52" l="1"/>
  <c r="K27" i="52"/>
  <c r="J27" i="52"/>
  <c r="H29" i="52" l="1"/>
  <c r="J28" i="52"/>
  <c r="K28" i="52"/>
  <c r="H30" i="52" l="1"/>
  <c r="K29" i="52"/>
  <c r="J29" i="52"/>
  <c r="H31" i="52" l="1"/>
  <c r="K30" i="52"/>
  <c r="J30" i="52"/>
  <c r="H32" i="52" l="1"/>
  <c r="H33" i="52" s="1"/>
  <c r="H34" i="52" s="1"/>
  <c r="K31" i="52"/>
  <c r="J31" i="52"/>
  <c r="H35" i="52" l="1"/>
  <c r="J34" i="52"/>
  <c r="K34" i="52"/>
  <c r="J33" i="52"/>
  <c r="K33" i="52"/>
  <c r="J32" i="52"/>
  <c r="K32" i="52"/>
  <c r="H36" i="52" l="1"/>
  <c r="J35" i="52"/>
  <c r="K35" i="52"/>
  <c r="H37" i="52" l="1"/>
  <c r="J36" i="52"/>
  <c r="K36" i="52"/>
  <c r="H38" i="52" l="1"/>
  <c r="J37" i="52"/>
  <c r="K37" i="52"/>
  <c r="H39" i="52" l="1"/>
  <c r="K38" i="52"/>
  <c r="J38" i="52"/>
  <c r="H40" i="52" l="1"/>
  <c r="J39" i="52"/>
  <c r="K39" i="52"/>
  <c r="H41" i="52" l="1"/>
  <c r="K40" i="52"/>
  <c r="J40" i="52"/>
  <c r="H42" i="52" l="1"/>
  <c r="J41" i="52"/>
  <c r="K41" i="52"/>
  <c r="H43" i="52" l="1"/>
  <c r="K42" i="52"/>
  <c r="J42" i="52"/>
  <c r="H44" i="52" l="1"/>
  <c r="J43" i="52"/>
  <c r="K43" i="52"/>
  <c r="H45" i="52" l="1"/>
  <c r="K44" i="52"/>
  <c r="J44" i="52"/>
  <c r="H46" i="52" l="1"/>
  <c r="J45" i="52"/>
  <c r="K45" i="52"/>
  <c r="H47" i="52" l="1"/>
  <c r="J46" i="52"/>
  <c r="K46" i="52"/>
  <c r="H48" i="52" l="1"/>
  <c r="J47" i="52"/>
  <c r="K47" i="52"/>
  <c r="H49" i="52" l="1"/>
  <c r="J48" i="52"/>
  <c r="K48" i="52"/>
  <c r="H50" i="52" l="1"/>
  <c r="H51" i="52" s="1"/>
  <c r="K49" i="52"/>
  <c r="J49" i="52"/>
  <c r="H52" i="52" l="1"/>
  <c r="K51" i="52"/>
  <c r="J51" i="52"/>
  <c r="J50" i="52"/>
  <c r="K50" i="52"/>
  <c r="H53" i="52" l="1"/>
  <c r="J52" i="52"/>
  <c r="K52" i="52"/>
  <c r="H54" i="52" l="1"/>
  <c r="K53" i="52"/>
  <c r="J53" i="52"/>
  <c r="H55" i="52" l="1"/>
  <c r="K54" i="52"/>
  <c r="J54" i="52"/>
  <c r="I10" i="52"/>
  <c r="I11" i="52" s="1"/>
  <c r="H56" i="52" l="1"/>
  <c r="K55" i="52"/>
  <c r="J55" i="52"/>
  <c r="L10" i="52"/>
  <c r="I12" i="52"/>
  <c r="L11" i="52"/>
  <c r="H57" i="52" l="1"/>
  <c r="K56" i="52"/>
  <c r="J56" i="52"/>
  <c r="T15" i="53"/>
  <c r="U15" i="53"/>
  <c r="V15" i="53"/>
  <c r="U16" i="53"/>
  <c r="V16" i="53"/>
  <c r="T16" i="53"/>
  <c r="L12" i="52"/>
  <c r="T24" i="53" s="1"/>
  <c r="I13" i="52"/>
  <c r="H58" i="52" l="1"/>
  <c r="J57" i="52"/>
  <c r="K57" i="52"/>
  <c r="I14" i="52"/>
  <c r="L13" i="52"/>
  <c r="U25" i="53" s="1"/>
  <c r="V24" i="53"/>
  <c r="U24" i="53"/>
  <c r="H59" i="52" l="1"/>
  <c r="K58" i="52"/>
  <c r="J58" i="52"/>
  <c r="V25" i="53"/>
  <c r="T25" i="53"/>
  <c r="I15" i="52"/>
  <c r="L14" i="52"/>
  <c r="H60" i="52" l="1"/>
  <c r="J59" i="52"/>
  <c r="K59" i="52"/>
  <c r="U26" i="53"/>
  <c r="T26" i="53"/>
  <c r="V26" i="53"/>
  <c r="I16" i="52"/>
  <c r="L15" i="52"/>
  <c r="H61" i="52" l="1"/>
  <c r="J60" i="52"/>
  <c r="K60" i="52"/>
  <c r="I17" i="52"/>
  <c r="L16" i="52"/>
  <c r="H62" i="52" l="1"/>
  <c r="K61" i="52"/>
  <c r="J61" i="52"/>
  <c r="I18" i="52"/>
  <c r="L17" i="52"/>
  <c r="H63" i="52" l="1"/>
  <c r="K62" i="52"/>
  <c r="J62" i="52"/>
  <c r="L18" i="52"/>
  <c r="I19" i="52"/>
  <c r="H64" i="52" l="1"/>
  <c r="J63" i="52"/>
  <c r="K63" i="52"/>
  <c r="L19" i="52"/>
  <c r="I20" i="52"/>
  <c r="H65" i="52" l="1"/>
  <c r="J64" i="52"/>
  <c r="K64" i="52"/>
  <c r="L20" i="52"/>
  <c r="I21" i="52"/>
  <c r="H66" i="52" l="1"/>
  <c r="J65" i="52"/>
  <c r="K65" i="52"/>
  <c r="L21" i="52"/>
  <c r="I22" i="52"/>
  <c r="H67" i="52" l="1"/>
  <c r="J66" i="52"/>
  <c r="K66" i="52"/>
  <c r="V41" i="53"/>
  <c r="T41" i="53"/>
  <c r="L22" i="52"/>
  <c r="I23" i="52"/>
  <c r="U41" i="53" l="1"/>
  <c r="V42" i="53"/>
  <c r="H68" i="52"/>
  <c r="K67" i="52"/>
  <c r="J67" i="52"/>
  <c r="L23" i="52"/>
  <c r="T42" i="53" s="1"/>
  <c r="I24" i="52"/>
  <c r="U42" i="53" l="1"/>
  <c r="J68" i="52"/>
  <c r="K68" i="52"/>
  <c r="H69" i="52"/>
  <c r="U43" i="53"/>
  <c r="V43" i="53"/>
  <c r="L24" i="52"/>
  <c r="I25" i="52"/>
  <c r="T43" i="53" l="1"/>
  <c r="K69" i="52"/>
  <c r="J69" i="52"/>
  <c r="H70" i="52"/>
  <c r="T44" i="53"/>
  <c r="L25" i="52"/>
  <c r="I26" i="52"/>
  <c r="U44" i="53" l="1"/>
  <c r="V44" i="53"/>
  <c r="H71" i="52"/>
  <c r="K70" i="52"/>
  <c r="J70" i="52"/>
  <c r="L26" i="52"/>
  <c r="U45" i="53" s="1"/>
  <c r="I27" i="52"/>
  <c r="K71" i="52" l="1"/>
  <c r="J71" i="52"/>
  <c r="H72" i="52"/>
  <c r="T45" i="53"/>
  <c r="V45" i="53"/>
  <c r="I28" i="52"/>
  <c r="L27" i="52"/>
  <c r="U46" i="53" s="1"/>
  <c r="H73" i="52" l="1"/>
  <c r="J72" i="52"/>
  <c r="K72" i="52"/>
  <c r="T46" i="53"/>
  <c r="V46" i="53"/>
  <c r="T47" i="53"/>
  <c r="I29" i="52"/>
  <c r="L28" i="52"/>
  <c r="U47" i="53" l="1"/>
  <c r="V47" i="53"/>
  <c r="K73" i="52"/>
  <c r="H74" i="52"/>
  <c r="J73" i="52"/>
  <c r="I30" i="52"/>
  <c r="L29" i="52"/>
  <c r="K74" i="52" l="1"/>
  <c r="J74" i="52"/>
  <c r="H75" i="52"/>
  <c r="I31" i="52"/>
  <c r="L30" i="52"/>
  <c r="H76" i="52" l="1"/>
  <c r="K75" i="52"/>
  <c r="J75" i="52"/>
  <c r="I32" i="52"/>
  <c r="L31" i="52"/>
  <c r="H77" i="52" l="1"/>
  <c r="K76" i="52"/>
  <c r="J76" i="52"/>
  <c r="L32" i="52"/>
  <c r="I33" i="52"/>
  <c r="H78" i="52" l="1"/>
  <c r="K77" i="52"/>
  <c r="J77" i="52"/>
  <c r="L33" i="52"/>
  <c r="I34" i="52"/>
  <c r="J78" i="52" l="1"/>
  <c r="K78" i="52"/>
  <c r="H79" i="52"/>
  <c r="L34" i="52"/>
  <c r="I35" i="52"/>
  <c r="H80" i="52" l="1"/>
  <c r="K79" i="52"/>
  <c r="J79" i="52"/>
  <c r="L35" i="52"/>
  <c r="I36" i="52"/>
  <c r="H81" i="52" l="1"/>
  <c r="J80" i="52"/>
  <c r="K80" i="52"/>
  <c r="L36" i="52"/>
  <c r="I37" i="52"/>
  <c r="H82" i="52" l="1"/>
  <c r="K81" i="52"/>
  <c r="J81" i="52"/>
  <c r="L37" i="52"/>
  <c r="I38" i="52"/>
  <c r="H83" i="52" l="1"/>
  <c r="J82" i="52"/>
  <c r="K82" i="52"/>
  <c r="I39" i="52"/>
  <c r="L38" i="52"/>
  <c r="H84" i="52" l="1"/>
  <c r="J83" i="52"/>
  <c r="K83" i="52"/>
  <c r="L39" i="52"/>
  <c r="I40" i="52"/>
  <c r="H85" i="52" l="1"/>
  <c r="J84" i="52"/>
  <c r="K84" i="52"/>
  <c r="I41" i="52"/>
  <c r="L40" i="52"/>
  <c r="K85" i="52" l="1"/>
  <c r="J85" i="52"/>
  <c r="H86" i="52"/>
  <c r="I42" i="52"/>
  <c r="L41" i="52"/>
  <c r="J86" i="52" l="1"/>
  <c r="K86" i="52"/>
  <c r="H87" i="52"/>
  <c r="I43" i="52"/>
  <c r="L42" i="52"/>
  <c r="H88" i="52" l="1"/>
  <c r="J87" i="52"/>
  <c r="K87" i="52"/>
  <c r="L43" i="52"/>
  <c r="I44" i="52"/>
  <c r="K88" i="52" l="1"/>
  <c r="H89" i="52"/>
  <c r="J88" i="52"/>
  <c r="L44" i="52"/>
  <c r="I45" i="52"/>
  <c r="H90" i="52" l="1"/>
  <c r="J89" i="52"/>
  <c r="K89" i="52"/>
  <c r="L45" i="52"/>
  <c r="I46" i="52"/>
  <c r="J90" i="52" l="1"/>
  <c r="K90" i="52"/>
  <c r="H91" i="52"/>
  <c r="I47" i="52"/>
  <c r="L46" i="52"/>
  <c r="H92" i="52" l="1"/>
  <c r="K91" i="52"/>
  <c r="J91" i="52"/>
  <c r="L47" i="52"/>
  <c r="I48" i="52"/>
  <c r="H93" i="52" l="1"/>
  <c r="J92" i="52"/>
  <c r="K92" i="52"/>
  <c r="I49" i="52"/>
  <c r="L48" i="52"/>
  <c r="H94" i="52" l="1"/>
  <c r="K93" i="52"/>
  <c r="J93" i="52"/>
  <c r="L49" i="52"/>
  <c r="I50" i="52"/>
  <c r="H95" i="52" l="1"/>
  <c r="K94" i="52"/>
  <c r="J94" i="52"/>
  <c r="L50" i="52"/>
  <c r="I51" i="52"/>
  <c r="H96" i="52" l="1"/>
  <c r="J95" i="52"/>
  <c r="K95" i="52"/>
  <c r="L51" i="52"/>
  <c r="I52" i="52"/>
  <c r="H97" i="52" l="1"/>
  <c r="K96" i="52"/>
  <c r="J96" i="52"/>
  <c r="I53" i="52"/>
  <c r="L52" i="52"/>
  <c r="H98" i="52" l="1"/>
  <c r="J97" i="52"/>
  <c r="K97" i="52"/>
  <c r="L53" i="52"/>
  <c r="I54" i="52"/>
  <c r="H99" i="52" l="1"/>
  <c r="K98" i="52"/>
  <c r="J98" i="52"/>
  <c r="I55" i="52"/>
  <c r="L54" i="52"/>
  <c r="H100" i="52" l="1"/>
  <c r="K99" i="52"/>
  <c r="J99" i="52"/>
  <c r="I56" i="52"/>
  <c r="L55" i="52"/>
  <c r="H101" i="52" l="1"/>
  <c r="J100" i="52"/>
  <c r="K100" i="52"/>
  <c r="L56" i="52"/>
  <c r="I57" i="52"/>
  <c r="K101" i="52" l="1"/>
  <c r="J101" i="52"/>
  <c r="H102" i="52"/>
  <c r="I58" i="52"/>
  <c r="L57" i="52"/>
  <c r="H103" i="52" l="1"/>
  <c r="J102" i="52"/>
  <c r="K102" i="52"/>
  <c r="I59" i="52"/>
  <c r="L58" i="52"/>
  <c r="H104" i="52" l="1"/>
  <c r="K103" i="52"/>
  <c r="J103" i="52"/>
  <c r="I60" i="52"/>
  <c r="L59" i="52"/>
  <c r="H105" i="52" l="1"/>
  <c r="K104" i="52"/>
  <c r="J104" i="52"/>
  <c r="L60" i="52"/>
  <c r="I61" i="52"/>
  <c r="H106" i="52" l="1"/>
  <c r="J105" i="52"/>
  <c r="K105" i="52"/>
  <c r="L61" i="52"/>
  <c r="I62" i="52"/>
  <c r="H107" i="52" l="1"/>
  <c r="J106" i="52"/>
  <c r="K106" i="52"/>
  <c r="L62" i="52"/>
  <c r="I63" i="52"/>
  <c r="H108" i="52" l="1"/>
  <c r="J107" i="52"/>
  <c r="K107" i="52"/>
  <c r="L63" i="52"/>
  <c r="I64" i="52"/>
  <c r="H109" i="52" l="1"/>
  <c r="J108" i="52"/>
  <c r="K108" i="52"/>
  <c r="L64" i="52"/>
  <c r="I65" i="52"/>
  <c r="H110" i="52" l="1"/>
  <c r="J109" i="52"/>
  <c r="K109" i="52"/>
  <c r="L65" i="52"/>
  <c r="I66" i="52"/>
  <c r="H111" i="52" l="1"/>
  <c r="J110" i="52"/>
  <c r="K110" i="52"/>
  <c r="L66" i="52"/>
  <c r="I67" i="52"/>
  <c r="H112" i="52" l="1"/>
  <c r="K111" i="52"/>
  <c r="J111" i="52"/>
  <c r="I68" i="52"/>
  <c r="L67" i="52"/>
  <c r="H113" i="52" l="1"/>
  <c r="K112" i="52"/>
  <c r="J112" i="52"/>
  <c r="I69" i="52"/>
  <c r="L68" i="52"/>
  <c r="H114" i="52" l="1"/>
  <c r="J113" i="52"/>
  <c r="K113" i="52"/>
  <c r="L69" i="52"/>
  <c r="I70" i="52"/>
  <c r="H115" i="52" l="1"/>
  <c r="J114" i="52"/>
  <c r="K114" i="52"/>
  <c r="L70" i="52"/>
  <c r="I71" i="52"/>
  <c r="H116" i="52" l="1"/>
  <c r="K115" i="52"/>
  <c r="J115" i="52"/>
  <c r="L71" i="52"/>
  <c r="I72" i="52"/>
  <c r="J116" i="52" l="1"/>
  <c r="H117" i="52"/>
  <c r="K116" i="52"/>
  <c r="L72" i="52"/>
  <c r="I73" i="52"/>
  <c r="H118" i="52" l="1"/>
  <c r="J117" i="52"/>
  <c r="K117" i="52"/>
  <c r="L73" i="52"/>
  <c r="I74" i="52"/>
  <c r="K118" i="52" l="1"/>
  <c r="H119" i="52"/>
  <c r="J118" i="52"/>
  <c r="L74" i="52"/>
  <c r="I75" i="52"/>
  <c r="H120" i="52" l="1"/>
  <c r="J119" i="52"/>
  <c r="K119" i="52"/>
  <c r="L75" i="52"/>
  <c r="I76" i="52"/>
  <c r="H121" i="52" l="1"/>
  <c r="J120" i="52"/>
  <c r="K120" i="52"/>
  <c r="L76" i="52"/>
  <c r="I77" i="52"/>
  <c r="H122" i="52" l="1"/>
  <c r="J121" i="52"/>
  <c r="K121" i="52"/>
  <c r="L77" i="52"/>
  <c r="I78" i="52"/>
  <c r="H123" i="52" l="1"/>
  <c r="K122" i="52"/>
  <c r="J122" i="52"/>
  <c r="L78" i="52"/>
  <c r="I79" i="52"/>
  <c r="H124" i="52" l="1"/>
  <c r="J123" i="52"/>
  <c r="K123" i="52"/>
  <c r="L79" i="52"/>
  <c r="I80" i="52"/>
  <c r="H125" i="52" l="1"/>
  <c r="J124" i="52"/>
  <c r="K124" i="52"/>
  <c r="L80" i="52"/>
  <c r="I81" i="52"/>
  <c r="H126" i="52" l="1"/>
  <c r="J125" i="52"/>
  <c r="K125" i="52"/>
  <c r="I82" i="52"/>
  <c r="L81" i="52"/>
  <c r="H127" i="52" l="1"/>
  <c r="K126" i="52"/>
  <c r="J126" i="52"/>
  <c r="I83" i="52"/>
  <c r="L82" i="52"/>
  <c r="H128" i="52" l="1"/>
  <c r="K127" i="52"/>
  <c r="J127" i="52"/>
  <c r="I84" i="52"/>
  <c r="L83" i="52"/>
  <c r="J128" i="52" l="1"/>
  <c r="H129" i="52"/>
  <c r="K128" i="52"/>
  <c r="I85" i="52"/>
  <c r="L84" i="52"/>
  <c r="H130" i="52" l="1"/>
  <c r="J129" i="52"/>
  <c r="K129" i="52"/>
  <c r="I86" i="52"/>
  <c r="L85" i="52"/>
  <c r="H131" i="52" l="1"/>
  <c r="K130" i="52"/>
  <c r="J130" i="52"/>
  <c r="I87" i="52"/>
  <c r="L86" i="52"/>
  <c r="H132" i="52" l="1"/>
  <c r="J131" i="52"/>
  <c r="K131" i="52"/>
  <c r="L87" i="52"/>
  <c r="I88" i="52"/>
  <c r="J132" i="52" l="1"/>
  <c r="K132" i="52"/>
  <c r="H133" i="52"/>
  <c r="L88" i="52"/>
  <c r="I89" i="52"/>
  <c r="H134" i="52" l="1"/>
  <c r="K133" i="52"/>
  <c r="J133" i="52"/>
  <c r="L89" i="52"/>
  <c r="I90" i="52"/>
  <c r="H135" i="52" l="1"/>
  <c r="J134" i="52"/>
  <c r="K134" i="52"/>
  <c r="L90" i="52"/>
  <c r="I91" i="52"/>
  <c r="H136" i="52" l="1"/>
  <c r="K135" i="52"/>
  <c r="J135" i="52"/>
  <c r="L91" i="52"/>
  <c r="I92" i="52"/>
  <c r="J136" i="52" l="1"/>
  <c r="K136" i="52"/>
  <c r="H137" i="52"/>
  <c r="L92" i="52"/>
  <c r="I93" i="52"/>
  <c r="H138" i="52" l="1"/>
  <c r="J137" i="52"/>
  <c r="K137" i="52"/>
  <c r="L93" i="52"/>
  <c r="I94" i="52"/>
  <c r="H139" i="52" l="1"/>
  <c r="J138" i="52"/>
  <c r="K138" i="52"/>
  <c r="I95" i="52"/>
  <c r="L94" i="52"/>
  <c r="H140" i="52" l="1"/>
  <c r="J139" i="52"/>
  <c r="K139" i="52"/>
  <c r="L95" i="52"/>
  <c r="I96" i="52"/>
  <c r="H141" i="52" l="1"/>
  <c r="J140" i="52"/>
  <c r="K140" i="52"/>
  <c r="I97" i="52"/>
  <c r="L96" i="52"/>
  <c r="K141" i="52" l="1"/>
  <c r="J141" i="52"/>
  <c r="H142" i="52"/>
  <c r="L97" i="52"/>
  <c r="I98" i="52"/>
  <c r="H143" i="52" l="1"/>
  <c r="K142" i="52"/>
  <c r="J142" i="52"/>
  <c r="L98" i="52"/>
  <c r="I99" i="52"/>
  <c r="H144" i="52" l="1"/>
  <c r="J143" i="52"/>
  <c r="K143" i="52"/>
  <c r="L99" i="52"/>
  <c r="I100" i="52"/>
  <c r="H145" i="52" l="1"/>
  <c r="K144" i="52"/>
  <c r="J144" i="52"/>
  <c r="I101" i="52"/>
  <c r="L100" i="52"/>
  <c r="H146" i="52" l="1"/>
  <c r="J145" i="52"/>
  <c r="K145" i="52"/>
  <c r="L101" i="52"/>
  <c r="I102" i="52"/>
  <c r="H147" i="52" l="1"/>
  <c r="K146" i="52"/>
  <c r="J146" i="52"/>
  <c r="L102" i="52"/>
  <c r="I103" i="52"/>
  <c r="H148" i="52" l="1"/>
  <c r="K147" i="52"/>
  <c r="J147" i="52"/>
  <c r="I104" i="52"/>
  <c r="L103" i="52"/>
  <c r="H149" i="52" l="1"/>
  <c r="J148" i="52"/>
  <c r="K148" i="52"/>
  <c r="I105" i="52"/>
  <c r="L104" i="52"/>
  <c r="H150" i="52" l="1"/>
  <c r="K149" i="52"/>
  <c r="J149" i="52"/>
  <c r="L105" i="52"/>
  <c r="I106" i="52"/>
  <c r="H151" i="52" l="1"/>
  <c r="K150" i="52"/>
  <c r="J150" i="52"/>
  <c r="I107" i="52"/>
  <c r="L106" i="52"/>
  <c r="H152" i="52" l="1"/>
  <c r="J151" i="52"/>
  <c r="K151" i="52"/>
  <c r="I108" i="52"/>
  <c r="L107" i="52"/>
  <c r="H153" i="52" l="1"/>
  <c r="J152" i="52"/>
  <c r="K152" i="52"/>
  <c r="L108" i="52"/>
  <c r="I109" i="52"/>
  <c r="H154" i="52" l="1"/>
  <c r="K153" i="52"/>
  <c r="J153" i="52"/>
  <c r="I110" i="52"/>
  <c r="L109" i="52"/>
  <c r="J154" i="52" l="1"/>
  <c r="H155" i="52"/>
  <c r="K154" i="52"/>
  <c r="I111" i="52"/>
  <c r="L110" i="52"/>
  <c r="K155" i="52" l="1"/>
  <c r="H156" i="52"/>
  <c r="J155" i="52"/>
  <c r="I112" i="52"/>
  <c r="L111" i="52"/>
  <c r="H157" i="52" l="1"/>
  <c r="K156" i="52"/>
  <c r="J156" i="52"/>
  <c r="I113" i="52"/>
  <c r="L112" i="52"/>
  <c r="K157" i="52" l="1"/>
  <c r="H158" i="52"/>
  <c r="J157" i="52"/>
  <c r="I114" i="52"/>
  <c r="L113" i="52"/>
  <c r="H159" i="52" l="1"/>
  <c r="J158" i="52"/>
  <c r="K158" i="52"/>
  <c r="L114" i="52"/>
  <c r="I115" i="52"/>
  <c r="K159" i="52" l="1"/>
  <c r="J159" i="52"/>
  <c r="H160" i="52"/>
  <c r="L115" i="52"/>
  <c r="I116" i="52"/>
  <c r="H161" i="52" l="1"/>
  <c r="J160" i="52"/>
  <c r="K160" i="52"/>
  <c r="I117" i="52"/>
  <c r="L116" i="52"/>
  <c r="K161" i="52" l="1"/>
  <c r="J161" i="52"/>
  <c r="H162" i="52"/>
  <c r="L117" i="52"/>
  <c r="I118" i="52"/>
  <c r="H163" i="52" l="1"/>
  <c r="K162" i="52"/>
  <c r="J162" i="52"/>
  <c r="L118" i="52"/>
  <c r="I119" i="52"/>
  <c r="K163" i="52" l="1"/>
  <c r="H164" i="52"/>
  <c r="J163" i="52"/>
  <c r="L119" i="52"/>
  <c r="I120" i="52"/>
  <c r="H165" i="52" l="1"/>
  <c r="K164" i="52"/>
  <c r="J164" i="52"/>
  <c r="L120" i="52"/>
  <c r="I121" i="52"/>
  <c r="H166" i="52" l="1"/>
  <c r="J165" i="52"/>
  <c r="K165" i="52"/>
  <c r="L121" i="52"/>
  <c r="I122" i="52"/>
  <c r="H167" i="52" l="1"/>
  <c r="K166" i="52"/>
  <c r="J166" i="52"/>
  <c r="L122" i="52"/>
  <c r="I123" i="52"/>
  <c r="H168" i="52" l="1"/>
  <c r="K167" i="52"/>
  <c r="J167" i="52"/>
  <c r="L123" i="52"/>
  <c r="I124" i="52"/>
  <c r="K168" i="52" l="1"/>
  <c r="J168" i="52"/>
  <c r="H169" i="52"/>
  <c r="L124" i="52"/>
  <c r="I125" i="52"/>
  <c r="H170" i="52" l="1"/>
  <c r="J169" i="52"/>
  <c r="K169" i="52"/>
  <c r="L125" i="52"/>
  <c r="I126" i="52"/>
  <c r="K170" i="52" l="1"/>
  <c r="J170" i="52"/>
  <c r="H171" i="52"/>
  <c r="I127" i="52"/>
  <c r="L126" i="52"/>
  <c r="H172" i="52" l="1"/>
  <c r="J171" i="52"/>
  <c r="K171" i="52"/>
  <c r="I128" i="52"/>
  <c r="L127" i="52"/>
  <c r="H173" i="52" l="1"/>
  <c r="J172" i="52"/>
  <c r="K172" i="52"/>
  <c r="I129" i="52"/>
  <c r="L128" i="52"/>
  <c r="H174" i="52" l="1"/>
  <c r="J173" i="52"/>
  <c r="K173" i="52"/>
  <c r="L129" i="52"/>
  <c r="I130" i="52"/>
  <c r="H175" i="52" l="1"/>
  <c r="K174" i="52"/>
  <c r="J174" i="52"/>
  <c r="I131" i="52"/>
  <c r="L130" i="52"/>
  <c r="H176" i="52" l="1"/>
  <c r="J175" i="52"/>
  <c r="K175" i="52"/>
  <c r="L131" i="52"/>
  <c r="I132" i="52"/>
  <c r="H177" i="52" l="1"/>
  <c r="K176" i="52"/>
  <c r="J176" i="52"/>
  <c r="I133" i="52"/>
  <c r="L132" i="52"/>
  <c r="H178" i="52" l="1"/>
  <c r="J177" i="52"/>
  <c r="K177" i="52"/>
  <c r="I134" i="52"/>
  <c r="L133" i="52"/>
  <c r="H179" i="52" l="1"/>
  <c r="K178" i="52"/>
  <c r="J178" i="52"/>
  <c r="I135" i="52"/>
  <c r="L134" i="52"/>
  <c r="H180" i="52" l="1"/>
  <c r="K179" i="52"/>
  <c r="J179" i="52"/>
  <c r="L135" i="52"/>
  <c r="I136" i="52"/>
  <c r="H181" i="52" l="1"/>
  <c r="K180" i="52"/>
  <c r="J180" i="52"/>
  <c r="L136" i="52"/>
  <c r="I137" i="52"/>
  <c r="K181" i="52" l="1"/>
  <c r="H182" i="52"/>
  <c r="J181" i="52"/>
  <c r="L137" i="52"/>
  <c r="I138" i="52"/>
  <c r="H183" i="52" l="1"/>
  <c r="K182" i="52"/>
  <c r="J182" i="52"/>
  <c r="I139" i="52"/>
  <c r="L138" i="52"/>
  <c r="H184" i="52" l="1"/>
  <c r="K183" i="52"/>
  <c r="J183" i="52"/>
  <c r="L139" i="52"/>
  <c r="I140" i="52"/>
  <c r="K184" i="52" l="1"/>
  <c r="J184" i="52"/>
  <c r="H185" i="52"/>
  <c r="L140" i="52"/>
  <c r="I141" i="52"/>
  <c r="H186" i="52" l="1"/>
  <c r="J185" i="52"/>
  <c r="K185" i="52"/>
  <c r="I142" i="52"/>
  <c r="L141" i="52"/>
  <c r="J186" i="52" l="1"/>
  <c r="K186" i="52"/>
  <c r="H187" i="52"/>
  <c r="L142" i="52"/>
  <c r="I143" i="52"/>
  <c r="H188" i="52" l="1"/>
  <c r="K187" i="52"/>
  <c r="J187" i="52"/>
  <c r="I144" i="52"/>
  <c r="L143" i="52"/>
  <c r="H189" i="52" l="1"/>
  <c r="K188" i="52"/>
  <c r="J188" i="52"/>
  <c r="L144" i="52"/>
  <c r="I145" i="52"/>
  <c r="H190" i="52" l="1"/>
  <c r="J189" i="52"/>
  <c r="K189" i="52"/>
  <c r="L145" i="52"/>
  <c r="I146" i="52"/>
  <c r="H191" i="52" l="1"/>
  <c r="J190" i="52"/>
  <c r="K190" i="52"/>
  <c r="I147" i="52"/>
  <c r="L146" i="52"/>
  <c r="H192" i="52" l="1"/>
  <c r="J191" i="52"/>
  <c r="K191" i="52"/>
  <c r="I148" i="52"/>
  <c r="L147" i="52"/>
  <c r="H193" i="52" l="1"/>
  <c r="J192" i="52"/>
  <c r="K192" i="52"/>
  <c r="L148" i="52"/>
  <c r="I149" i="52"/>
  <c r="H194" i="52" l="1"/>
  <c r="K193" i="52"/>
  <c r="J193" i="52"/>
  <c r="I150" i="52"/>
  <c r="L149" i="52"/>
  <c r="H195" i="52" l="1"/>
  <c r="J194" i="52"/>
  <c r="K194" i="52"/>
  <c r="I151" i="52"/>
  <c r="L150" i="52"/>
  <c r="K195" i="52" l="1"/>
  <c r="J195" i="52"/>
  <c r="H196" i="52"/>
  <c r="L151" i="52"/>
  <c r="I152" i="52"/>
  <c r="H197" i="52" l="1"/>
  <c r="K196" i="52"/>
  <c r="J196" i="52"/>
  <c r="L152" i="52"/>
  <c r="I153" i="52"/>
  <c r="K197" i="52" l="1"/>
  <c r="J197" i="52"/>
  <c r="H198" i="52"/>
  <c r="L153" i="52"/>
  <c r="I154" i="52"/>
  <c r="H199" i="52" l="1"/>
  <c r="K198" i="52"/>
  <c r="J198" i="52"/>
  <c r="L154" i="52"/>
  <c r="I155" i="52"/>
  <c r="J199" i="52" l="1"/>
  <c r="K199" i="52"/>
  <c r="H200" i="52"/>
  <c r="L155" i="52"/>
  <c r="I156" i="52"/>
  <c r="H201" i="52" l="1"/>
  <c r="J200" i="52"/>
  <c r="K200" i="52"/>
  <c r="L156" i="52"/>
  <c r="I157" i="52"/>
  <c r="H202" i="52" l="1"/>
  <c r="K201" i="52"/>
  <c r="J201" i="52"/>
  <c r="L157" i="52"/>
  <c r="I158" i="52"/>
  <c r="K202" i="52" l="1"/>
  <c r="J202" i="52"/>
  <c r="H203" i="52"/>
  <c r="I159" i="52"/>
  <c r="L158" i="52"/>
  <c r="J203" i="52" l="1"/>
  <c r="K203" i="52"/>
  <c r="H204" i="52"/>
  <c r="L159" i="52"/>
  <c r="I160" i="52"/>
  <c r="H205" i="52" l="1"/>
  <c r="J204" i="52"/>
  <c r="K204" i="52"/>
  <c r="I161" i="52"/>
  <c r="L160" i="52"/>
  <c r="K205" i="52" l="1"/>
  <c r="H206" i="52"/>
  <c r="J205" i="52"/>
  <c r="L161" i="52"/>
  <c r="I162" i="52"/>
  <c r="H207" i="52" l="1"/>
  <c r="J206" i="52"/>
  <c r="K206" i="52"/>
  <c r="L162" i="52"/>
  <c r="I163" i="52"/>
  <c r="H208" i="52" l="1"/>
  <c r="K207" i="52"/>
  <c r="J207" i="52"/>
  <c r="I164" i="52"/>
  <c r="L163" i="52"/>
  <c r="H209" i="52" l="1"/>
  <c r="J208" i="52"/>
  <c r="K208" i="52"/>
  <c r="I165" i="52"/>
  <c r="L164" i="52"/>
  <c r="J209" i="52" l="1"/>
  <c r="H210" i="52"/>
  <c r="K209" i="52"/>
  <c r="L165" i="52"/>
  <c r="I166" i="52"/>
  <c r="J210" i="52" l="1"/>
  <c r="K210" i="52"/>
  <c r="H211" i="52"/>
  <c r="L166" i="52"/>
  <c r="I167" i="52"/>
  <c r="J211" i="52" l="1"/>
  <c r="H212" i="52"/>
  <c r="K211" i="52"/>
  <c r="I168" i="52"/>
  <c r="L167" i="52"/>
  <c r="K212" i="52" l="1"/>
  <c r="J212" i="52"/>
  <c r="H213" i="52"/>
  <c r="I169" i="52"/>
  <c r="L168" i="52"/>
  <c r="K213" i="52" l="1"/>
  <c r="H214" i="52"/>
  <c r="J213" i="52"/>
  <c r="I170" i="52"/>
  <c r="L169" i="52"/>
  <c r="H215" i="52" l="1"/>
  <c r="K214" i="52"/>
  <c r="J214" i="52"/>
  <c r="L170" i="52"/>
  <c r="I171" i="52"/>
  <c r="J215" i="52" l="1"/>
  <c r="H216" i="52"/>
  <c r="K215" i="52"/>
  <c r="L171" i="52"/>
  <c r="I172" i="52"/>
  <c r="J216" i="52" l="1"/>
  <c r="H217" i="52"/>
  <c r="K216" i="52"/>
  <c r="L172" i="52"/>
  <c r="I173" i="52"/>
  <c r="H218" i="52" l="1"/>
  <c r="J217" i="52"/>
  <c r="K217" i="52"/>
  <c r="L173" i="52"/>
  <c r="I174" i="52"/>
  <c r="K218" i="52" l="1"/>
  <c r="H219" i="52"/>
  <c r="J218" i="52"/>
  <c r="L174" i="52"/>
  <c r="I175" i="52"/>
  <c r="J219" i="52" l="1"/>
  <c r="K219" i="52"/>
  <c r="H220" i="52"/>
  <c r="I176" i="52"/>
  <c r="L175" i="52"/>
  <c r="J220" i="52" l="1"/>
  <c r="H221" i="52"/>
  <c r="K220" i="52"/>
  <c r="L176" i="52"/>
  <c r="I177" i="52"/>
  <c r="H222" i="52" l="1"/>
  <c r="J221" i="52"/>
  <c r="K221" i="52"/>
  <c r="L177" i="52"/>
  <c r="I178" i="52"/>
  <c r="K222" i="52" l="1"/>
  <c r="J222" i="52"/>
  <c r="H223" i="52"/>
  <c r="L178" i="52"/>
  <c r="I179" i="52"/>
  <c r="K223" i="52" l="1"/>
  <c r="H224" i="52"/>
  <c r="J223" i="52"/>
  <c r="L179" i="52"/>
  <c r="I180" i="52"/>
  <c r="K224" i="52" l="1"/>
  <c r="H225" i="52"/>
  <c r="J224" i="52"/>
  <c r="L180" i="52"/>
  <c r="I181" i="52"/>
  <c r="K225" i="52" l="1"/>
  <c r="J225" i="52"/>
  <c r="H226" i="52"/>
  <c r="L181" i="52"/>
  <c r="I182" i="52"/>
  <c r="K226" i="52" l="1"/>
  <c r="J226" i="52"/>
  <c r="H227" i="52"/>
  <c r="L182" i="52"/>
  <c r="I183" i="52"/>
  <c r="K227" i="52" l="1"/>
  <c r="H228" i="52"/>
  <c r="J227" i="52"/>
  <c r="L183" i="52"/>
  <c r="I184" i="52"/>
  <c r="H229" i="52" l="1"/>
  <c r="K228" i="52"/>
  <c r="J228" i="52"/>
  <c r="I185" i="52"/>
  <c r="L184" i="52"/>
  <c r="K229" i="52" l="1"/>
  <c r="J229" i="52"/>
  <c r="H230" i="52"/>
  <c r="I186" i="52"/>
  <c r="L185" i="52"/>
  <c r="H231" i="52" l="1"/>
  <c r="J230" i="52"/>
  <c r="K230" i="52"/>
  <c r="L186" i="52"/>
  <c r="I187" i="52"/>
  <c r="J231" i="52" l="1"/>
  <c r="H232" i="52"/>
  <c r="K231" i="52"/>
  <c r="L187" i="52"/>
  <c r="I188" i="52"/>
  <c r="K232" i="52" l="1"/>
  <c r="H233" i="52"/>
  <c r="J232" i="52"/>
  <c r="I189" i="52"/>
  <c r="L188" i="52"/>
  <c r="H234" i="52" l="1"/>
  <c r="K233" i="52"/>
  <c r="J233" i="52"/>
  <c r="I190" i="52"/>
  <c r="L189" i="52"/>
  <c r="K234" i="52" l="1"/>
  <c r="J234" i="52"/>
  <c r="H235" i="52"/>
  <c r="L190" i="52"/>
  <c r="I191" i="52"/>
  <c r="J235" i="52" l="1"/>
  <c r="H236" i="52"/>
  <c r="K235" i="52"/>
  <c r="L191" i="52"/>
  <c r="I192" i="52"/>
  <c r="J236" i="52" l="1"/>
  <c r="H237" i="52"/>
  <c r="K236" i="52"/>
  <c r="I193" i="52"/>
  <c r="L192" i="52"/>
  <c r="J237" i="52" l="1"/>
  <c r="K237" i="52"/>
  <c r="H238" i="52"/>
  <c r="L193" i="52"/>
  <c r="I194" i="52"/>
  <c r="J238" i="52" l="1"/>
  <c r="H239" i="52"/>
  <c r="K238" i="52"/>
  <c r="I195" i="52"/>
  <c r="L194" i="52"/>
  <c r="K239" i="52" l="1"/>
  <c r="H240" i="52"/>
  <c r="J239" i="52"/>
  <c r="L195" i="52"/>
  <c r="I196" i="52"/>
  <c r="J240" i="52" l="1"/>
  <c r="H241" i="52"/>
  <c r="K240" i="52"/>
  <c r="I197" i="52"/>
  <c r="L196" i="52"/>
  <c r="H242" i="52" l="1"/>
  <c r="J241" i="52"/>
  <c r="K241" i="52"/>
  <c r="I198" i="52"/>
  <c r="L197" i="52"/>
  <c r="J242" i="52" l="1"/>
  <c r="K242" i="52"/>
  <c r="H243" i="52"/>
  <c r="I199" i="52"/>
  <c r="L198" i="52"/>
  <c r="J243" i="52" l="1"/>
  <c r="H244" i="52"/>
  <c r="K243" i="52"/>
  <c r="L199" i="52"/>
  <c r="I200" i="52"/>
  <c r="H245" i="52" l="1"/>
  <c r="J244" i="52"/>
  <c r="K244" i="52"/>
  <c r="I201" i="52"/>
  <c r="L200" i="52"/>
  <c r="H246" i="52" l="1"/>
  <c r="K245" i="52"/>
  <c r="J245" i="52"/>
  <c r="L201" i="52"/>
  <c r="I202" i="52"/>
  <c r="J246" i="52" l="1"/>
  <c r="H247" i="52"/>
  <c r="K246" i="52"/>
  <c r="L202" i="52"/>
  <c r="I203" i="52"/>
  <c r="H248" i="52" l="1"/>
  <c r="J247" i="52"/>
  <c r="K247" i="52"/>
  <c r="L203" i="52"/>
  <c r="I204" i="52"/>
  <c r="H249" i="52" l="1"/>
  <c r="K248" i="52"/>
  <c r="J248" i="52"/>
  <c r="L204" i="52"/>
  <c r="I205" i="52"/>
  <c r="K249" i="52" l="1"/>
  <c r="H250" i="52"/>
  <c r="J249" i="52"/>
  <c r="L205" i="52"/>
  <c r="I206" i="52"/>
  <c r="H251" i="52" l="1"/>
  <c r="J250" i="52"/>
  <c r="K250" i="52"/>
  <c r="L206" i="52"/>
  <c r="I207" i="52"/>
  <c r="K251" i="52" l="1"/>
  <c r="J251" i="52"/>
  <c r="L207" i="52"/>
  <c r="I208" i="52"/>
  <c r="L208" i="52" l="1"/>
  <c r="I209" i="52"/>
  <c r="L209" i="52" l="1"/>
  <c r="I210" i="52"/>
  <c r="I211" i="52" l="1"/>
  <c r="L210" i="52"/>
  <c r="I212" i="52" l="1"/>
  <c r="L211" i="52"/>
  <c r="I213" i="52" l="1"/>
  <c r="L212" i="52"/>
  <c r="L213" i="52" l="1"/>
  <c r="I214" i="52"/>
  <c r="I215" i="52" l="1"/>
  <c r="L214" i="52"/>
  <c r="L215" i="52" l="1"/>
  <c r="I216" i="52"/>
  <c r="I217" i="52" l="1"/>
  <c r="L216" i="52"/>
  <c r="L217" i="52" l="1"/>
  <c r="I218" i="52"/>
  <c r="L218" i="52" l="1"/>
  <c r="I219" i="52"/>
  <c r="L219" i="52" l="1"/>
  <c r="I220" i="52"/>
  <c r="I221" i="52" l="1"/>
  <c r="L220" i="52"/>
  <c r="I222" i="52" l="1"/>
  <c r="L221" i="52"/>
  <c r="I223" i="52" l="1"/>
  <c r="L222" i="52"/>
  <c r="L223" i="52" l="1"/>
  <c r="I224" i="52"/>
  <c r="L224" i="52" l="1"/>
  <c r="I225" i="52"/>
  <c r="I226" i="52" l="1"/>
  <c r="L225" i="52"/>
  <c r="I227" i="52" l="1"/>
  <c r="L226" i="52"/>
  <c r="I228" i="52" l="1"/>
  <c r="L227" i="52"/>
  <c r="I229" i="52" l="1"/>
  <c r="L228" i="52"/>
  <c r="I230" i="52" l="1"/>
  <c r="L229" i="52"/>
  <c r="I231" i="52" l="1"/>
  <c r="L230" i="52"/>
  <c r="L231" i="52" l="1"/>
  <c r="I232" i="52"/>
  <c r="I233" i="52" l="1"/>
  <c r="L232" i="52"/>
  <c r="L233" i="52" l="1"/>
  <c r="I234" i="52"/>
  <c r="L234" i="52" l="1"/>
  <c r="I235" i="52"/>
  <c r="L235" i="52" l="1"/>
  <c r="I236" i="52"/>
  <c r="I237" i="52" l="1"/>
  <c r="L236" i="52"/>
  <c r="L237" i="52" l="1"/>
  <c r="I238" i="52"/>
  <c r="L238" i="52" l="1"/>
  <c r="I239" i="52"/>
  <c r="I240" i="52" l="1"/>
  <c r="L239" i="52"/>
  <c r="L240" i="52" l="1"/>
  <c r="I241" i="52"/>
  <c r="I242" i="52" l="1"/>
  <c r="L241" i="52"/>
  <c r="I243" i="52" l="1"/>
  <c r="L242" i="52"/>
  <c r="I244" i="52" l="1"/>
  <c r="L243" i="52"/>
  <c r="L244" i="52" l="1"/>
  <c r="I245" i="52"/>
  <c r="L245" i="52" l="1"/>
  <c r="I246" i="52"/>
  <c r="I247" i="52" l="1"/>
  <c r="L246" i="52"/>
  <c r="L247" i="52" l="1"/>
  <c r="I248" i="52"/>
  <c r="L248" i="52" l="1"/>
  <c r="I249" i="52"/>
  <c r="V143" i="53"/>
  <c r="V406" i="53"/>
  <c r="T251" i="53"/>
  <c r="V368" i="53"/>
  <c r="T305" i="53"/>
  <c r="U181" i="53"/>
  <c r="V180" i="53"/>
  <c r="U339" i="53"/>
  <c r="U212" i="53"/>
  <c r="V367" i="53"/>
  <c r="U80" i="53"/>
  <c r="U168" i="53"/>
  <c r="T200" i="53"/>
  <c r="U99" i="53"/>
  <c r="T114" i="53"/>
  <c r="U301" i="53"/>
  <c r="V337" i="53"/>
  <c r="V271" i="53"/>
  <c r="U163" i="53"/>
  <c r="T418" i="53"/>
  <c r="U302" i="53"/>
  <c r="U203" i="53"/>
  <c r="U116" i="53"/>
  <c r="U371" i="53"/>
  <c r="V315" i="53"/>
  <c r="U201" i="53"/>
  <c r="V145" i="53"/>
  <c r="V421" i="53"/>
  <c r="U110" i="53"/>
  <c r="U177" i="53"/>
  <c r="V281" i="53"/>
  <c r="V114" i="53"/>
  <c r="V233" i="53"/>
  <c r="T167" i="53"/>
  <c r="T198" i="53"/>
  <c r="V303" i="53"/>
  <c r="U337" i="53"/>
  <c r="T420" i="53"/>
  <c r="V382" i="53"/>
  <c r="U197" i="53"/>
  <c r="U233" i="53"/>
  <c r="T131" i="53"/>
  <c r="T382" i="53"/>
  <c r="V128" i="53"/>
  <c r="T132" i="53"/>
  <c r="U218" i="53"/>
  <c r="T268" i="53"/>
  <c r="U145" i="53"/>
  <c r="U245" i="53"/>
  <c r="U263" i="53"/>
  <c r="V269" i="53"/>
  <c r="T381" i="53"/>
  <c r="V181" i="53"/>
  <c r="T331" i="53"/>
  <c r="T252" i="53"/>
  <c r="V404" i="53"/>
  <c r="U381" i="53"/>
  <c r="U161" i="53"/>
  <c r="U75" i="53"/>
  <c r="V381" i="53"/>
  <c r="V217" i="53"/>
  <c r="T303" i="53"/>
  <c r="U146" i="53"/>
  <c r="V416" i="53"/>
  <c r="V81" i="53"/>
  <c r="U199" i="53"/>
  <c r="V333" i="53"/>
  <c r="U196" i="53"/>
  <c r="U179" i="53"/>
  <c r="V270" i="53"/>
  <c r="T78" i="53"/>
  <c r="U149" i="53"/>
  <c r="V366" i="53"/>
  <c r="V109" i="53"/>
  <c r="T127" i="53"/>
  <c r="V96" i="53"/>
  <c r="T313" i="53"/>
  <c r="U82" i="53"/>
  <c r="U420" i="53"/>
  <c r="T267" i="53"/>
  <c r="V134" i="53"/>
  <c r="V144" i="53"/>
  <c r="T166" i="53"/>
  <c r="V335" i="53"/>
  <c r="U133" i="53"/>
  <c r="U348" i="53"/>
  <c r="T195" i="53"/>
  <c r="T264" i="53"/>
  <c r="U132" i="53"/>
  <c r="V168" i="53"/>
  <c r="T181" i="53"/>
  <c r="V146" i="53"/>
  <c r="T297" i="53"/>
  <c r="T372" i="53"/>
  <c r="U95" i="53"/>
  <c r="U249" i="53"/>
  <c r="U115" i="53"/>
  <c r="T59" i="53"/>
  <c r="V298" i="53"/>
  <c r="T248" i="53"/>
  <c r="T300" i="53"/>
  <c r="V336" i="53"/>
  <c r="V50" i="53"/>
  <c r="V216" i="53"/>
  <c r="T217" i="53"/>
  <c r="V384" i="53"/>
  <c r="T194" i="53"/>
  <c r="T314" i="53"/>
  <c r="V313" i="53"/>
  <c r="V126" i="53"/>
  <c r="T235" i="53"/>
  <c r="U166" i="53"/>
  <c r="U399" i="53"/>
  <c r="V132" i="53"/>
  <c r="U48" i="53"/>
  <c r="U266" i="53"/>
  <c r="U402" i="53"/>
  <c r="V317" i="53"/>
  <c r="T403" i="53"/>
  <c r="U92" i="53"/>
  <c r="V166" i="53"/>
  <c r="T49" i="53"/>
  <c r="T400" i="53"/>
  <c r="T402" i="53"/>
  <c r="U235" i="53"/>
  <c r="T236" i="53"/>
  <c r="V279" i="53"/>
  <c r="V339" i="53"/>
  <c r="U313" i="53"/>
  <c r="V237" i="53"/>
  <c r="U127" i="53"/>
  <c r="V348" i="53"/>
  <c r="T230" i="53"/>
  <c r="U314" i="53"/>
  <c r="U318" i="53"/>
  <c r="V130" i="53"/>
  <c r="U404" i="53"/>
  <c r="V169" i="53"/>
  <c r="V229" i="53"/>
  <c r="V77" i="53"/>
  <c r="U126" i="53"/>
  <c r="V161" i="53"/>
  <c r="V321" i="53"/>
  <c r="V347" i="53"/>
  <c r="T216" i="53"/>
  <c r="U384" i="53"/>
  <c r="V248" i="53"/>
  <c r="V232" i="53"/>
  <c r="U269" i="53"/>
  <c r="U129" i="53"/>
  <c r="T199" i="53"/>
  <c r="U131" i="53"/>
  <c r="U234" i="53"/>
  <c r="U331" i="53"/>
  <c r="U194" i="53"/>
  <c r="U165" i="53"/>
  <c r="V167" i="53"/>
  <c r="T135" i="53"/>
  <c r="U231" i="53"/>
  <c r="V319" i="53"/>
  <c r="T129" i="53"/>
  <c r="V197" i="53"/>
  <c r="U81" i="53"/>
  <c r="V115" i="53"/>
  <c r="T134" i="53"/>
  <c r="U250" i="53"/>
  <c r="V99" i="53"/>
  <c r="T384" i="53"/>
  <c r="U143" i="53"/>
  <c r="V116" i="53"/>
  <c r="V78" i="53"/>
  <c r="V407" i="53"/>
  <c r="U299" i="53"/>
  <c r="T163" i="53"/>
  <c r="T317" i="53"/>
  <c r="U303" i="53"/>
  <c r="T48" i="53"/>
  <c r="U368" i="53"/>
  <c r="T58" i="53"/>
  <c r="U280" i="53"/>
  <c r="T415" i="53"/>
  <c r="U418" i="53"/>
  <c r="U128" i="53"/>
  <c r="T95" i="53"/>
  <c r="U84" i="53"/>
  <c r="U247" i="53"/>
  <c r="T366" i="53"/>
  <c r="U279" i="53"/>
  <c r="V92" i="53"/>
  <c r="T337" i="53"/>
  <c r="V398" i="53"/>
  <c r="T201" i="53"/>
  <c r="U114" i="53"/>
  <c r="T50" i="53"/>
  <c r="V373" i="53"/>
  <c r="V178" i="53"/>
  <c r="T371" i="53"/>
  <c r="U317" i="53"/>
  <c r="U330" i="53"/>
  <c r="V419" i="53"/>
  <c r="U400" i="53"/>
  <c r="V365" i="53"/>
  <c r="T369" i="53"/>
  <c r="V268" i="53"/>
  <c r="V235" i="53"/>
  <c r="V49" i="53"/>
  <c r="T269" i="53"/>
  <c r="U298" i="53"/>
  <c r="V385" i="53"/>
  <c r="U270" i="53"/>
  <c r="V318" i="53"/>
  <c r="U300" i="53"/>
  <c r="U202" i="53"/>
  <c r="U169" i="53"/>
  <c r="U296" i="53"/>
  <c r="U417" i="53"/>
  <c r="V399" i="53"/>
  <c r="V297" i="53"/>
  <c r="T133" i="53"/>
  <c r="T365" i="53"/>
  <c r="U347" i="53"/>
  <c r="V202" i="53"/>
  <c r="T279" i="53"/>
  <c r="U130" i="53"/>
  <c r="T336" i="53"/>
  <c r="T304" i="53"/>
  <c r="U265" i="53"/>
  <c r="T126" i="53"/>
  <c r="U382" i="53"/>
  <c r="V133" i="53"/>
  <c r="T116" i="53"/>
  <c r="V401" i="53"/>
  <c r="T265" i="53"/>
  <c r="U200" i="53"/>
  <c r="T348" i="53"/>
  <c r="T322" i="53"/>
  <c r="V214" i="53"/>
  <c r="T262" i="53"/>
  <c r="U230" i="53"/>
  <c r="U366" i="53"/>
  <c r="U284" i="53"/>
  <c r="V284" i="53"/>
  <c r="T347" i="53"/>
  <c r="T83" i="53"/>
  <c r="T81" i="53"/>
  <c r="V283" i="53"/>
  <c r="T94" i="53"/>
  <c r="V372" i="53"/>
  <c r="U59" i="53"/>
  <c r="V263" i="53"/>
  <c r="U180" i="53"/>
  <c r="T332" i="53"/>
  <c r="U403" i="53"/>
  <c r="U264" i="53"/>
  <c r="U385" i="53"/>
  <c r="U283" i="53"/>
  <c r="V58" i="53"/>
  <c r="V95" i="53"/>
  <c r="U319" i="53"/>
  <c r="U134" i="53"/>
  <c r="V80" i="53"/>
  <c r="U320" i="53"/>
  <c r="T419" i="53"/>
  <c r="U217" i="53"/>
  <c r="U365" i="53"/>
  <c r="T84" i="53"/>
  <c r="V369" i="53"/>
  <c r="V236" i="53"/>
  <c r="V93" i="53"/>
  <c r="T130" i="53"/>
  <c r="U229" i="53"/>
  <c r="V417" i="53"/>
  <c r="V282" i="53"/>
  <c r="V405" i="53"/>
  <c r="U94" i="53"/>
  <c r="U251" i="53"/>
  <c r="U401" i="53"/>
  <c r="T203" i="53"/>
  <c r="V266" i="53"/>
  <c r="T301" i="53"/>
  <c r="U97" i="53"/>
  <c r="T302" i="53"/>
  <c r="V304" i="53"/>
  <c r="V370" i="53"/>
  <c r="T161" i="53"/>
  <c r="T229" i="53"/>
  <c r="T218" i="53"/>
  <c r="U297" i="53"/>
  <c r="V163" i="53"/>
  <c r="T368" i="53"/>
  <c r="T271" i="53"/>
  <c r="U333" i="53"/>
  <c r="U148" i="53"/>
  <c r="T215" i="53"/>
  <c r="T92" i="53"/>
  <c r="T178" i="53"/>
  <c r="V76" i="53"/>
  <c r="U77" i="53"/>
  <c r="T82" i="53"/>
  <c r="T234" i="53"/>
  <c r="T385" i="53"/>
  <c r="V147" i="53"/>
  <c r="U112" i="53"/>
  <c r="T111" i="53"/>
  <c r="V113" i="53"/>
  <c r="T165" i="53"/>
  <c r="V150" i="53"/>
  <c r="T266" i="53"/>
  <c r="T80" i="53"/>
  <c r="V245" i="53"/>
  <c r="V112" i="53"/>
  <c r="U113" i="53"/>
  <c r="U335" i="53"/>
  <c r="T197" i="53"/>
  <c r="T169" i="53"/>
  <c r="U160" i="53"/>
  <c r="T196" i="53"/>
  <c r="V320" i="53"/>
  <c r="U372" i="53"/>
  <c r="T335" i="53"/>
  <c r="T296" i="53"/>
  <c r="V211" i="53"/>
  <c r="V83" i="53"/>
  <c r="V212" i="53"/>
  <c r="U147" i="53"/>
  <c r="U164" i="53"/>
  <c r="T113" i="53"/>
  <c r="T298" i="53"/>
  <c r="T143" i="53"/>
  <c r="T213" i="53"/>
  <c r="U321" i="53"/>
  <c r="V280" i="53"/>
  <c r="V300" i="53"/>
  <c r="U268" i="53"/>
  <c r="U316" i="53"/>
  <c r="V250" i="53"/>
  <c r="V149" i="53"/>
  <c r="V305" i="53"/>
  <c r="V129" i="53"/>
  <c r="V162" i="53"/>
  <c r="V338" i="53"/>
  <c r="U96" i="53"/>
  <c r="T406" i="53"/>
  <c r="V332" i="53"/>
  <c r="V59" i="53"/>
  <c r="T128" i="53"/>
  <c r="T76" i="53"/>
  <c r="V267" i="53"/>
  <c r="T270" i="53"/>
  <c r="T282" i="53"/>
  <c r="T109" i="53"/>
  <c r="T93" i="53"/>
  <c r="U58" i="53"/>
  <c r="U167" i="53"/>
  <c r="T416" i="53"/>
  <c r="V262" i="53"/>
  <c r="T98" i="53"/>
  <c r="T349" i="53"/>
  <c r="V200" i="53"/>
  <c r="V218" i="53"/>
  <c r="U211" i="53"/>
  <c r="V215" i="53"/>
  <c r="U370" i="53"/>
  <c r="V177" i="53"/>
  <c r="U109" i="53"/>
  <c r="U336" i="53"/>
  <c r="T148" i="53"/>
  <c r="T75" i="53"/>
  <c r="U281" i="53"/>
  <c r="T407" i="53"/>
  <c r="T149" i="53"/>
  <c r="T315" i="53"/>
  <c r="T96" i="53"/>
  <c r="U405" i="53"/>
  <c r="V251" i="53"/>
  <c r="U421" i="53"/>
  <c r="V249" i="53"/>
  <c r="V201" i="53"/>
  <c r="V228" i="53"/>
  <c r="U271" i="53"/>
  <c r="U419" i="53"/>
  <c r="V131" i="53"/>
  <c r="U305" i="53"/>
  <c r="T373" i="53"/>
  <c r="V231" i="53"/>
  <c r="U383" i="53"/>
  <c r="T339" i="53"/>
  <c r="T398" i="53"/>
  <c r="U232" i="53"/>
  <c r="V314" i="53"/>
  <c r="U246" i="53"/>
  <c r="V383" i="53"/>
  <c r="V234" i="53"/>
  <c r="V420" i="53"/>
  <c r="V164" i="53"/>
  <c r="V179" i="53"/>
  <c r="V98" i="53"/>
  <c r="T404" i="53"/>
  <c r="U214" i="53"/>
  <c r="V213" i="53"/>
  <c r="T370" i="53"/>
  <c r="T179" i="53"/>
  <c r="T168" i="53"/>
  <c r="T77" i="53"/>
  <c r="T211" i="53"/>
  <c r="U332" i="53"/>
  <c r="V198" i="53"/>
  <c r="V349" i="53"/>
  <c r="U252" i="53"/>
  <c r="U150" i="53"/>
  <c r="T79" i="53"/>
  <c r="T97" i="53"/>
  <c r="T182" i="53"/>
  <c r="T283" i="53"/>
  <c r="U76" i="53"/>
  <c r="U406" i="53"/>
  <c r="V79" i="53"/>
  <c r="V364" i="53"/>
  <c r="U182" i="53"/>
  <c r="V265" i="53"/>
  <c r="U144" i="53"/>
  <c r="U304" i="53"/>
  <c r="U248" i="53"/>
  <c r="V316" i="53"/>
  <c r="T249" i="53"/>
  <c r="V247" i="53"/>
  <c r="V296" i="53"/>
  <c r="V322" i="53"/>
  <c r="T263" i="53"/>
  <c r="U407" i="53"/>
  <c r="T417" i="53"/>
  <c r="T321" i="53"/>
  <c r="U415" i="53"/>
  <c r="U49" i="53"/>
  <c r="U416" i="53"/>
  <c r="T228" i="53"/>
  <c r="T147" i="53"/>
  <c r="U338" i="53"/>
  <c r="T146" i="53"/>
  <c r="T246" i="53"/>
  <c r="T421" i="53"/>
  <c r="V252" i="53"/>
  <c r="V110" i="53"/>
  <c r="V302" i="53"/>
  <c r="V195" i="53"/>
  <c r="U215" i="53"/>
  <c r="U315" i="53"/>
  <c r="U322" i="53"/>
  <c r="T334" i="53"/>
  <c r="V148" i="53"/>
  <c r="T333" i="53"/>
  <c r="T299" i="53"/>
  <c r="V160" i="53"/>
  <c r="V371" i="53"/>
  <c r="T316" i="53"/>
  <c r="T231" i="53"/>
  <c r="U135" i="53"/>
  <c r="U50" i="53"/>
  <c r="V400" i="53"/>
  <c r="U216" i="53"/>
  <c r="T338" i="53"/>
  <c r="U262" i="53"/>
  <c r="U195" i="53"/>
  <c r="V182" i="53"/>
  <c r="T284" i="53"/>
  <c r="V301" i="53"/>
  <c r="T401" i="53"/>
  <c r="U228" i="53"/>
  <c r="V165" i="53"/>
  <c r="U178" i="53"/>
  <c r="U162" i="53"/>
  <c r="T145" i="53"/>
  <c r="V135" i="53"/>
  <c r="T399" i="53"/>
  <c r="T232" i="53"/>
  <c r="U349" i="53"/>
  <c r="U78" i="53"/>
  <c r="V334" i="53"/>
  <c r="T110" i="53"/>
  <c r="T320" i="53"/>
  <c r="U213" i="53"/>
  <c r="T237" i="53"/>
  <c r="U282" i="53"/>
  <c r="V48" i="53"/>
  <c r="V94" i="53"/>
  <c r="V415" i="53"/>
  <c r="V127" i="53"/>
  <c r="T280" i="53"/>
  <c r="V230" i="53"/>
  <c r="T177" i="53"/>
  <c r="T281" i="53"/>
  <c r="T160" i="53"/>
  <c r="T115" i="53"/>
  <c r="T405" i="53"/>
  <c r="V111" i="53"/>
  <c r="U83" i="53"/>
  <c r="T247" i="53"/>
  <c r="V194" i="53"/>
  <c r="V246" i="53"/>
  <c r="T250" i="53"/>
  <c r="T233" i="53"/>
  <c r="U367" i="53"/>
  <c r="T214" i="53"/>
  <c r="U236" i="53"/>
  <c r="V331" i="53"/>
  <c r="V264" i="53"/>
  <c r="T330" i="53"/>
  <c r="V299" i="53"/>
  <c r="T162" i="53"/>
  <c r="V330" i="53"/>
  <c r="T150" i="53"/>
  <c r="T367" i="53"/>
  <c r="U398" i="53"/>
  <c r="U93" i="53"/>
  <c r="T112" i="53"/>
  <c r="U369" i="53"/>
  <c r="T318" i="53"/>
  <c r="T245" i="53"/>
  <c r="U198" i="53"/>
  <c r="U237" i="53"/>
  <c r="V82" i="53"/>
  <c r="V97" i="53"/>
  <c r="T99" i="53"/>
  <c r="V402" i="53"/>
  <c r="U98" i="53"/>
  <c r="U111" i="53"/>
  <c r="T212" i="53"/>
  <c r="U364" i="53"/>
  <c r="V75" i="53"/>
  <c r="V203" i="53"/>
  <c r="V84" i="53"/>
  <c r="T319" i="53"/>
  <c r="T164" i="53"/>
  <c r="U267" i="53"/>
  <c r="T144" i="53"/>
  <c r="U79" i="53"/>
  <c r="T180" i="53"/>
  <c r="T364" i="53"/>
  <c r="V196" i="53"/>
  <c r="V199" i="53"/>
  <c r="T202" i="53"/>
  <c r="U373" i="53"/>
  <c r="V403" i="53"/>
  <c r="V418" i="53"/>
  <c r="T383" i="53"/>
  <c r="U334" i="53"/>
  <c r="L249" i="52" l="1"/>
  <c r="I250" i="52"/>
  <c r="T435" i="53" l="1"/>
  <c r="V434" i="53"/>
  <c r="U439" i="53"/>
  <c r="L250" i="52"/>
  <c r="V100" i="53" s="1"/>
  <c r="I251" i="52"/>
  <c r="L251" i="52" s="1"/>
  <c r="U433" i="53" s="1"/>
  <c r="U219" i="53"/>
  <c r="U28" i="53"/>
  <c r="V61" i="53"/>
  <c r="T60" i="53"/>
  <c r="V60" i="53"/>
  <c r="U29" i="53"/>
  <c r="U287" i="53"/>
  <c r="V286" i="53"/>
  <c r="U60" i="53"/>
  <c r="V183" i="53"/>
  <c r="V33" i="53"/>
  <c r="T28" i="53"/>
  <c r="V288" i="53"/>
  <c r="T389" i="53"/>
  <c r="V101" i="53"/>
  <c r="T66" i="53"/>
  <c r="U27" i="53"/>
  <c r="U183" i="53"/>
  <c r="U61" i="53"/>
  <c r="V388" i="53"/>
  <c r="T422" i="53"/>
  <c r="U151" i="53"/>
  <c r="U286" i="53"/>
  <c r="T288" i="53"/>
  <c r="T151" i="53"/>
  <c r="V220" i="53"/>
  <c r="V219" i="53"/>
  <c r="U32" i="53"/>
  <c r="V352" i="53"/>
  <c r="T219" i="53"/>
  <c r="T388" i="53"/>
  <c r="T61" i="53"/>
  <c r="T253" i="53"/>
  <c r="U65" i="53"/>
  <c r="U184" i="53"/>
  <c r="V151" i="53"/>
  <c r="V32" i="53"/>
  <c r="U33" i="53"/>
  <c r="U352" i="53"/>
  <c r="U117" i="53"/>
  <c r="T287" i="53"/>
  <c r="T353" i="53"/>
  <c r="U350" i="53"/>
  <c r="U388" i="53"/>
  <c r="T424" i="53"/>
  <c r="V28" i="53"/>
  <c r="T285" i="53"/>
  <c r="T183" i="53"/>
  <c r="U254" i="53"/>
  <c r="U423" i="53"/>
  <c r="T220" i="53"/>
  <c r="T356" i="53"/>
  <c r="U288" i="53"/>
  <c r="T355" i="53"/>
  <c r="V254" i="53"/>
  <c r="T32" i="53"/>
  <c r="T351" i="53"/>
  <c r="U101" i="53"/>
  <c r="T352" i="53"/>
  <c r="V424" i="53"/>
  <c r="V152" i="53"/>
  <c r="T286" i="53"/>
  <c r="U220" i="53"/>
  <c r="T152" i="53"/>
  <c r="V350" i="53"/>
  <c r="U424" i="53"/>
  <c r="V356" i="53"/>
  <c r="U152" i="53"/>
  <c r="T64" i="53"/>
  <c r="V285" i="53"/>
  <c r="U386" i="53"/>
  <c r="T254" i="53"/>
  <c r="U389" i="53"/>
  <c r="U31" i="53"/>
  <c r="T65" i="53"/>
  <c r="V64" i="53"/>
  <c r="T185" i="53"/>
  <c r="U390" i="53"/>
  <c r="V422" i="53"/>
  <c r="T386" i="53"/>
  <c r="T31" i="53"/>
  <c r="U422" i="53"/>
  <c r="T118" i="53"/>
  <c r="U285" i="53"/>
  <c r="V186" i="53"/>
  <c r="V118" i="53"/>
  <c r="U118" i="53"/>
  <c r="T27" i="53"/>
  <c r="T30" i="53"/>
  <c r="V355" i="53"/>
  <c r="V353" i="53"/>
  <c r="T354" i="53"/>
  <c r="T350" i="53"/>
  <c r="U63" i="53"/>
  <c r="V62" i="53"/>
  <c r="V389" i="53"/>
  <c r="V30" i="53"/>
  <c r="V63" i="53"/>
  <c r="U64" i="53"/>
  <c r="U351" i="53"/>
  <c r="V117" i="53"/>
  <c r="T62" i="53"/>
  <c r="T63" i="53"/>
  <c r="V184" i="53"/>
  <c r="U387" i="53"/>
  <c r="V287" i="53"/>
  <c r="V27" i="53"/>
  <c r="V67" i="53"/>
  <c r="U66" i="53"/>
  <c r="V65" i="53"/>
  <c r="U353" i="53"/>
  <c r="T387" i="53"/>
  <c r="V31" i="53"/>
  <c r="T432" i="53" l="1"/>
  <c r="V438" i="53"/>
  <c r="T437" i="53"/>
  <c r="T439" i="53"/>
  <c r="U441" i="53"/>
  <c r="U437" i="53"/>
  <c r="U438" i="53"/>
  <c r="V439" i="53"/>
  <c r="V437" i="53"/>
  <c r="T441" i="53"/>
  <c r="U436" i="53"/>
  <c r="U440" i="53"/>
  <c r="V433" i="53"/>
  <c r="V435" i="53"/>
  <c r="U432" i="53"/>
  <c r="T438" i="53"/>
  <c r="U435" i="53"/>
  <c r="V441" i="53"/>
  <c r="V440" i="53"/>
  <c r="T433" i="53"/>
  <c r="T434" i="53"/>
  <c r="T436" i="53"/>
  <c r="V432" i="53"/>
  <c r="U434" i="53"/>
  <c r="V436" i="53"/>
  <c r="T440" i="53"/>
  <c r="V253" i="53"/>
  <c r="U185" i="53"/>
  <c r="U186" i="53"/>
  <c r="T390" i="53"/>
  <c r="T33" i="53"/>
  <c r="T101" i="53"/>
  <c r="U67" i="53"/>
  <c r="V351" i="53"/>
  <c r="T67" i="53"/>
  <c r="U253" i="53"/>
  <c r="U355" i="53"/>
  <c r="T423" i="53"/>
  <c r="V390" i="53"/>
  <c r="V66" i="53"/>
  <c r="U100" i="53"/>
  <c r="V423" i="53"/>
  <c r="U356" i="53"/>
  <c r="T100" i="53"/>
  <c r="V354" i="53"/>
  <c r="V29" i="53"/>
  <c r="V387" i="53"/>
  <c r="T29" i="53"/>
  <c r="T186" i="53"/>
  <c r="U30" i="53"/>
  <c r="T184" i="53"/>
  <c r="T117" i="53"/>
  <c r="U354" i="53"/>
  <c r="V185" i="53"/>
  <c r="V386" i="53"/>
  <c r="U62" i="5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<sst xmlns="http://schemas.openxmlformats.org/spreadsheetml/2006/main" count="2357" uniqueCount="747">
  <si>
    <t>学籍番号</t>
    <rPh sb="0" eb="2">
      <t>ガクセキ</t>
    </rPh>
    <rPh sb="2" eb="4">
      <t>バンゴウ</t>
    </rPh>
    <phoneticPr fontId="2"/>
  </si>
  <si>
    <t>氏名</t>
    <rPh sb="0" eb="2">
      <t>シメイ</t>
    </rPh>
    <phoneticPr fontId="2"/>
  </si>
  <si>
    <t>○</t>
    <phoneticPr fontId="1"/>
  </si>
  <si>
    <t>2-1</t>
  </si>
  <si>
    <t>2-4</t>
  </si>
  <si>
    <t>2-6</t>
  </si>
  <si>
    <t>2-7</t>
  </si>
  <si>
    <t>2-9</t>
  </si>
  <si>
    <t>2-2</t>
  </si>
  <si>
    <t>2-3</t>
  </si>
  <si>
    <t>2-5</t>
  </si>
  <si>
    <t>2-8</t>
  </si>
  <si>
    <t>2-10</t>
  </si>
  <si>
    <t>2-11</t>
  </si>
  <si>
    <t>2-12</t>
  </si>
  <si>
    <t>2-13</t>
  </si>
  <si>
    <t>HASAN MD MEHEDI</t>
  </si>
  <si>
    <t>ICT専門学校</t>
    <rPh sb="3" eb="7">
      <t>センモンガッコウ</t>
    </rPh>
    <phoneticPr fontId="1"/>
  </si>
  <si>
    <t>帰国予定</t>
    <rPh sb="0" eb="2">
      <t>キコク</t>
    </rPh>
    <rPh sb="2" eb="4">
      <t>ヨテイ</t>
    </rPh>
    <phoneticPr fontId="1"/>
  </si>
  <si>
    <t>日本工科大学校</t>
    <rPh sb="0" eb="4">
      <t>ニホンコウカ</t>
    </rPh>
    <rPh sb="4" eb="7">
      <t>ダイガッコウ</t>
    </rPh>
    <phoneticPr fontId="1"/>
  </si>
  <si>
    <t>トヨタ神戸自動車大学校</t>
    <rPh sb="3" eb="5">
      <t>コウベ</t>
    </rPh>
    <rPh sb="5" eb="8">
      <t>ジドウシャ</t>
    </rPh>
    <rPh sb="8" eb="11">
      <t>ダイガッコウ</t>
    </rPh>
    <phoneticPr fontId="1"/>
  </si>
  <si>
    <t>大阪産業大学</t>
    <rPh sb="0" eb="2">
      <t>オオサカ</t>
    </rPh>
    <rPh sb="2" eb="4">
      <t>サンギョウ</t>
    </rPh>
    <rPh sb="4" eb="6">
      <t>ダイガク</t>
    </rPh>
    <phoneticPr fontId="1"/>
  </si>
  <si>
    <t>兵庫大学</t>
    <rPh sb="0" eb="2">
      <t>ヒョウゴ</t>
    </rPh>
    <rPh sb="2" eb="4">
      <t>ダイガク</t>
    </rPh>
    <phoneticPr fontId="1"/>
  </si>
  <si>
    <t>選択肢</t>
    <rPh sb="0" eb="3">
      <t>センタクシ</t>
    </rPh>
    <phoneticPr fontId="1"/>
  </si>
  <si>
    <t>総計</t>
  </si>
  <si>
    <t>クラス人数</t>
  </si>
  <si>
    <t>クラス</t>
  </si>
  <si>
    <t>11月末時点合格</t>
    <rPh sb="2" eb="3">
      <t>ガツ</t>
    </rPh>
    <rPh sb="3" eb="4">
      <t>マツ</t>
    </rPh>
    <rPh sb="4" eb="6">
      <t>ジテン</t>
    </rPh>
    <rPh sb="6" eb="8">
      <t>ゴウカク</t>
    </rPh>
    <phoneticPr fontId="1"/>
  </si>
  <si>
    <t>12月末時点合格</t>
    <rPh sb="2" eb="3">
      <t>ガツ</t>
    </rPh>
    <rPh sb="3" eb="4">
      <t>マツ</t>
    </rPh>
    <rPh sb="4" eb="6">
      <t>ジテン</t>
    </rPh>
    <rPh sb="6" eb="8">
      <t>ゴウカク</t>
    </rPh>
    <phoneticPr fontId="1"/>
  </si>
  <si>
    <t>1月末時点合格</t>
    <rPh sb="1" eb="2">
      <t>ガツ</t>
    </rPh>
    <rPh sb="2" eb="3">
      <t>マツ</t>
    </rPh>
    <rPh sb="3" eb="5">
      <t>ジテン</t>
    </rPh>
    <rPh sb="5" eb="7">
      <t>ゴウカク</t>
    </rPh>
    <phoneticPr fontId="1"/>
  </si>
  <si>
    <t>2月末時点合格</t>
    <rPh sb="1" eb="2">
      <t>ガツ</t>
    </rPh>
    <rPh sb="2" eb="3">
      <t>マツ</t>
    </rPh>
    <rPh sb="3" eb="5">
      <t>ジテン</t>
    </rPh>
    <rPh sb="5" eb="7">
      <t>ゴウカク</t>
    </rPh>
    <phoneticPr fontId="1"/>
  </si>
  <si>
    <t>3月末時点合格</t>
    <rPh sb="1" eb="2">
      <t>ガツ</t>
    </rPh>
    <rPh sb="2" eb="3">
      <t>マツ</t>
    </rPh>
    <rPh sb="3" eb="5">
      <t>ジテン</t>
    </rPh>
    <rPh sb="5" eb="7">
      <t>ゴウカク</t>
    </rPh>
    <phoneticPr fontId="1"/>
  </si>
  <si>
    <t>選択肢2</t>
    <rPh sb="0" eb="3">
      <t>センタクシ</t>
    </rPh>
    <phoneticPr fontId="1"/>
  </si>
  <si>
    <t>進学</t>
    <rPh sb="0" eb="2">
      <t>シンガク</t>
    </rPh>
    <phoneticPr fontId="1"/>
  </si>
  <si>
    <t>就職</t>
    <rPh sb="0" eb="2">
      <t>シュウショク</t>
    </rPh>
    <phoneticPr fontId="1"/>
  </si>
  <si>
    <t>帰国</t>
    <rPh sb="0" eb="2">
      <t>キコク</t>
    </rPh>
    <phoneticPr fontId="1"/>
  </si>
  <si>
    <t>その他</t>
    <rPh sb="2" eb="3">
      <t>タ</t>
    </rPh>
    <phoneticPr fontId="1"/>
  </si>
  <si>
    <t>未定</t>
    <rPh sb="0" eb="2">
      <t>ミテイ</t>
    </rPh>
    <phoneticPr fontId="1"/>
  </si>
  <si>
    <t>合格者数</t>
  </si>
  <si>
    <t>進学希望者数</t>
  </si>
  <si>
    <t>進路確定者率</t>
  </si>
  <si>
    <t>11月末</t>
  </si>
  <si>
    <t>12月末</t>
  </si>
  <si>
    <t>1月末</t>
  </si>
  <si>
    <t>2月末</t>
  </si>
  <si>
    <t>3月末</t>
  </si>
  <si>
    <t>進路確定者想定人数</t>
    <rPh sb="0" eb="2">
      <t>シンロ</t>
    </rPh>
    <rPh sb="2" eb="4">
      <t>カクテイ</t>
    </rPh>
    <rPh sb="4" eb="5">
      <t>シャ</t>
    </rPh>
    <rPh sb="5" eb="7">
      <t>ソウテイ</t>
    </rPh>
    <rPh sb="7" eb="9">
      <t>ニンズウ</t>
    </rPh>
    <phoneticPr fontId="1"/>
  </si>
  <si>
    <t>○</t>
  </si>
  <si>
    <t>トヨタ神戸自動車大学校</t>
  </si>
  <si>
    <t>駿台ITビジネスカレッジ</t>
    <rPh sb="0" eb="2">
      <t>スンダイ</t>
    </rPh>
    <phoneticPr fontId="1"/>
  </si>
  <si>
    <t>KAUNG KHANT KYAW</t>
  </si>
  <si>
    <t>NANG PHWAY WADI OO</t>
  </si>
  <si>
    <t>THIRI MAY</t>
  </si>
  <si>
    <t>MIN THIHA</t>
  </si>
  <si>
    <t>PHYO SI THU</t>
  </si>
  <si>
    <t>NWAY NWAY TUN</t>
  </si>
  <si>
    <t>PHU PHU MYAT THU</t>
  </si>
  <si>
    <t>RITA HLA MOE</t>
  </si>
  <si>
    <t>KYAL SIN LIN</t>
  </si>
  <si>
    <t>KHIN YADANAR OO</t>
  </si>
  <si>
    <t>THUTA ZAW</t>
  </si>
  <si>
    <t>KAUNG ZIN NYI</t>
  </si>
  <si>
    <t>HAN THU SAN</t>
  </si>
  <si>
    <t>FAKIR SHAKIB</t>
  </si>
  <si>
    <t>MD. MATIUR RAHMAN</t>
  </si>
  <si>
    <t>DELWAR HOSHEN SAYED</t>
  </si>
  <si>
    <t>SOE NYI HTUT</t>
  </si>
  <si>
    <t>KHIN PYAE SONE</t>
  </si>
  <si>
    <t>BUI NGOC ANH THU</t>
  </si>
  <si>
    <t>NAY LIN OO</t>
  </si>
  <si>
    <t>THAW ZIN HTUN</t>
  </si>
  <si>
    <t>HNIN HNIN WAI</t>
  </si>
  <si>
    <t>MAY PHOO THIT</t>
  </si>
  <si>
    <t>SAI KWAN PHA</t>
  </si>
  <si>
    <t>LAE YI HTUN</t>
  </si>
  <si>
    <t>KHAY MON CHAN</t>
  </si>
  <si>
    <t>YE MIN HTET</t>
  </si>
  <si>
    <t>KAY ZIN OO</t>
  </si>
  <si>
    <t>MYAT PWINT WAI</t>
  </si>
  <si>
    <t>SAI KHANT SITHU</t>
  </si>
  <si>
    <t>MD. JONAYET</t>
  </si>
  <si>
    <t>GIRI TAPENDRA RAJ</t>
  </si>
  <si>
    <t>TAMANG NIKITA</t>
  </si>
  <si>
    <t>SHRESTHA BHUWAN</t>
  </si>
  <si>
    <t>NWAY KHET KHET PAN</t>
  </si>
  <si>
    <t>THURA LINN</t>
  </si>
  <si>
    <t>MIN HTET PAING</t>
  </si>
  <si>
    <t>HOSSAIN MD YEASIN</t>
  </si>
  <si>
    <t>MD. RAKEBUL ISLAM RONY</t>
  </si>
  <si>
    <t>ABDUL KAIUM NAEEM</t>
  </si>
  <si>
    <t>SHAMIM HOSSAIN</t>
  </si>
  <si>
    <t>AHMED MD JUBAYER</t>
  </si>
  <si>
    <t>SHRESTHA YAM KUMAR</t>
  </si>
  <si>
    <t>UPAHAR SEDAI</t>
  </si>
  <si>
    <t>DURGA BAHADUR DARAI</t>
  </si>
  <si>
    <t>SUSMA TAMANG</t>
  </si>
  <si>
    <t>RUPESH LAMICHHANE</t>
  </si>
  <si>
    <t>BISHNU PRASAD BHANDARI</t>
  </si>
  <si>
    <t>GITA KUMARI RANA</t>
  </si>
  <si>
    <t>AADITYA KUMAR CHAUDHARY</t>
  </si>
  <si>
    <t>BUDDHI BAHADUR BUDHATHOKI</t>
  </si>
  <si>
    <t>DAHAL MANISHA</t>
  </si>
  <si>
    <t>KHADKA SARASWOTI</t>
  </si>
  <si>
    <t>AL-AMIN-AL-SADI</t>
  </si>
  <si>
    <t>SHIHAB MOTIUR RAHMAN</t>
  </si>
  <si>
    <t>RABIN THAPALIYA</t>
  </si>
  <si>
    <t>NABID TANJIM</t>
  </si>
  <si>
    <t>劉 暁聡</t>
  </si>
  <si>
    <t>KAMURAN ADILI</t>
  </si>
  <si>
    <t>李 唯正</t>
  </si>
  <si>
    <t>YEE MON OO</t>
  </si>
  <si>
    <t>KHIN MYAT NOE AYE</t>
  </si>
  <si>
    <t>孔 維晨</t>
  </si>
  <si>
    <t>NGUYEN PHUONG LINH</t>
  </si>
  <si>
    <t>NGUYEN DINH HUYNH</t>
  </si>
  <si>
    <t>THEIN NAING WIN</t>
  </si>
  <si>
    <t>CHOWDHURY MD SABER AL BASAR</t>
  </si>
  <si>
    <t>HAQUE MD NAJMUL</t>
  </si>
  <si>
    <t>DEWAN SAIF</t>
  </si>
  <si>
    <t>TAREK MD DAUDE IBRAHIM</t>
  </si>
  <si>
    <t>SHEIKH MD SABBIR HOSEN</t>
  </si>
  <si>
    <t>HAYDER JAHIDUL ISLAM</t>
  </si>
  <si>
    <t>MD RASEDUL ISLAM</t>
  </si>
  <si>
    <t>PAUL JOY</t>
  </si>
  <si>
    <t>RAJ KUMAR CHAUDHARY</t>
  </si>
  <si>
    <t>LIMBU SUSHIL</t>
  </si>
  <si>
    <t>MAY KHIN OO</t>
  </si>
  <si>
    <t>SUTA DHAR SHABAK</t>
  </si>
  <si>
    <t>AHMAD SABBIR</t>
  </si>
  <si>
    <t>RAHAMAN ABDUR</t>
  </si>
  <si>
    <t>BHUJEL YAMUNA</t>
  </si>
  <si>
    <t>范 澤旭</t>
  </si>
  <si>
    <t>于 騰傑</t>
  </si>
  <si>
    <t>AYE PWINT NAING</t>
  </si>
  <si>
    <t>MD.EMTEAZ HOSEN</t>
  </si>
  <si>
    <t>UDOY MD.</t>
  </si>
  <si>
    <t>SABITA GAMAL</t>
  </si>
  <si>
    <t>MYA MYA THIN</t>
  </si>
  <si>
    <t>NAING LIN KHANT</t>
  </si>
  <si>
    <t>ZIN LAY NWE</t>
  </si>
  <si>
    <t>SHANE ARKAR</t>
  </si>
  <si>
    <t>KYAW ZIN MYINT</t>
  </si>
  <si>
    <t>THAN TOE AUNG</t>
  </si>
  <si>
    <t>KHIN SANDI ZAW</t>
  </si>
  <si>
    <t>MYA MYA MOE</t>
  </si>
  <si>
    <t>NAY MYO HTET</t>
  </si>
  <si>
    <t>KYAW BHONE LU</t>
  </si>
  <si>
    <t>SARKAR TUHIN</t>
  </si>
  <si>
    <t>HOSSEN KAMAL</t>
  </si>
  <si>
    <t>MIA MD SABUZ</t>
  </si>
  <si>
    <t>ABDULLAH K M</t>
  </si>
  <si>
    <t>BALAMI RACHINA</t>
  </si>
  <si>
    <t>DONG TAMANG USHA KUMARI</t>
  </si>
  <si>
    <t>KABIR MD HOSSAIN</t>
  </si>
  <si>
    <t>FOYSAL MD ATIK</t>
  </si>
  <si>
    <t>SHUVO MD</t>
  </si>
  <si>
    <t>MD. HASIBUL HASAN</t>
  </si>
  <si>
    <t>EMON MD</t>
  </si>
  <si>
    <t>MD. ARIFUL ISLAM</t>
  </si>
  <si>
    <t>RAHMAN MD ANISOR</t>
  </si>
  <si>
    <t>AILIFEILA AIKEBAIER</t>
  </si>
  <si>
    <t>KAY KHING LIN</t>
  </si>
  <si>
    <t>AKTER MST SAMIA</t>
  </si>
  <si>
    <t>SAHA SARAN</t>
  </si>
  <si>
    <t>HASAN MD RAKIBUL</t>
  </si>
  <si>
    <t>HAQUE MD ISMAIL</t>
  </si>
  <si>
    <t>ALI MD ABBAS</t>
  </si>
  <si>
    <t>ALI MD SAGOR</t>
  </si>
  <si>
    <t>MIYAJI JABED HOSEN SHISHIR</t>
  </si>
  <si>
    <t>CHAUDHARY SIRANJAN PRASAD</t>
  </si>
  <si>
    <t>RAWAL RADHA</t>
  </si>
  <si>
    <t>張 春輝</t>
  </si>
  <si>
    <t>徐 張帥</t>
  </si>
  <si>
    <t>THET WAI KYAW</t>
  </si>
  <si>
    <t>THU THU NYEIN</t>
  </si>
  <si>
    <t>THURA PHYO</t>
  </si>
  <si>
    <t>SAW YU HNIN</t>
  </si>
  <si>
    <t>HAN HAN HTWE</t>
  </si>
  <si>
    <t>RAGIB SHAHRIAR TUSAR</t>
  </si>
  <si>
    <t>LIMON MD SAKIBUL HAQ</t>
  </si>
  <si>
    <t>HOSSAIN MD RAHIM</t>
  </si>
  <si>
    <t>AKHAND MD RAJBIR</t>
  </si>
  <si>
    <t>GHARTI MAGAR ESTHER</t>
  </si>
  <si>
    <t>DHENGA DEB BAHADUR</t>
  </si>
  <si>
    <t>DIPESH TAMANG</t>
  </si>
  <si>
    <t>SANJOG SHAH</t>
  </si>
  <si>
    <t>SITA PUDASAINI</t>
  </si>
  <si>
    <t>KYAL SIN NYEIN</t>
  </si>
  <si>
    <t>MI MI ZIN</t>
  </si>
  <si>
    <t>HASAN MEHEDI</t>
  </si>
  <si>
    <t>于 国坤</t>
  </si>
  <si>
    <t>AUNG SATT PAING</t>
  </si>
  <si>
    <t>SOE LIN TUN</t>
  </si>
  <si>
    <t>MAUNG PHYU</t>
  </si>
  <si>
    <t>SHAHIN AHOMMED</t>
  </si>
  <si>
    <t>TANZIM AHMED AKASH</t>
  </si>
  <si>
    <t>MAHIBUR RAHMAN SANNY</t>
  </si>
  <si>
    <t>MD. IFTEKHAR</t>
  </si>
  <si>
    <t>KHANAL SUSAN</t>
  </si>
  <si>
    <t>THAPA MAGAR RAJ</t>
  </si>
  <si>
    <t>SWASTIKA THAMI</t>
  </si>
  <si>
    <t>KHADKA ROSHMA</t>
  </si>
  <si>
    <t>RAI ARATI</t>
  </si>
  <si>
    <t>JYOTI PANDEY</t>
  </si>
  <si>
    <t>SHRESTHA GYANU</t>
  </si>
  <si>
    <t>KARKI ARUNA</t>
  </si>
  <si>
    <t>HNIN YU HLAING</t>
  </si>
  <si>
    <t>MD OBAYED BIN ANWAR ZIHAD</t>
  </si>
  <si>
    <t>MD ASIKUZZAMAN</t>
  </si>
  <si>
    <t>PARVEZ AHMED</t>
  </si>
  <si>
    <t>DUONG THANH TUNG</t>
  </si>
  <si>
    <t>MD. OMAR BHUIYAN</t>
  </si>
  <si>
    <t>MD. RAYHAN PRODHAN</t>
  </si>
  <si>
    <t>S.M.JONAYET</t>
  </si>
  <si>
    <t>MAHIM AHAD BHUIYAN</t>
  </si>
  <si>
    <t>ZISAN MD. RAIHAN SARIF</t>
  </si>
  <si>
    <t>BULBUL AHMED</t>
  </si>
  <si>
    <t>ARNOB JAHIN SHAHRIAR</t>
  </si>
  <si>
    <t>KHAN MD EMON</t>
  </si>
  <si>
    <t>MIRAZ MD SAIKAT ISLAM</t>
  </si>
  <si>
    <t>SAGAR NUR UDDIN</t>
  </si>
  <si>
    <t>SHOVA MD ARAFAT HOSSAIN</t>
  </si>
  <si>
    <t>TILSARA MAHARA</t>
  </si>
  <si>
    <t>LOKENDRA SAUD</t>
  </si>
  <si>
    <t>RAJ KUMAR GIRI</t>
  </si>
  <si>
    <t>HIMAL MALLA</t>
  </si>
  <si>
    <t>SHERPA AAYUSHA</t>
  </si>
  <si>
    <t>MAHATO SALINA KUMARI</t>
  </si>
  <si>
    <t>JOGI MILAN KUMAR</t>
  </si>
  <si>
    <t>BHARAT B.K.</t>
  </si>
  <si>
    <t>MI AYE SOE MOE</t>
  </si>
  <si>
    <t>MIN KYAW</t>
  </si>
  <si>
    <t>MD. ATIKUL ISLAM</t>
  </si>
  <si>
    <t>MD MASHAYEL KHAN ANID</t>
  </si>
  <si>
    <t>HOSAIN ARIF</t>
  </si>
  <si>
    <t>HOSSEN JABER</t>
  </si>
  <si>
    <t>MAHBUB</t>
  </si>
  <si>
    <t>SHANTO MD MEHEDI HASAN</t>
  </si>
  <si>
    <t>MD. EMRAN HOSSAIN</t>
  </si>
  <si>
    <t>GURUNG MANISH</t>
  </si>
  <si>
    <t>AAKRITI THAPA</t>
  </si>
  <si>
    <t>高 興</t>
  </si>
  <si>
    <t>NAN DAR HTAY</t>
  </si>
  <si>
    <t>NIRAJ POKHAREL</t>
  </si>
  <si>
    <t>BOHARA NISHA</t>
  </si>
  <si>
    <t>陳 佳楽</t>
  </si>
  <si>
    <t>MIN AUNG HTET OO</t>
  </si>
  <si>
    <t>SHWE SIN PHYOE</t>
  </si>
  <si>
    <t>SU SU WIN</t>
  </si>
  <si>
    <t>AYE YADANAR MOE</t>
  </si>
  <si>
    <t>HEIN HTET ZAW</t>
  </si>
  <si>
    <t>SABBIR SAJID AHMED</t>
  </si>
  <si>
    <t>MIA ROMAN</t>
  </si>
  <si>
    <t>MIZAN MD</t>
  </si>
  <si>
    <t>ISLAM SAIFUL</t>
  </si>
  <si>
    <t>SUSMITA ARYAL</t>
  </si>
  <si>
    <t>MAGAR SANDESH SAMAL</t>
  </si>
  <si>
    <t>OLI REKHA</t>
  </si>
  <si>
    <t>SHRESTHA ASMITA</t>
  </si>
  <si>
    <t>GURUNG YUG</t>
  </si>
  <si>
    <t>RAI SUSMITA</t>
  </si>
  <si>
    <t>林 衛健</t>
  </si>
  <si>
    <t>KAUNG WAI YAN</t>
  </si>
  <si>
    <t>SAI KAUNG KHANT AUNG</t>
  </si>
  <si>
    <t>HAN ZIN PHYO</t>
  </si>
  <si>
    <t>SIFAT</t>
  </si>
  <si>
    <t>RAIHAN INTISHAR BIN</t>
  </si>
  <si>
    <t>FAHAD TAZNUR AHAMED</t>
  </si>
  <si>
    <t>JESMIN AKTER</t>
  </si>
  <si>
    <t>SAEM MD</t>
  </si>
  <si>
    <t>ROSHAN GAUTAM</t>
  </si>
  <si>
    <t>TARA KUMARI BOHARA</t>
  </si>
  <si>
    <t>SHRESTHA ROJINA</t>
  </si>
  <si>
    <t>ANUSHA PURI</t>
  </si>
  <si>
    <t>LAMICHHANE BHUWANESHOWARI</t>
  </si>
  <si>
    <t>MD JAHID PRODHANIA</t>
  </si>
  <si>
    <t>RATUL TANVIR HASAN</t>
  </si>
  <si>
    <t>DEBNATH EMON</t>
  </si>
  <si>
    <t>MIA MD RAHIM</t>
  </si>
  <si>
    <t>HIMAL THAPA</t>
  </si>
  <si>
    <t>DANG PHI HUNG</t>
  </si>
  <si>
    <t>特定活動</t>
    <rPh sb="0" eb="4">
      <t>トクテイカツドウ</t>
    </rPh>
    <phoneticPr fontId="1"/>
  </si>
  <si>
    <t>日本ウェルネスAIIT保育専門学校</t>
    <rPh sb="0" eb="2">
      <t>ニホン</t>
    </rPh>
    <rPh sb="11" eb="13">
      <t>ホイク</t>
    </rPh>
    <rPh sb="13" eb="17">
      <t>センモンガッコウ</t>
    </rPh>
    <phoneticPr fontId="1"/>
  </si>
  <si>
    <t>就職希望</t>
    <rPh sb="0" eb="4">
      <t>シュウショクキボウ</t>
    </rPh>
    <phoneticPr fontId="1"/>
  </si>
  <si>
    <t>中央美術学園</t>
    <rPh sb="0" eb="6">
      <t>チュウオウビジュツガクエン</t>
    </rPh>
    <phoneticPr fontId="1"/>
  </si>
  <si>
    <t>流通科学大学</t>
    <rPh sb="0" eb="6">
      <t>リュウツウカガクダイガク</t>
    </rPh>
    <phoneticPr fontId="1"/>
  </si>
  <si>
    <t>関西国際大学</t>
    <rPh sb="0" eb="2">
      <t>カンサイ</t>
    </rPh>
    <rPh sb="2" eb="4">
      <t>コクサイ</t>
    </rPh>
    <rPh sb="4" eb="6">
      <t>ダイガク</t>
    </rPh>
    <phoneticPr fontId="1"/>
  </si>
  <si>
    <t>３月帰国予定</t>
    <rPh sb="1" eb="2">
      <t>ガツ</t>
    </rPh>
    <rPh sb="2" eb="6">
      <t>キコクヨテイ</t>
    </rPh>
    <phoneticPr fontId="1"/>
  </si>
  <si>
    <t>特定活動ビザ希望</t>
    <rPh sb="0" eb="4">
      <t>トクテイカツドウ</t>
    </rPh>
    <rPh sb="6" eb="8">
      <t>キボウ</t>
    </rPh>
    <phoneticPr fontId="1"/>
  </si>
  <si>
    <t>神戸国際大学</t>
    <rPh sb="0" eb="2">
      <t>コウベ</t>
    </rPh>
    <rPh sb="2" eb="6">
      <t>コクサイダイガク</t>
    </rPh>
    <phoneticPr fontId="1"/>
  </si>
  <si>
    <t>AKASH MD</t>
  </si>
  <si>
    <t>検討中</t>
  </si>
  <si>
    <t>試験日</t>
    <rPh sb="0" eb="3">
      <t>シケンビ</t>
    </rPh>
    <phoneticPr fontId="1"/>
  </si>
  <si>
    <t>準備中</t>
  </si>
  <si>
    <t>状況</t>
    <rPh sb="0" eb="2">
      <t>ジョウキョウ</t>
    </rPh>
    <phoneticPr fontId="1"/>
  </si>
  <si>
    <t>進学以外</t>
  </si>
  <si>
    <t>進学以外</t>
    <rPh sb="0" eb="2">
      <t>シンガク</t>
    </rPh>
    <rPh sb="2" eb="4">
      <t>イガイ</t>
    </rPh>
    <phoneticPr fontId="1"/>
  </si>
  <si>
    <t>試験待ち</t>
  </si>
  <si>
    <t>大手前大学</t>
    <rPh sb="0" eb="5">
      <t>オオテマエダイガク</t>
    </rPh>
    <phoneticPr fontId="1"/>
  </si>
  <si>
    <t>神戸国際大学</t>
    <rPh sb="0" eb="6">
      <t>コウベコクサイダイガク</t>
    </rPh>
    <phoneticPr fontId="1"/>
  </si>
  <si>
    <t>東京テクニカルカレッジ</t>
    <rPh sb="0" eb="2">
      <t>トウキョウ</t>
    </rPh>
    <phoneticPr fontId="1"/>
  </si>
  <si>
    <t>神戸国際大学</t>
    <rPh sb="0" eb="2">
      <t>コウベ</t>
    </rPh>
    <rPh sb="2" eb="4">
      <t>コクサイ</t>
    </rPh>
    <rPh sb="4" eb="6">
      <t>ダイガク</t>
    </rPh>
    <phoneticPr fontId="1"/>
  </si>
  <si>
    <t>東京みらいIT&amp;AI専門学校</t>
    <rPh sb="0" eb="2">
      <t>トウキョウ</t>
    </rPh>
    <rPh sb="10" eb="14">
      <t>センモンガッコウ</t>
    </rPh>
    <phoneticPr fontId="1"/>
  </si>
  <si>
    <t>東京で日本語を勉強できる専門学校</t>
    <rPh sb="0" eb="2">
      <t>トウキョウ</t>
    </rPh>
    <rPh sb="3" eb="6">
      <t>ニホンゴ</t>
    </rPh>
    <rPh sb="7" eb="9">
      <t>ベンキョウ</t>
    </rPh>
    <rPh sb="12" eb="16">
      <t>センモンガッコウ</t>
    </rPh>
    <phoneticPr fontId="1"/>
  </si>
  <si>
    <t>合格</t>
  </si>
  <si>
    <t>結果待ち</t>
  </si>
  <si>
    <t>立命館大学</t>
    <rPh sb="0" eb="5">
      <t>リツメイカンダイガク</t>
    </rPh>
    <phoneticPr fontId="1"/>
  </si>
  <si>
    <t>神戸電子専門学校</t>
    <rPh sb="0" eb="4">
      <t>コウベデンシ</t>
    </rPh>
    <rPh sb="4" eb="8">
      <t>センモンガッコウ</t>
    </rPh>
    <phoneticPr fontId="1"/>
  </si>
  <si>
    <t>流通科学大学</t>
    <rPh sb="0" eb="4">
      <t>リュウツウカガク</t>
    </rPh>
    <rPh sb="4" eb="6">
      <t>ダイガク</t>
    </rPh>
    <phoneticPr fontId="1"/>
  </si>
  <si>
    <t>学校名</t>
    <rPh sb="0" eb="3">
      <t>ガッコウメイ</t>
    </rPh>
    <phoneticPr fontId="2"/>
  </si>
  <si>
    <t>大阪モード学園</t>
    <phoneticPr fontId="1"/>
  </si>
  <si>
    <t>修成建設専門学校</t>
    <rPh sb="0" eb="4">
      <t>シュウセイケンセツ</t>
    </rPh>
    <rPh sb="4" eb="8">
      <t>センモンガッコウ</t>
    </rPh>
    <phoneticPr fontId="1"/>
  </si>
  <si>
    <t>ECC国際外語専門学校</t>
    <rPh sb="3" eb="7">
      <t>コクサイガイゴ</t>
    </rPh>
    <rPh sb="7" eb="11">
      <t>センモンガッコウ</t>
    </rPh>
    <phoneticPr fontId="1"/>
  </si>
  <si>
    <t>エール学園</t>
    <rPh sb="3" eb="5">
      <t>ガクエン</t>
    </rPh>
    <phoneticPr fontId="1"/>
  </si>
  <si>
    <t>大阪モード学園</t>
    <rPh sb="0" eb="2">
      <t>オオサカ</t>
    </rPh>
    <rPh sb="5" eb="7">
      <t>ガクエン</t>
    </rPh>
    <phoneticPr fontId="1"/>
  </si>
  <si>
    <t>早稲田文理専門学校</t>
    <rPh sb="0" eb="3">
      <t>ワセダ</t>
    </rPh>
    <rPh sb="3" eb="5">
      <t>ブンリ</t>
    </rPh>
    <rPh sb="5" eb="9">
      <t>センモンガッコウ</t>
    </rPh>
    <phoneticPr fontId="1"/>
  </si>
  <si>
    <t>柏木実業専門学校</t>
    <phoneticPr fontId="1"/>
  </si>
  <si>
    <t>辞退</t>
  </si>
  <si>
    <t>流通経済大学</t>
    <rPh sb="0" eb="6">
      <t>リュウツウケイザイダイガク</t>
    </rPh>
    <phoneticPr fontId="1"/>
  </si>
  <si>
    <t>辞退</t>
    <rPh sb="0" eb="2">
      <t>ジタイ</t>
    </rPh>
    <phoneticPr fontId="1"/>
  </si>
  <si>
    <t>日本経済大学渋谷校</t>
    <rPh sb="0" eb="6">
      <t>ニホンケイザイダイガク</t>
    </rPh>
    <rPh sb="6" eb="9">
      <t>シブヤコウ</t>
    </rPh>
    <phoneticPr fontId="1"/>
  </si>
  <si>
    <t>合格</t>
    <rPh sb="0" eb="2">
      <t>ゴウカク</t>
    </rPh>
    <phoneticPr fontId="1"/>
  </si>
  <si>
    <t>大阪観光大学</t>
    <rPh sb="0" eb="6">
      <t>オオサカカンコウダイガク</t>
    </rPh>
    <phoneticPr fontId="1"/>
  </si>
  <si>
    <t>神戸親和大学</t>
    <rPh sb="0" eb="2">
      <t>コウベ</t>
    </rPh>
    <rPh sb="2" eb="4">
      <t>シンワ</t>
    </rPh>
    <rPh sb="4" eb="6">
      <t>ダイガク</t>
    </rPh>
    <phoneticPr fontId="1"/>
  </si>
  <si>
    <t>CAD製図専門学校</t>
    <rPh sb="3" eb="5">
      <t>セイズ</t>
    </rPh>
    <rPh sb="5" eb="9">
      <t>センモンガッコウ</t>
    </rPh>
    <phoneticPr fontId="1"/>
  </si>
  <si>
    <t>不合格</t>
  </si>
  <si>
    <t>中央情報専門学校</t>
    <rPh sb="0" eb="2">
      <t>チュウオウ</t>
    </rPh>
    <rPh sb="2" eb="4">
      <t>ジョウホウ</t>
    </rPh>
    <rPh sb="4" eb="8">
      <t>センモンガッコウ</t>
    </rPh>
    <phoneticPr fontId="1"/>
  </si>
  <si>
    <t>日商簿記三鷹福祉専門学校</t>
    <phoneticPr fontId="1"/>
  </si>
  <si>
    <t>関東工業自動車大学校</t>
    <rPh sb="0" eb="2">
      <t>カントウ</t>
    </rPh>
    <rPh sb="2" eb="4">
      <t>コウギョウ</t>
    </rPh>
    <rPh sb="4" eb="7">
      <t>ジドウシャ</t>
    </rPh>
    <rPh sb="7" eb="10">
      <t>ダイガッコウ</t>
    </rPh>
    <phoneticPr fontId="1"/>
  </si>
  <si>
    <t>中部国際自動車大学校</t>
    <phoneticPr fontId="1"/>
  </si>
  <si>
    <t>専門学校アートカレッジ神戸</t>
    <phoneticPr fontId="1"/>
  </si>
  <si>
    <t>専門学校アートカレッジ神戸</t>
    <rPh sb="0" eb="4">
      <t>センモンガッコウ</t>
    </rPh>
    <rPh sb="11" eb="13">
      <t>コウベ</t>
    </rPh>
    <phoneticPr fontId="1"/>
  </si>
  <si>
    <t>関西国際旅行・ホテル専門学校</t>
    <rPh sb="0" eb="2">
      <t>カンサイ</t>
    </rPh>
    <rPh sb="2" eb="6">
      <t>コクサイリョコウ</t>
    </rPh>
    <rPh sb="10" eb="14">
      <t>センモンガッコウ</t>
    </rPh>
    <phoneticPr fontId="1"/>
  </si>
  <si>
    <t>日本理工情報専門学校</t>
    <rPh sb="0" eb="2">
      <t>ニホン</t>
    </rPh>
    <rPh sb="2" eb="4">
      <t>リコウ</t>
    </rPh>
    <rPh sb="4" eb="6">
      <t>ジョウホウ</t>
    </rPh>
    <rPh sb="6" eb="10">
      <t>センモンガッコウ</t>
    </rPh>
    <phoneticPr fontId="1"/>
  </si>
  <si>
    <t>イーストウエスト外国語専門学校</t>
    <rPh sb="8" eb="11">
      <t>ガイコクゴ</t>
    </rPh>
    <rPh sb="11" eb="15">
      <t>センモンガッコウ</t>
    </rPh>
    <phoneticPr fontId="1"/>
  </si>
  <si>
    <t>京都コンピュータ学院</t>
    <phoneticPr fontId="1"/>
  </si>
  <si>
    <t>関西国際大学</t>
    <rPh sb="0" eb="6">
      <t>カンサイコクサイダイガク</t>
    </rPh>
    <phoneticPr fontId="1"/>
  </si>
  <si>
    <t>岩谷学園よこはまITビジネス専門学校</t>
  </si>
  <si>
    <t>岩谷学園よこはまITビジネス専門学校</t>
    <rPh sb="0" eb="2">
      <t>イワタニ</t>
    </rPh>
    <rPh sb="2" eb="4">
      <t>ガクエン</t>
    </rPh>
    <rPh sb="14" eb="18">
      <t>センモンガッコウ</t>
    </rPh>
    <phoneticPr fontId="1"/>
  </si>
  <si>
    <t>東京国際ビジネスカレッジ神戸校</t>
    <rPh sb="0" eb="4">
      <t>トウキョウコクサイ</t>
    </rPh>
    <rPh sb="12" eb="14">
      <t>コウベ</t>
    </rPh>
    <rPh sb="14" eb="15">
      <t>コウ</t>
    </rPh>
    <phoneticPr fontId="1"/>
  </si>
  <si>
    <t>阪神自動車航空鉄道専門学校</t>
    <rPh sb="0" eb="2">
      <t>ハンシン</t>
    </rPh>
    <rPh sb="2" eb="5">
      <t>ジドウシャ</t>
    </rPh>
    <rPh sb="5" eb="7">
      <t>コウクウ</t>
    </rPh>
    <rPh sb="7" eb="9">
      <t>テツドウ</t>
    </rPh>
    <rPh sb="9" eb="11">
      <t>センモン</t>
    </rPh>
    <rPh sb="11" eb="13">
      <t>ガッコウ</t>
    </rPh>
    <phoneticPr fontId="1"/>
  </si>
  <si>
    <t>兵庫大学</t>
    <rPh sb="0" eb="4">
      <t>ヒョウゴダイガク</t>
    </rPh>
    <phoneticPr fontId="1"/>
  </si>
  <si>
    <t>AO試験</t>
    <rPh sb="2" eb="4">
      <t>シケン</t>
    </rPh>
    <phoneticPr fontId="1"/>
  </si>
  <si>
    <t>学部、学科、試験区分、備考</t>
    <rPh sb="0" eb="2">
      <t>ガクブ</t>
    </rPh>
    <rPh sb="3" eb="5">
      <t>ガッカ</t>
    </rPh>
    <rPh sb="6" eb="10">
      <t>シケンクブン</t>
    </rPh>
    <rPh sb="11" eb="13">
      <t>ビコウ</t>
    </rPh>
    <phoneticPr fontId="1"/>
  </si>
  <si>
    <t>関西国際旅行・ホテル専門学校</t>
    <phoneticPr fontId="1"/>
  </si>
  <si>
    <t>日本語学科</t>
  </si>
  <si>
    <t>神戸電子専門学校</t>
    <rPh sb="0" eb="2">
      <t>コウベ</t>
    </rPh>
    <rPh sb="2" eb="4">
      <t>デンシ</t>
    </rPh>
    <rPh sb="4" eb="8">
      <t>センモンガッコウ</t>
    </rPh>
    <phoneticPr fontId="1"/>
  </si>
  <si>
    <t>プロスペラ学院ビジネス専門学校</t>
    <rPh sb="5" eb="7">
      <t>ガクイン</t>
    </rPh>
    <rPh sb="11" eb="13">
      <t>センモン</t>
    </rPh>
    <rPh sb="13" eb="15">
      <t>ガッコウ</t>
    </rPh>
    <phoneticPr fontId="1"/>
  </si>
  <si>
    <t>大原学園東京校</t>
    <rPh sb="0" eb="4">
      <t>オオハラガクエン</t>
    </rPh>
    <rPh sb="4" eb="7">
      <t>トウキョウコウ</t>
    </rPh>
    <phoneticPr fontId="1"/>
  </si>
  <si>
    <t>早稲田大学大学院</t>
    <rPh sb="0" eb="5">
      <t>ワセダダイガク</t>
    </rPh>
    <rPh sb="5" eb="8">
      <t>ダイガクイン</t>
    </rPh>
    <phoneticPr fontId="1"/>
  </si>
  <si>
    <t>大阪医専</t>
    <rPh sb="0" eb="4">
      <t>オオサカイセン</t>
    </rPh>
    <phoneticPr fontId="1"/>
  </si>
  <si>
    <t>歯科衛生科</t>
    <phoneticPr fontId="1"/>
  </si>
  <si>
    <t>福岡医健・スポーツ専門学校専門学校</t>
    <phoneticPr fontId="1"/>
  </si>
  <si>
    <t>不合格</t>
    <rPh sb="0" eb="3">
      <t>フゴウカク</t>
    </rPh>
    <phoneticPr fontId="1"/>
  </si>
  <si>
    <t>専門学校アートカレッジ神戸</t>
    <rPh sb="0" eb="2">
      <t>センモン</t>
    </rPh>
    <rPh sb="2" eb="4">
      <t>ガッコウ</t>
    </rPh>
    <rPh sb="11" eb="13">
      <t>コウベ</t>
    </rPh>
    <phoneticPr fontId="1"/>
  </si>
  <si>
    <t>ホテル学科、協定校推薦</t>
    <rPh sb="3" eb="5">
      <t>ガッカ</t>
    </rPh>
    <rPh sb="6" eb="9">
      <t>キョウテイコウ</t>
    </rPh>
    <rPh sb="9" eb="11">
      <t>スイセン</t>
    </rPh>
    <phoneticPr fontId="1"/>
  </si>
  <si>
    <t>情報処理学科</t>
    <rPh sb="0" eb="4">
      <t>ジョウホウショリ</t>
    </rPh>
    <rPh sb="4" eb="6">
      <t>ガッカ</t>
    </rPh>
    <phoneticPr fontId="1"/>
  </si>
  <si>
    <t>ホテル学科</t>
    <rPh sb="3" eb="5">
      <t>ガッカ</t>
    </rPh>
    <phoneticPr fontId="1"/>
  </si>
  <si>
    <t>進路決定</t>
    <rPh sb="0" eb="4">
      <t>シンロケッテイ</t>
    </rPh>
    <phoneticPr fontId="1"/>
  </si>
  <si>
    <t>アジア貢献ホスピタリティ専門学校</t>
    <rPh sb="3" eb="5">
      <t>コウケン</t>
    </rPh>
    <rPh sb="12" eb="16">
      <t>センモンガッコウ</t>
    </rPh>
    <phoneticPr fontId="1"/>
  </si>
  <si>
    <t>四国大学短期大学部</t>
    <rPh sb="0" eb="4">
      <t>シコクダイガク</t>
    </rPh>
    <rPh sb="4" eb="9">
      <t>タンキダイガクブ</t>
    </rPh>
    <phoneticPr fontId="1"/>
  </si>
  <si>
    <t>流通科学大学</t>
    <rPh sb="0" eb="6">
      <t>リュウツウ</t>
    </rPh>
    <phoneticPr fontId="1"/>
  </si>
  <si>
    <t>東京テクニカルカレッジ中野校</t>
    <rPh sb="0" eb="2">
      <t>トウキョウ</t>
    </rPh>
    <rPh sb="11" eb="14">
      <t>ナカノコウ</t>
    </rPh>
    <phoneticPr fontId="1"/>
  </si>
  <si>
    <t>名古屋経済大学</t>
    <rPh sb="0" eb="3">
      <t>ナゴヤ</t>
    </rPh>
    <rPh sb="3" eb="7">
      <t>ケイザイダイガク</t>
    </rPh>
    <phoneticPr fontId="1"/>
  </si>
  <si>
    <t>日本経済大学</t>
    <rPh sb="0" eb="6">
      <t>ニホンケイザイダイガク</t>
    </rPh>
    <phoneticPr fontId="1"/>
  </si>
  <si>
    <t>関西国際旅行・ホテル専門学校</t>
    <rPh sb="0" eb="4">
      <t>カンサイコクサイ</t>
    </rPh>
    <rPh sb="4" eb="6">
      <t>リョコウ</t>
    </rPh>
    <rPh sb="10" eb="14">
      <t>センモンガッコウ</t>
    </rPh>
    <phoneticPr fontId="1"/>
  </si>
  <si>
    <t>一般試験</t>
    <rPh sb="0" eb="2">
      <t>イッパン</t>
    </rPh>
    <rPh sb="2" eb="4">
      <t>シケン</t>
    </rPh>
    <phoneticPr fontId="1"/>
  </si>
  <si>
    <t>一般試験（再受験）</t>
    <rPh sb="0" eb="2">
      <t>イッパン</t>
    </rPh>
    <rPh sb="2" eb="4">
      <t>シケン</t>
    </rPh>
    <rPh sb="5" eb="8">
      <t>サイジュケン</t>
    </rPh>
    <phoneticPr fontId="1"/>
  </si>
  <si>
    <t>指定校推薦</t>
    <rPh sb="0" eb="5">
      <t>シテイコウスイセン</t>
    </rPh>
    <phoneticPr fontId="1"/>
  </si>
  <si>
    <t>中央美術学園</t>
    <rPh sb="0" eb="2">
      <t>チュウオウ</t>
    </rPh>
    <rPh sb="2" eb="4">
      <t>ビジュツ</t>
    </rPh>
    <rPh sb="4" eb="6">
      <t>ガクエン</t>
    </rPh>
    <phoneticPr fontId="1"/>
  </si>
  <si>
    <t>新潟国際自動車大学校</t>
    <rPh sb="2" eb="4">
      <t>コクサイ</t>
    </rPh>
    <phoneticPr fontId="1"/>
  </si>
  <si>
    <t>新潟国際自動車大学校</t>
    <rPh sb="0" eb="10">
      <t>ニイガタコクサイジドウシャダイガッコウ</t>
    </rPh>
    <phoneticPr fontId="1"/>
  </si>
  <si>
    <t>東京国際ビジネスカレッジ神戸校</t>
    <rPh sb="0" eb="4">
      <t>トウキョウコクサイ</t>
    </rPh>
    <rPh sb="12" eb="15">
      <t>コウベコウ</t>
    </rPh>
    <phoneticPr fontId="1"/>
  </si>
  <si>
    <t>日本工科大学校</t>
    <rPh sb="0" eb="7">
      <t>ニホンコウカダイガッコウ</t>
    </rPh>
    <phoneticPr fontId="1"/>
  </si>
  <si>
    <t>神戸国際大学</t>
    <rPh sb="0" eb="4">
      <t>コウベコクサイ</t>
    </rPh>
    <rPh sb="4" eb="6">
      <t>ダイガク</t>
    </rPh>
    <phoneticPr fontId="1"/>
  </si>
  <si>
    <t>愛甲学院専門学校</t>
    <rPh sb="0" eb="4">
      <t>アイコウガクイン</t>
    </rPh>
    <rPh sb="4" eb="8">
      <t>センモンガッコウ</t>
    </rPh>
    <phoneticPr fontId="1"/>
  </si>
  <si>
    <t>東京豊島IT医療福祉専門学校</t>
    <rPh sb="0" eb="4">
      <t>トウキョウトシマ</t>
    </rPh>
    <rPh sb="6" eb="10">
      <t>イリョウフクシ</t>
    </rPh>
    <rPh sb="10" eb="14">
      <t>センモンガッコウ</t>
    </rPh>
    <phoneticPr fontId="1"/>
  </si>
  <si>
    <t>情報ビジネス学科</t>
    <rPh sb="6" eb="8">
      <t>ガッカ</t>
    </rPh>
    <phoneticPr fontId="1"/>
  </si>
  <si>
    <t>早期指定校推薦</t>
    <rPh sb="0" eb="2">
      <t>ソウキ</t>
    </rPh>
    <rPh sb="2" eb="5">
      <t>シテイコウ</t>
    </rPh>
    <rPh sb="5" eb="7">
      <t>スイセン</t>
    </rPh>
    <phoneticPr fontId="1"/>
  </si>
  <si>
    <t>東京工科自動車大学校世田谷校</t>
    <rPh sb="0" eb="4">
      <t>トウキョウコウカ</t>
    </rPh>
    <rPh sb="4" eb="10">
      <t>ジドウシャダイガッコウ</t>
    </rPh>
    <rPh sb="10" eb="14">
      <t>セタガヤコウ</t>
    </rPh>
    <phoneticPr fontId="1"/>
  </si>
  <si>
    <t>観光学科、指定校推薦</t>
    <rPh sb="0" eb="4">
      <t>カンコウガッカ</t>
    </rPh>
    <rPh sb="5" eb="10">
      <t>シテイコウスイセン</t>
    </rPh>
    <phoneticPr fontId="1"/>
  </si>
  <si>
    <t>関東工業自動車大学校</t>
    <rPh sb="0" eb="2">
      <t>カントウ</t>
    </rPh>
    <rPh sb="2" eb="7">
      <t>コウギョウジドウシャ</t>
    </rPh>
    <rPh sb="7" eb="10">
      <t>ダイガッコウ</t>
    </rPh>
    <phoneticPr fontId="1"/>
  </si>
  <si>
    <t>大阪キリスト教短期大学</t>
    <rPh sb="0" eb="2">
      <t>オオサカ</t>
    </rPh>
    <rPh sb="6" eb="7">
      <t>キョウ</t>
    </rPh>
    <rPh sb="7" eb="11">
      <t>タンキダイガク</t>
    </rPh>
    <phoneticPr fontId="1"/>
  </si>
  <si>
    <t>AO試験、２級自動車整備学科</t>
    <rPh sb="2" eb="4">
      <t>シケン</t>
    </rPh>
    <rPh sb="6" eb="7">
      <t>キュウ</t>
    </rPh>
    <rPh sb="7" eb="10">
      <t>ジドウシャ</t>
    </rPh>
    <rPh sb="10" eb="12">
      <t>セイビ</t>
    </rPh>
    <rPh sb="12" eb="14">
      <t>ガッカ</t>
    </rPh>
    <phoneticPr fontId="1"/>
  </si>
  <si>
    <t>新潟国際自動車大学校</t>
    <rPh sb="0" eb="2">
      <t>ニイガタ</t>
    </rPh>
    <rPh sb="2" eb="4">
      <t>コクサイ</t>
    </rPh>
    <rPh sb="4" eb="7">
      <t>ジドウシャ</t>
    </rPh>
    <rPh sb="7" eb="10">
      <t>ダイガッコウ</t>
    </rPh>
    <phoneticPr fontId="1"/>
  </si>
  <si>
    <t>東亜経理専門学校</t>
    <rPh sb="4" eb="8">
      <t>センモンガッコウ</t>
    </rPh>
    <phoneticPr fontId="1"/>
  </si>
  <si>
    <t>愛甲学院専門学校</t>
    <rPh sb="2" eb="4">
      <t>ガクイン</t>
    </rPh>
    <rPh sb="4" eb="8">
      <t>センモンガッコウ</t>
    </rPh>
    <phoneticPr fontId="1"/>
  </si>
  <si>
    <t>愛甲学院専門学校</t>
    <rPh sb="0" eb="2">
      <t>アイコウ</t>
    </rPh>
    <rPh sb="2" eb="4">
      <t>ガクイン</t>
    </rPh>
    <rPh sb="4" eb="8">
      <t>センモンガッコウ</t>
    </rPh>
    <phoneticPr fontId="1"/>
  </si>
  <si>
    <t>1年制日本語コース</t>
  </si>
  <si>
    <t>東大阪短期大学</t>
    <rPh sb="0" eb="3">
      <t>ヒガシオオサカ</t>
    </rPh>
    <rPh sb="3" eb="7">
      <t>タンキダイガク</t>
    </rPh>
    <phoneticPr fontId="1"/>
  </si>
  <si>
    <t>東京日建工科専門学校</t>
    <rPh sb="0" eb="2">
      <t>トウキョウ</t>
    </rPh>
    <rPh sb="2" eb="4">
      <t>ニッケン</t>
    </rPh>
    <rPh sb="4" eb="6">
      <t>コウカ</t>
    </rPh>
    <rPh sb="6" eb="8">
      <t>センモン</t>
    </rPh>
    <rPh sb="8" eb="10">
      <t>ガッコウ</t>
    </rPh>
    <phoneticPr fontId="1"/>
  </si>
  <si>
    <t>日本語科</t>
    <rPh sb="0" eb="3">
      <t>ニホンゴ</t>
    </rPh>
    <rPh sb="3" eb="4">
      <t>カ</t>
    </rPh>
    <phoneticPr fontId="1"/>
  </si>
  <si>
    <t>日本語科、２回目受験</t>
    <rPh sb="0" eb="3">
      <t>ニホンゴ</t>
    </rPh>
    <rPh sb="3" eb="4">
      <t>カ</t>
    </rPh>
    <rPh sb="6" eb="8">
      <t>カイメ</t>
    </rPh>
    <rPh sb="8" eb="10">
      <t>ジュケン</t>
    </rPh>
    <phoneticPr fontId="1"/>
  </si>
  <si>
    <t>岡山服飾ビジネス専門学校</t>
    <rPh sb="0" eb="2">
      <t>オカヤマ</t>
    </rPh>
    <rPh sb="2" eb="4">
      <t>フクショク</t>
    </rPh>
    <rPh sb="8" eb="12">
      <t>センモンガッコウ</t>
    </rPh>
    <phoneticPr fontId="1"/>
  </si>
  <si>
    <t>神戸親和大学</t>
    <rPh sb="0" eb="6">
      <t>コウベシンワダイガク</t>
    </rPh>
    <phoneticPr fontId="1"/>
  </si>
  <si>
    <t>合格発表日</t>
    <rPh sb="0" eb="2">
      <t>ゴウカク</t>
    </rPh>
    <rPh sb="2" eb="4">
      <t>ハッピョウ</t>
    </rPh>
    <rPh sb="4" eb="5">
      <t>ビ</t>
    </rPh>
    <phoneticPr fontId="1"/>
  </si>
  <si>
    <t>東京国際ビジネスカレッジ神戸校</t>
    <rPh sb="0" eb="2">
      <t>トウキョウ</t>
    </rPh>
    <rPh sb="2" eb="4">
      <t>コクサイ</t>
    </rPh>
    <rPh sb="12" eb="14">
      <t>コウベ</t>
    </rPh>
    <rPh sb="14" eb="15">
      <t>コウ</t>
    </rPh>
    <phoneticPr fontId="1"/>
  </si>
  <si>
    <t>大阪総合福祉専門学校</t>
    <rPh sb="0" eb="2">
      <t>オオサカ</t>
    </rPh>
    <rPh sb="2" eb="4">
      <t>ソウゴウ</t>
    </rPh>
    <rPh sb="4" eb="6">
      <t>フクシ</t>
    </rPh>
    <rPh sb="6" eb="10">
      <t>センモンガッコウ</t>
    </rPh>
    <phoneticPr fontId="1"/>
  </si>
  <si>
    <t>東京国際学園情報専門学校</t>
    <rPh sb="0" eb="2">
      <t>トウキョウ</t>
    </rPh>
    <rPh sb="2" eb="4">
      <t>コクサイ</t>
    </rPh>
    <rPh sb="4" eb="6">
      <t>ガクエン</t>
    </rPh>
    <rPh sb="6" eb="8">
      <t>ジョウホウ</t>
    </rPh>
    <rPh sb="8" eb="10">
      <t>センモン</t>
    </rPh>
    <rPh sb="10" eb="12">
      <t>ガッコウ</t>
    </rPh>
    <phoneticPr fontId="1"/>
  </si>
  <si>
    <t>国際工科専門学校</t>
    <rPh sb="0" eb="2">
      <t>コクサイ</t>
    </rPh>
    <rPh sb="2" eb="4">
      <t>コウカ</t>
    </rPh>
    <rPh sb="4" eb="8">
      <t>センモンガッコウ</t>
    </rPh>
    <phoneticPr fontId="1"/>
  </si>
  <si>
    <t>大和大学</t>
    <rPh sb="0" eb="2">
      <t>ヤマト</t>
    </rPh>
    <rPh sb="2" eb="4">
      <t>ダイガク</t>
    </rPh>
    <phoneticPr fontId="1"/>
  </si>
  <si>
    <t>関西国際大学</t>
    <rPh sb="0" eb="2">
      <t>カンサイ</t>
    </rPh>
    <rPh sb="2" eb="4">
      <t>コクサイ</t>
    </rPh>
    <rPh sb="4" eb="5">
      <t>ダイ</t>
    </rPh>
    <rPh sb="5" eb="6">
      <t>ガク</t>
    </rPh>
    <phoneticPr fontId="1"/>
  </si>
  <si>
    <t>福岡外語専門学校</t>
    <rPh sb="4" eb="8">
      <t>センモンガッコウ</t>
    </rPh>
    <phoneticPr fontId="1"/>
  </si>
  <si>
    <t>国際自動車学科</t>
    <phoneticPr fontId="1"/>
  </si>
  <si>
    <t>指定校推薦</t>
    <phoneticPr fontId="1"/>
  </si>
  <si>
    <t>BISHAL TAMANG</t>
    <phoneticPr fontId="1"/>
  </si>
  <si>
    <t>流通科学大学</t>
    <rPh sb="0" eb="5">
      <t>リュウツウカガクダイ</t>
    </rPh>
    <rPh sb="5" eb="6">
      <t>ガク</t>
    </rPh>
    <phoneticPr fontId="1"/>
  </si>
  <si>
    <t>ECC外語専門学校</t>
    <rPh sb="3" eb="5">
      <t>ガイゴ</t>
    </rPh>
    <rPh sb="5" eb="9">
      <t>センモンガッコウ</t>
    </rPh>
    <phoneticPr fontId="1"/>
  </si>
  <si>
    <t>ホテル学科</t>
    <phoneticPr fontId="1"/>
  </si>
  <si>
    <t>東京国際会計専門学校</t>
    <rPh sb="0" eb="2">
      <t>トウキョウ</t>
    </rPh>
    <rPh sb="2" eb="6">
      <t>コクサイカイケイ</t>
    </rPh>
    <rPh sb="6" eb="10">
      <t>センモンガッコウ</t>
    </rPh>
    <phoneticPr fontId="1"/>
  </si>
  <si>
    <t>中央工学校OSAKA</t>
    <phoneticPr fontId="1"/>
  </si>
  <si>
    <t>CAD製図専門学校</t>
    <phoneticPr fontId="1"/>
  </si>
  <si>
    <t>ICT専門学校高砂校</t>
    <rPh sb="3" eb="7">
      <t>センモンガッコウ</t>
    </rPh>
    <rPh sb="7" eb="9">
      <t>タカサゴ</t>
    </rPh>
    <rPh sb="9" eb="10">
      <t>コウ</t>
    </rPh>
    <phoneticPr fontId="1"/>
  </si>
  <si>
    <t>日本国際工科専門学校</t>
    <rPh sb="0" eb="6">
      <t>ニホンコクサイコウカ</t>
    </rPh>
    <rPh sb="6" eb="10">
      <t>センモンガッコウ</t>
    </rPh>
    <phoneticPr fontId="1"/>
  </si>
  <si>
    <t>東亜経理専門学校</t>
    <rPh sb="0" eb="4">
      <t>トウアケイリ</t>
    </rPh>
    <rPh sb="4" eb="8">
      <t>センモンガッコウ</t>
    </rPh>
    <phoneticPr fontId="1"/>
  </si>
  <si>
    <t>大阪観光ビジネス学院</t>
    <rPh sb="0" eb="4">
      <t>オオサカカンコウ</t>
    </rPh>
    <rPh sb="8" eb="10">
      <t>ガクイン</t>
    </rPh>
    <phoneticPr fontId="1"/>
  </si>
  <si>
    <t>関東自動車大学校</t>
    <rPh sb="0" eb="2">
      <t>カントウ</t>
    </rPh>
    <rPh sb="2" eb="5">
      <t>ジドウシャ</t>
    </rPh>
    <rPh sb="5" eb="8">
      <t>ダイガッコウ</t>
    </rPh>
    <phoneticPr fontId="1"/>
  </si>
  <si>
    <t>東京工科自動車大学校</t>
    <rPh sb="0" eb="7">
      <t>トウキョウコウカジドウシャ</t>
    </rPh>
    <rPh sb="7" eb="10">
      <t>ダイガッコウ</t>
    </rPh>
    <phoneticPr fontId="1"/>
  </si>
  <si>
    <t>神戸電子専門学校</t>
    <rPh sb="0" eb="2">
      <t>コウベ</t>
    </rPh>
    <rPh sb="2" eb="3">
      <t>デン</t>
    </rPh>
    <rPh sb="3" eb="4">
      <t>コ</t>
    </rPh>
    <rPh sb="4" eb="6">
      <t>センモン</t>
    </rPh>
    <rPh sb="6" eb="8">
      <t>ガッコウ</t>
    </rPh>
    <phoneticPr fontId="1"/>
  </si>
  <si>
    <t>一般、国際自動車整備科</t>
    <rPh sb="0" eb="2">
      <t>イッパン</t>
    </rPh>
    <phoneticPr fontId="1"/>
  </si>
  <si>
    <t>指定校推薦、国際自動車整備科</t>
    <rPh sb="0" eb="3">
      <t>シテイコウ</t>
    </rPh>
    <rPh sb="3" eb="5">
      <t>スイセン</t>
    </rPh>
    <phoneticPr fontId="1"/>
  </si>
  <si>
    <t>ECC国際外語専門学校</t>
    <rPh sb="3" eb="7">
      <t>コクサイガイゴ</t>
    </rPh>
    <rPh sb="7" eb="9">
      <t>センモン</t>
    </rPh>
    <rPh sb="9" eb="11">
      <t>ガッコウ</t>
    </rPh>
    <phoneticPr fontId="1"/>
  </si>
  <si>
    <t>大阪女学院大学</t>
    <rPh sb="2" eb="5">
      <t>ジョガクイン</t>
    </rPh>
    <rPh sb="5" eb="7">
      <t>ダイガク</t>
    </rPh>
    <phoneticPr fontId="1"/>
  </si>
  <si>
    <t>流通科学大学</t>
    <rPh sb="0" eb="2">
      <t>リュウツウ</t>
    </rPh>
    <rPh sb="2" eb="4">
      <t>カガク</t>
    </rPh>
    <rPh sb="4" eb="6">
      <t>ダイガク</t>
    </rPh>
    <phoneticPr fontId="1"/>
  </si>
  <si>
    <t>ICT専門学校</t>
    <phoneticPr fontId="1"/>
  </si>
  <si>
    <t>大手前大学</t>
  </si>
  <si>
    <t>立命館大学</t>
    <phoneticPr fontId="1"/>
  </si>
  <si>
    <t>関西学院大学</t>
    <phoneticPr fontId="1"/>
  </si>
  <si>
    <t>学籍番号</t>
    <rPh sb="0" eb="4">
      <t>ガクセキバンゴウ</t>
    </rPh>
    <phoneticPr fontId="1"/>
  </si>
  <si>
    <t>名前</t>
    <rPh sb="0" eb="2">
      <t>ナマエ</t>
    </rPh>
    <phoneticPr fontId="1"/>
  </si>
  <si>
    <t>クラス</t>
    <phoneticPr fontId="1"/>
  </si>
  <si>
    <t>進路確定</t>
    <rPh sb="0" eb="2">
      <t>シンロ</t>
    </rPh>
    <rPh sb="2" eb="4">
      <t>カクテイ</t>
    </rPh>
    <phoneticPr fontId="1"/>
  </si>
  <si>
    <t>進路決定確認ワーク</t>
    <rPh sb="4" eb="6">
      <t>カクニン</t>
    </rPh>
    <phoneticPr fontId="1"/>
  </si>
  <si>
    <t>合格校</t>
    <rPh sb="0" eb="2">
      <t>ゴウカク</t>
    </rPh>
    <rPh sb="2" eb="3">
      <t>コウ</t>
    </rPh>
    <phoneticPr fontId="1"/>
  </si>
  <si>
    <t>進路決定者フラグ</t>
    <rPh sb="0" eb="4">
      <t>シンロケッテイ</t>
    </rPh>
    <rPh sb="4" eb="5">
      <t>シャ</t>
    </rPh>
    <phoneticPr fontId="1"/>
  </si>
  <si>
    <t>ビジネス・コミュニケーション科</t>
    <phoneticPr fontId="1"/>
  </si>
  <si>
    <t>ビジネス総合科オフィスビジネス専攻、一般入試</t>
    <rPh sb="4" eb="7">
      <t>ソウゴウカ</t>
    </rPh>
    <rPh sb="15" eb="17">
      <t>センコウ</t>
    </rPh>
    <rPh sb="18" eb="20">
      <t>イッパン</t>
    </rPh>
    <rPh sb="20" eb="22">
      <t>ニュウシ</t>
    </rPh>
    <phoneticPr fontId="1"/>
  </si>
  <si>
    <t>国際サービスエンジニア科</t>
    <phoneticPr fontId="1"/>
  </si>
  <si>
    <t>情報ビジネス学科</t>
    <rPh sb="0" eb="2">
      <t>ジョウホウ</t>
    </rPh>
    <rPh sb="6" eb="8">
      <t>ガッカ</t>
    </rPh>
    <phoneticPr fontId="1"/>
  </si>
  <si>
    <t>IT Web学科</t>
    <rPh sb="6" eb="8">
      <t>ガッカ</t>
    </rPh>
    <phoneticPr fontId="1"/>
  </si>
  <si>
    <t>CADデザイン科</t>
    <rPh sb="7" eb="8">
      <t>カ</t>
    </rPh>
    <phoneticPr fontId="1"/>
  </si>
  <si>
    <t>CAD IT科</t>
    <rPh sb="6" eb="7">
      <t>カ</t>
    </rPh>
    <phoneticPr fontId="1"/>
  </si>
  <si>
    <t>自動車整備科2級整備士コース</t>
    <rPh sb="0" eb="3">
      <t>ジドウシャ</t>
    </rPh>
    <rPh sb="3" eb="5">
      <t>セイビ</t>
    </rPh>
    <rPh sb="5" eb="6">
      <t>カ</t>
    </rPh>
    <rPh sb="7" eb="8">
      <t>キュウ</t>
    </rPh>
    <rPh sb="8" eb="11">
      <t>セイビシ</t>
    </rPh>
    <phoneticPr fontId="1"/>
  </si>
  <si>
    <t>国際コミュニケーション学科ビジネスマネジメントコース</t>
    <rPh sb="0" eb="2">
      <t>コクサイ</t>
    </rPh>
    <rPh sb="11" eb="13">
      <t>ガッカ</t>
    </rPh>
    <phoneticPr fontId="1"/>
  </si>
  <si>
    <t>情報処理科国際ビジネスＩＴコース</t>
    <rPh sb="0" eb="4">
      <t>ジョウホウショリ</t>
    </rPh>
    <rPh sb="4" eb="5">
      <t>カ</t>
    </rPh>
    <rPh sb="5" eb="7">
      <t>コクサイ</t>
    </rPh>
    <phoneticPr fontId="1"/>
  </si>
  <si>
    <t>経済学部経済情報学科</t>
    <rPh sb="0" eb="4">
      <t>ケイザイガクブ</t>
    </rPh>
    <rPh sb="4" eb="8">
      <t>ケイザイジョウホウ</t>
    </rPh>
    <rPh sb="8" eb="10">
      <t>ガッカ</t>
    </rPh>
    <phoneticPr fontId="1"/>
  </si>
  <si>
    <t>自動車整備科</t>
    <rPh sb="0" eb="3">
      <t>ジドウシャ</t>
    </rPh>
    <rPh sb="3" eb="5">
      <t>セイビ</t>
    </rPh>
    <rPh sb="5" eb="6">
      <t>カ</t>
    </rPh>
    <phoneticPr fontId="1"/>
  </si>
  <si>
    <t>観光学科</t>
    <rPh sb="0" eb="4">
      <t>カンコウガッカ</t>
    </rPh>
    <phoneticPr fontId="1"/>
  </si>
  <si>
    <t>国際ビジネス学科</t>
    <rPh sb="0" eb="2">
      <t>コクサイ</t>
    </rPh>
    <rPh sb="6" eb="8">
      <t>ガッカ</t>
    </rPh>
    <phoneticPr fontId="1"/>
  </si>
  <si>
    <t>専門学校花壇自動車大学校</t>
    <rPh sb="0" eb="4">
      <t>センモンガッコウ</t>
    </rPh>
    <phoneticPr fontId="1"/>
  </si>
  <si>
    <t>協定校推薦</t>
    <rPh sb="0" eb="2">
      <t>キョウテイ</t>
    </rPh>
    <rPh sb="2" eb="3">
      <t>コウ</t>
    </rPh>
    <rPh sb="3" eb="5">
      <t>スイセン</t>
    </rPh>
    <phoneticPr fontId="1"/>
  </si>
  <si>
    <t>ECC国際外語専門学校</t>
    <rPh sb="3" eb="5">
      <t>コクサイ</t>
    </rPh>
    <rPh sb="5" eb="7">
      <t>ガイゴ</t>
    </rPh>
    <rPh sb="7" eb="9">
      <t>センモン</t>
    </rPh>
    <rPh sb="9" eb="11">
      <t>ガッコウ</t>
    </rPh>
    <phoneticPr fontId="1"/>
  </si>
  <si>
    <t>行ラベル</t>
  </si>
  <si>
    <t>個数 / 進路確定</t>
  </si>
  <si>
    <t>列ラベル</t>
  </si>
  <si>
    <t>進路未定</t>
    <rPh sb="0" eb="2">
      <t>シンロ</t>
    </rPh>
    <rPh sb="2" eb="4">
      <t>ミテイ</t>
    </rPh>
    <phoneticPr fontId="1"/>
  </si>
  <si>
    <t>進路決定</t>
    <rPh sb="0" eb="2">
      <t>シンロ</t>
    </rPh>
    <rPh sb="2" eb="4">
      <t>ケッテイ</t>
    </rPh>
    <phoneticPr fontId="1"/>
  </si>
  <si>
    <t>割合</t>
    <rPh sb="0" eb="2">
      <t>ワリアイ</t>
    </rPh>
    <phoneticPr fontId="1"/>
  </si>
  <si>
    <t>クラス内表示位置</t>
    <rPh sb="3" eb="4">
      <t>ナイ</t>
    </rPh>
    <rPh sb="4" eb="6">
      <t>ヒョウジ</t>
    </rPh>
    <rPh sb="6" eb="8">
      <t>イチ</t>
    </rPh>
    <phoneticPr fontId="1"/>
  </si>
  <si>
    <t>ページ内表示位置</t>
    <rPh sb="3" eb="4">
      <t>ナイ</t>
    </rPh>
    <rPh sb="4" eb="8">
      <t>ヒョウジイチ</t>
    </rPh>
    <phoneticPr fontId="1"/>
  </si>
  <si>
    <t>ページ</t>
    <phoneticPr fontId="1"/>
  </si>
  <si>
    <t>クラス内ページ</t>
    <rPh sb="3" eb="4">
      <t>ナイ</t>
    </rPh>
    <phoneticPr fontId="1"/>
  </si>
  <si>
    <t>キー</t>
    <phoneticPr fontId="1"/>
  </si>
  <si>
    <t>東京国際ビジネスカレッジ神戸校</t>
    <rPh sb="0" eb="2">
      <t>トウキョウ</t>
    </rPh>
    <rPh sb="2" eb="4">
      <t>コクサイ</t>
    </rPh>
    <rPh sb="12" eb="15">
      <t>コウベコウ</t>
    </rPh>
    <phoneticPr fontId="1"/>
  </si>
  <si>
    <t>芦屋大学</t>
    <phoneticPr fontId="1"/>
  </si>
  <si>
    <t>日本理工情報専門学校</t>
    <phoneticPr fontId="1"/>
  </si>
  <si>
    <t>インテリアデザイナー専攻、AO試験早期</t>
    <rPh sb="15" eb="17">
      <t>シケン</t>
    </rPh>
    <rPh sb="17" eb="19">
      <t>ソウキ</t>
    </rPh>
    <phoneticPr fontId="1"/>
  </si>
  <si>
    <t>マーケティング学科、一般</t>
    <rPh sb="7" eb="9">
      <t>ガッカ</t>
    </rPh>
    <rPh sb="10" eb="12">
      <t>イッパン</t>
    </rPh>
    <phoneticPr fontId="1"/>
  </si>
  <si>
    <t>国際文化学科、協定校推薦</t>
    <rPh sb="0" eb="2">
      <t>コクサイ</t>
    </rPh>
    <rPh sb="2" eb="4">
      <t>ブンカ</t>
    </rPh>
    <rPh sb="4" eb="6">
      <t>ガッカ</t>
    </rPh>
    <rPh sb="7" eb="10">
      <t>キョウテイコウ</t>
    </rPh>
    <rPh sb="10" eb="12">
      <t>スイセン</t>
    </rPh>
    <phoneticPr fontId="1"/>
  </si>
  <si>
    <t>国際ビジネスコース、AO試験</t>
    <rPh sb="12" eb="14">
      <t>シケン</t>
    </rPh>
    <phoneticPr fontId="1"/>
  </si>
  <si>
    <t>建築インテリアデザイン学科、特別指定校推薦</t>
    <rPh sb="0" eb="2">
      <t>ケンチク</t>
    </rPh>
    <rPh sb="11" eb="13">
      <t>ガッカ</t>
    </rPh>
    <rPh sb="14" eb="16">
      <t>トクベツ</t>
    </rPh>
    <rPh sb="16" eb="19">
      <t>シテイコウ</t>
    </rPh>
    <rPh sb="19" eb="21">
      <t>スイセン</t>
    </rPh>
    <phoneticPr fontId="1"/>
  </si>
  <si>
    <t>国際英語学部、国際英語学科、指定校推薦3年次編入試験</t>
    <rPh sb="0" eb="2">
      <t>コクサイ</t>
    </rPh>
    <rPh sb="2" eb="4">
      <t>エイゴ</t>
    </rPh>
    <rPh sb="4" eb="6">
      <t>ガクブ</t>
    </rPh>
    <rPh sb="7" eb="9">
      <t>コクサイ</t>
    </rPh>
    <rPh sb="9" eb="11">
      <t>エイゴ</t>
    </rPh>
    <rPh sb="11" eb="13">
      <t>ガッカ</t>
    </rPh>
    <phoneticPr fontId="1"/>
  </si>
  <si>
    <t>大学進学コース、進学準備コース、一般</t>
    <rPh sb="0" eb="2">
      <t>ダイガク</t>
    </rPh>
    <rPh sb="2" eb="4">
      <t>シンガク</t>
    </rPh>
    <rPh sb="8" eb="10">
      <t>シンガク</t>
    </rPh>
    <rPh sb="10" eb="12">
      <t>ジュンビ</t>
    </rPh>
    <rPh sb="16" eb="18">
      <t>イッパン</t>
    </rPh>
    <phoneticPr fontId="1"/>
  </si>
  <si>
    <t>国際自動車整備科、指定校推薦</t>
    <rPh sb="9" eb="12">
      <t>シテイコウ</t>
    </rPh>
    <rPh sb="12" eb="14">
      <t>スイセン</t>
    </rPh>
    <phoneticPr fontId="1"/>
  </si>
  <si>
    <t>ITスペシャリストコース、特別指定校推薦</t>
    <rPh sb="18" eb="20">
      <t>スイセン</t>
    </rPh>
    <phoneticPr fontId="1"/>
  </si>
  <si>
    <t>国際文化学科、協定校推薦</t>
    <rPh sb="0" eb="4">
      <t>コクサイブンカ</t>
    </rPh>
    <rPh sb="4" eb="6">
      <t>ガッカ</t>
    </rPh>
    <rPh sb="7" eb="10">
      <t>キョウテイコウ</t>
    </rPh>
    <rPh sb="10" eb="12">
      <t>スイセン</t>
    </rPh>
    <phoneticPr fontId="1"/>
  </si>
  <si>
    <t>キャリアデザインコース、一般</t>
    <rPh sb="12" eb="14">
      <t>イッパン</t>
    </rPh>
    <phoneticPr fontId="1"/>
  </si>
  <si>
    <t>世田谷校、自動車整備科、指定校推薦</t>
    <rPh sb="0" eb="3">
      <t>セタガヤ</t>
    </rPh>
    <rPh sb="3" eb="4">
      <t>コウ</t>
    </rPh>
    <rPh sb="5" eb="8">
      <t>ジドウシャ</t>
    </rPh>
    <rPh sb="8" eb="10">
      <t>セイビ</t>
    </rPh>
    <rPh sb="10" eb="11">
      <t>カ</t>
    </rPh>
    <rPh sb="12" eb="15">
      <t>シテイコウ</t>
    </rPh>
    <rPh sb="15" eb="17">
      <t>スイセン</t>
    </rPh>
    <phoneticPr fontId="1"/>
  </si>
  <si>
    <t>心理学科、協定校推薦</t>
    <rPh sb="0" eb="4">
      <t>シンリガッカ</t>
    </rPh>
    <rPh sb="5" eb="8">
      <t>キョウテイコウ</t>
    </rPh>
    <rPh sb="8" eb="10">
      <t>スイセン</t>
    </rPh>
    <phoneticPr fontId="1"/>
  </si>
  <si>
    <t>キャリア日本語コース、一般</t>
    <rPh sb="4" eb="7">
      <t>ニホンゴ</t>
    </rPh>
    <rPh sb="11" eb="13">
      <t>イッパン</t>
    </rPh>
    <phoneticPr fontId="1"/>
  </si>
  <si>
    <t>ホテル学科、AO試験</t>
    <rPh sb="3" eb="5">
      <t>ガッカ</t>
    </rPh>
    <rPh sb="8" eb="10">
      <t>シケン</t>
    </rPh>
    <phoneticPr fontId="1"/>
  </si>
  <si>
    <t>ホテル学科、一般</t>
    <rPh sb="3" eb="5">
      <t>ガッカ</t>
    </rPh>
    <rPh sb="6" eb="8">
      <t>イッパン</t>
    </rPh>
    <phoneticPr fontId="1"/>
  </si>
  <si>
    <t>ホテル学科、AO試験</t>
    <rPh sb="8" eb="10">
      <t>シケン</t>
    </rPh>
    <phoneticPr fontId="1"/>
  </si>
  <si>
    <t>経営マネジメント科、グローバルビジネスコース、一般</t>
    <rPh sb="0" eb="2">
      <t>ケイエイ</t>
    </rPh>
    <rPh sb="8" eb="9">
      <t>カ</t>
    </rPh>
    <rPh sb="23" eb="25">
      <t>イッパン</t>
    </rPh>
    <phoneticPr fontId="1"/>
  </si>
  <si>
    <t>グローバルビジネス学科、一般</t>
    <rPh sb="9" eb="11">
      <t>ガッカ</t>
    </rPh>
    <rPh sb="12" eb="14">
      <t>イッパン</t>
    </rPh>
    <phoneticPr fontId="1"/>
  </si>
  <si>
    <t>観光ビジネス学科、AO試験</t>
    <rPh sb="0" eb="2">
      <t>カンコウ</t>
    </rPh>
    <rPh sb="6" eb="8">
      <t>ガッカ</t>
    </rPh>
    <rPh sb="11" eb="13">
      <t>シケン</t>
    </rPh>
    <phoneticPr fontId="1"/>
  </si>
  <si>
    <t>DXビジネスコース、AO試験</t>
    <rPh sb="12" eb="14">
      <t>シケン</t>
    </rPh>
    <phoneticPr fontId="1"/>
  </si>
  <si>
    <t>観光ビジネスコース、一般</t>
    <rPh sb="0" eb="2">
      <t>カンコウ</t>
    </rPh>
    <rPh sb="10" eb="12">
      <t>イッパン</t>
    </rPh>
    <phoneticPr fontId="1"/>
  </si>
  <si>
    <t>ビジネススペシャリスト科ITマネジメントコース、AO試験</t>
    <rPh sb="26" eb="28">
      <t>シケン</t>
    </rPh>
    <phoneticPr fontId="1"/>
  </si>
  <si>
    <t>観光ホテルマネジメントコース、AO試験</t>
    <rPh sb="17" eb="19">
      <t>シケン</t>
    </rPh>
    <phoneticPr fontId="1"/>
  </si>
  <si>
    <t>合格時期</t>
    <phoneticPr fontId="1"/>
  </si>
  <si>
    <t>進路確定フラグ</t>
    <phoneticPr fontId="1"/>
  </si>
  <si>
    <t>進学希望フラグ</t>
    <rPh sb="0" eb="2">
      <t>シンガク</t>
    </rPh>
    <rPh sb="2" eb="4">
      <t>キボウ</t>
    </rPh>
    <phoneticPr fontId="1"/>
  </si>
  <si>
    <t>一般、国際自動車整備学科</t>
    <rPh sb="0" eb="2">
      <t>イッパン</t>
    </rPh>
    <phoneticPr fontId="1"/>
  </si>
  <si>
    <t>AO試験、ホテル学科</t>
    <rPh sb="2" eb="4">
      <t>シケン</t>
    </rPh>
    <rPh sb="8" eb="10">
      <t>ガッカ</t>
    </rPh>
    <phoneticPr fontId="1"/>
  </si>
  <si>
    <t>一般、介護福祉別科</t>
    <rPh sb="0" eb="2">
      <t>イッパン</t>
    </rPh>
    <rPh sb="3" eb="9">
      <t>カイゴフクシベッカ</t>
    </rPh>
    <phoneticPr fontId="1"/>
  </si>
  <si>
    <t>一般、国際サービスエンジニア科　</t>
    <rPh sb="0" eb="2">
      <t>イッパン</t>
    </rPh>
    <phoneticPr fontId="1"/>
  </si>
  <si>
    <t>特別指定校推薦、国際コミュニケーション学科　</t>
    <phoneticPr fontId="1"/>
  </si>
  <si>
    <t>一般、情報ビジネス科</t>
    <rPh sb="0" eb="2">
      <t>イッパン</t>
    </rPh>
    <phoneticPr fontId="1"/>
  </si>
  <si>
    <t>学校推薦、自動車整備科</t>
    <rPh sb="0" eb="4">
      <t>ガッコウスイセン</t>
    </rPh>
    <rPh sb="5" eb="8">
      <t>ジドウシャ</t>
    </rPh>
    <rPh sb="8" eb="11">
      <t>セイビカ</t>
    </rPh>
    <phoneticPr fontId="1"/>
  </si>
  <si>
    <t>中部国際自動車大学校</t>
    <rPh sb="0" eb="4">
      <t>チュウブコクサイ</t>
    </rPh>
    <rPh sb="4" eb="7">
      <t>ジドウシャ</t>
    </rPh>
    <rPh sb="7" eb="10">
      <t>ダイガッコウ</t>
    </rPh>
    <phoneticPr fontId="1"/>
  </si>
  <si>
    <t>２級整備士コース・一般</t>
    <rPh sb="1" eb="2">
      <t>キュウ</t>
    </rPh>
    <rPh sb="2" eb="5">
      <t>セイビシ</t>
    </rPh>
    <rPh sb="9" eb="11">
      <t>イッパン</t>
    </rPh>
    <phoneticPr fontId="1"/>
  </si>
  <si>
    <t>関西国際旅行・ホテル専門学校</t>
    <rPh sb="0" eb="2">
      <t>カンサイ</t>
    </rPh>
    <rPh sb="2" eb="4">
      <t>コクサイ</t>
    </rPh>
    <rPh sb="4" eb="6">
      <t>リョコウ</t>
    </rPh>
    <rPh sb="10" eb="14">
      <t>センモンガッコウ</t>
    </rPh>
    <phoneticPr fontId="1"/>
  </si>
  <si>
    <t>2級自動車整備士コース、指定校推薦</t>
    <rPh sb="1" eb="5">
      <t>キュウジドウシャ</t>
    </rPh>
    <rPh sb="5" eb="8">
      <t>セイビシ</t>
    </rPh>
    <rPh sb="12" eb="15">
      <t>シテイコウ</t>
    </rPh>
    <rPh sb="15" eb="17">
      <t>スイセン</t>
    </rPh>
    <phoneticPr fontId="1"/>
  </si>
  <si>
    <t>ブリッジエンジニアコース、一般</t>
    <rPh sb="13" eb="15">
      <t>イッパン</t>
    </rPh>
    <phoneticPr fontId="1"/>
  </si>
  <si>
    <t>AI・ロボットシステム科、一般</t>
    <rPh sb="11" eb="12">
      <t>カ</t>
    </rPh>
    <rPh sb="13" eb="15">
      <t>イッパン</t>
    </rPh>
    <phoneticPr fontId="1"/>
  </si>
  <si>
    <t>経済学部経済経営学科</t>
    <rPh sb="0" eb="4">
      <t>ケイザイガクブ</t>
    </rPh>
    <rPh sb="4" eb="6">
      <t>ケイザイ</t>
    </rPh>
    <rPh sb="6" eb="8">
      <t>ケイエイ</t>
    </rPh>
    <rPh sb="8" eb="10">
      <t>ガッカ</t>
    </rPh>
    <phoneticPr fontId="1"/>
  </si>
  <si>
    <t>進学準備コース</t>
    <rPh sb="0" eb="4">
      <t>シンガクジュンビ</t>
    </rPh>
    <phoneticPr fontId="1"/>
  </si>
  <si>
    <t>京都コンピュータ学院</t>
    <rPh sb="0" eb="2">
      <t>キョウト</t>
    </rPh>
    <rPh sb="8" eb="10">
      <t>ガクイン</t>
    </rPh>
    <phoneticPr fontId="1"/>
  </si>
  <si>
    <t>経済学部経済学科</t>
    <rPh sb="0" eb="4">
      <t>ケイザイガクブ</t>
    </rPh>
    <rPh sb="4" eb="8">
      <t>ケイザイガッカ</t>
    </rPh>
    <phoneticPr fontId="1"/>
  </si>
  <si>
    <t>介護福祉別科</t>
    <rPh sb="0" eb="6">
      <t>カイゴフクシベッカ</t>
    </rPh>
    <phoneticPr fontId="1"/>
  </si>
  <si>
    <t>自動車整備学科</t>
    <rPh sb="0" eb="7">
      <t>ジドウシャセイビガッカ</t>
    </rPh>
    <phoneticPr fontId="1"/>
  </si>
  <si>
    <t>マツダ自動車大学</t>
    <rPh sb="3" eb="8">
      <t>ジドウシャダイガク</t>
    </rPh>
    <phoneticPr fontId="1"/>
  </si>
  <si>
    <t>岡山情報ビジネス学院</t>
    <rPh sb="0" eb="2">
      <t>オカヤマ</t>
    </rPh>
    <rPh sb="2" eb="4">
      <t>ジョウホウ</t>
    </rPh>
    <rPh sb="8" eb="10">
      <t>ガクイン</t>
    </rPh>
    <phoneticPr fontId="1"/>
  </si>
  <si>
    <t>国際ITビジネス学科</t>
    <rPh sb="0" eb="2">
      <t>コクサイ</t>
    </rPh>
    <rPh sb="8" eb="10">
      <t>ガッカ</t>
    </rPh>
    <phoneticPr fontId="1"/>
  </si>
  <si>
    <t>東京国際学園外語専門学校</t>
    <rPh sb="0" eb="2">
      <t>トウキョウ</t>
    </rPh>
    <rPh sb="2" eb="4">
      <t>コクサイ</t>
    </rPh>
    <rPh sb="4" eb="6">
      <t>ガクエン</t>
    </rPh>
    <rPh sb="6" eb="8">
      <t>ガイゴ</t>
    </rPh>
    <rPh sb="8" eb="10">
      <t>センモン</t>
    </rPh>
    <rPh sb="10" eb="12">
      <t>ガッコウ</t>
    </rPh>
    <phoneticPr fontId="1"/>
  </si>
  <si>
    <t>育英館大学</t>
    <rPh sb="0" eb="5">
      <t>イクエイカンダイガク</t>
    </rPh>
    <phoneticPr fontId="1"/>
  </si>
  <si>
    <t>グローバル日本語学科</t>
    <phoneticPr fontId="1"/>
  </si>
  <si>
    <t>一般試験</t>
    <rPh sb="0" eb="4">
      <t>イッパンシケン</t>
    </rPh>
    <phoneticPr fontId="1"/>
  </si>
  <si>
    <t>学校名</t>
    <rPh sb="0" eb="3">
      <t>ガッコウメイ</t>
    </rPh>
    <phoneticPr fontId="1"/>
  </si>
  <si>
    <t>入試情報</t>
    <rPh sb="0" eb="2">
      <t>ニュウシ</t>
    </rPh>
    <rPh sb="2" eb="4">
      <t>ジョウホウ</t>
    </rPh>
    <phoneticPr fontId="1"/>
  </si>
  <si>
    <t>愛甲学院</t>
    <rPh sb="0" eb="2">
      <t>アイコウ</t>
    </rPh>
    <rPh sb="2" eb="4">
      <t>ガクイン</t>
    </rPh>
    <phoneticPr fontId="1"/>
  </si>
  <si>
    <t>情報を取得した日</t>
    <rPh sb="0" eb="2">
      <t>ジョウホウ</t>
    </rPh>
    <rPh sb="3" eb="5">
      <t>シュトク</t>
    </rPh>
    <rPh sb="7" eb="8">
      <t>ヒ</t>
    </rPh>
    <phoneticPr fontId="1"/>
  </si>
  <si>
    <t>情報を聞いた人</t>
    <rPh sb="0" eb="2">
      <t>ジョウホウ</t>
    </rPh>
    <rPh sb="3" eb="4">
      <t>キ</t>
    </rPh>
    <rPh sb="6" eb="7">
      <t>ヒト</t>
    </rPh>
    <phoneticPr fontId="1"/>
  </si>
  <si>
    <t>田中</t>
    <rPh sb="0" eb="2">
      <t>タナカ</t>
    </rPh>
    <phoneticPr fontId="1"/>
  </si>
  <si>
    <t>今期は終了</t>
    <rPh sb="0" eb="2">
      <t>コンキ</t>
    </rPh>
    <rPh sb="3" eb="5">
      <t>シュウリョウ</t>
    </rPh>
    <phoneticPr fontId="1"/>
  </si>
  <si>
    <t>日本デジタルカレッジ</t>
    <rPh sb="0" eb="2">
      <t>ニホン</t>
    </rPh>
    <phoneticPr fontId="1"/>
  </si>
  <si>
    <t>北條</t>
    <rPh sb="0" eb="2">
      <t>ホウジョウ</t>
    </rPh>
    <phoneticPr fontId="1"/>
  </si>
  <si>
    <t>中部国際自動車大学校（A-TEC）</t>
    <rPh sb="0" eb="2">
      <t>チュウブ</t>
    </rPh>
    <rPh sb="2" eb="4">
      <t>コクサイ</t>
    </rPh>
    <rPh sb="4" eb="7">
      <t>ジドウシャ</t>
    </rPh>
    <rPh sb="7" eb="10">
      <t>ダイガッコウ</t>
    </rPh>
    <phoneticPr fontId="1"/>
  </si>
  <si>
    <t>花壇自動車大学校</t>
    <rPh sb="0" eb="8">
      <t>カダンジドウシャ</t>
    </rPh>
    <phoneticPr fontId="1"/>
  </si>
  <si>
    <t>花壇自動車専門学校</t>
    <rPh sb="0" eb="2">
      <t>カダン</t>
    </rPh>
    <rPh sb="2" eb="5">
      <t>ジドウシャ</t>
    </rPh>
    <rPh sb="5" eb="9">
      <t>センモンガッコウ</t>
    </rPh>
    <phoneticPr fontId="1"/>
  </si>
  <si>
    <t>神戸電子専門学校</t>
    <rPh sb="0" eb="8">
      <t>コウベデンシセンモンガッコウ</t>
    </rPh>
    <phoneticPr fontId="1"/>
  </si>
  <si>
    <t>TAMANG ALISHA</t>
    <phoneticPr fontId="1"/>
  </si>
  <si>
    <t>MD. JONAYET</t>
    <phoneticPr fontId="1"/>
  </si>
  <si>
    <t>中央情報専門学校</t>
    <rPh sb="0" eb="4">
      <t>チュウオウジョウホウ</t>
    </rPh>
    <rPh sb="4" eb="8">
      <t>センモンガッコウ</t>
    </rPh>
    <phoneticPr fontId="1"/>
  </si>
  <si>
    <t>工業専門課程 第1本科(昼) 建築学科</t>
    <rPh sb="0" eb="2">
      <t>コウギョウ</t>
    </rPh>
    <rPh sb="2" eb="6">
      <t>センモンカテイ</t>
    </rPh>
    <rPh sb="7" eb="8">
      <t>ダイ</t>
    </rPh>
    <rPh sb="9" eb="11">
      <t>ホンカ</t>
    </rPh>
    <rPh sb="12" eb="13">
      <t>ヒル</t>
    </rPh>
    <rPh sb="15" eb="19">
      <t>ケンチクガッカ</t>
    </rPh>
    <phoneticPr fontId="1"/>
  </si>
  <si>
    <t>情報ビジネス科</t>
    <rPh sb="0" eb="2">
      <t>ジョウホウ</t>
    </rPh>
    <rPh sb="6" eb="7">
      <t>カ</t>
    </rPh>
    <phoneticPr fontId="1"/>
  </si>
  <si>
    <t>国際コミュニケーション学科キャリアデザインコース</t>
    <rPh sb="0" eb="2">
      <t>コクサイ</t>
    </rPh>
    <rPh sb="11" eb="13">
      <t>ガッカ</t>
    </rPh>
    <phoneticPr fontId="1"/>
  </si>
  <si>
    <t>グローバルビジネスコース</t>
    <phoneticPr fontId="1"/>
  </si>
  <si>
    <t>経済学部 経済経営学科</t>
    <rPh sb="0" eb="2">
      <t>ケイザイ</t>
    </rPh>
    <rPh sb="2" eb="4">
      <t>ガクブ</t>
    </rPh>
    <rPh sb="5" eb="7">
      <t>ケイザイ</t>
    </rPh>
    <rPh sb="7" eb="9">
      <t>ケイエイ</t>
    </rPh>
    <rPh sb="9" eb="11">
      <t>ガッカ</t>
    </rPh>
    <phoneticPr fontId="1"/>
  </si>
  <si>
    <t>流通情報学部 流通情報学科</t>
    <rPh sb="0" eb="2">
      <t>リュウツウ</t>
    </rPh>
    <rPh sb="2" eb="4">
      <t>ジョウホウ</t>
    </rPh>
    <rPh sb="4" eb="6">
      <t>ガクブ</t>
    </rPh>
    <rPh sb="7" eb="9">
      <t>リュウツウ</t>
    </rPh>
    <rPh sb="9" eb="11">
      <t>ジョウホウ</t>
    </rPh>
    <rPh sb="11" eb="13">
      <t>ガッカ</t>
    </rPh>
    <phoneticPr fontId="1"/>
  </si>
  <si>
    <t>ブリッジエンジニア科</t>
    <rPh sb="9" eb="10">
      <t>カ</t>
    </rPh>
    <phoneticPr fontId="1"/>
  </si>
  <si>
    <t>経営学部 経営学科</t>
    <rPh sb="0" eb="2">
      <t>ケイエイ</t>
    </rPh>
    <rPh sb="2" eb="4">
      <t>ガクブ</t>
    </rPh>
    <rPh sb="5" eb="9">
      <t>ケイエイガッカ</t>
    </rPh>
    <phoneticPr fontId="1"/>
  </si>
  <si>
    <t>AIデザイン学科</t>
    <rPh sb="6" eb="8">
      <t>ガッカ</t>
    </rPh>
    <phoneticPr fontId="1"/>
  </si>
  <si>
    <t>IT・WEB学科</t>
    <rPh sb="6" eb="8">
      <t>ガッカ</t>
    </rPh>
    <phoneticPr fontId="1"/>
  </si>
  <si>
    <t>TIBC神戸校</t>
    <rPh sb="4" eb="7">
      <t>コウベコウ</t>
    </rPh>
    <phoneticPr fontId="1"/>
  </si>
  <si>
    <t>日本語学校卒業時点でN2が一巡学び終わる程度の人であれば、受け入れ余裕あり。願書も４部もらった。</t>
    <rPh sb="0" eb="5">
      <t>ニホンゴガッコウ</t>
    </rPh>
    <rPh sb="5" eb="7">
      <t>ソツギョウ</t>
    </rPh>
    <rPh sb="7" eb="9">
      <t>ジテン</t>
    </rPh>
    <rPh sb="13" eb="15">
      <t>イチジュン</t>
    </rPh>
    <rPh sb="15" eb="16">
      <t>マナ</t>
    </rPh>
    <rPh sb="17" eb="18">
      <t>オ</t>
    </rPh>
    <rPh sb="20" eb="22">
      <t>テイド</t>
    </rPh>
    <rPh sb="23" eb="24">
      <t>ヒト</t>
    </rPh>
    <rPh sb="29" eb="30">
      <t>ウ</t>
    </rPh>
    <rPh sb="31" eb="32">
      <t>イ</t>
    </rPh>
    <rPh sb="33" eb="35">
      <t>ヨユウ</t>
    </rPh>
    <rPh sb="38" eb="40">
      <t>ガンショ</t>
    </rPh>
    <rPh sb="42" eb="43">
      <t>ブ</t>
    </rPh>
    <phoneticPr fontId="1"/>
  </si>
  <si>
    <t>まだ余裕あり。願書もいくらか送ってもらった。</t>
    <rPh sb="2" eb="4">
      <t>ヨユウ</t>
    </rPh>
    <rPh sb="7" eb="9">
      <t>ガンショ</t>
    </rPh>
    <rPh sb="14" eb="15">
      <t>オク</t>
    </rPh>
    <phoneticPr fontId="1"/>
  </si>
  <si>
    <t>応用日本語科（１年）</t>
    <rPh sb="0" eb="2">
      <t>オウヨウ</t>
    </rPh>
    <rPh sb="2" eb="5">
      <t>ニホンゴ</t>
    </rPh>
    <rPh sb="5" eb="6">
      <t>カ</t>
    </rPh>
    <rPh sb="8" eb="9">
      <t>ネン</t>
    </rPh>
    <phoneticPr fontId="1"/>
  </si>
  <si>
    <t>日本語専科（１年）は、まだ余裕あり。ただし、応募者のレベルが高く、今年は例年より合格基準を引き上げている。目安としてはN3所有程度。</t>
    <rPh sb="0" eb="3">
      <t>ニホンゴ</t>
    </rPh>
    <rPh sb="3" eb="5">
      <t>センカ</t>
    </rPh>
    <rPh sb="7" eb="8">
      <t>ネン</t>
    </rPh>
    <rPh sb="13" eb="15">
      <t>ヨユウ</t>
    </rPh>
    <rPh sb="22" eb="25">
      <t>オウボシャ</t>
    </rPh>
    <rPh sb="30" eb="31">
      <t>タカ</t>
    </rPh>
    <rPh sb="33" eb="35">
      <t>コトシ</t>
    </rPh>
    <rPh sb="36" eb="38">
      <t>レイネン</t>
    </rPh>
    <rPh sb="40" eb="44">
      <t>ゴウカクキジュン</t>
    </rPh>
    <rPh sb="45" eb="46">
      <t>ヒ</t>
    </rPh>
    <rPh sb="47" eb="48">
      <t>ア</t>
    </rPh>
    <rPh sb="53" eb="55">
      <t>メヤス</t>
    </rPh>
    <rPh sb="61" eb="63">
      <t>ショユウ</t>
    </rPh>
    <rPh sb="63" eb="65">
      <t>テイド</t>
    </rPh>
    <phoneticPr fontId="1"/>
  </si>
  <si>
    <t>11月8日のオープンキャンパスに参加した人だけ最後の試験ができる。オープンキャンパスは要予約。</t>
    <rPh sb="2" eb="3">
      <t>ガツ</t>
    </rPh>
    <rPh sb="4" eb="5">
      <t>ニチ</t>
    </rPh>
    <rPh sb="16" eb="18">
      <t>サンカ</t>
    </rPh>
    <rPh sb="20" eb="21">
      <t>ヒト</t>
    </rPh>
    <rPh sb="23" eb="25">
      <t>サイゴ</t>
    </rPh>
    <rPh sb="26" eb="28">
      <t>シケン</t>
    </rPh>
    <rPh sb="43" eb="44">
      <t>ヨウ</t>
    </rPh>
    <rPh sb="44" eb="46">
      <t>ヨヤク</t>
    </rPh>
    <phoneticPr fontId="1"/>
  </si>
  <si>
    <t>進学日本語コース2年午前の部は4回目11/7の願書締め切りで終了。また、オープンキャンパスがもうなくなったが、11/13にある入学説明会は同じ内容なのでもし参加したい場合そちらを予約する。</t>
    <rPh sb="0" eb="2">
      <t>シンガク</t>
    </rPh>
    <rPh sb="2" eb="5">
      <t>ニホンゴ</t>
    </rPh>
    <rPh sb="9" eb="10">
      <t>ネン</t>
    </rPh>
    <rPh sb="10" eb="12">
      <t>ゴゼン</t>
    </rPh>
    <rPh sb="13" eb="14">
      <t>ブ</t>
    </rPh>
    <rPh sb="16" eb="18">
      <t>カイメ</t>
    </rPh>
    <rPh sb="23" eb="25">
      <t>ガンショ</t>
    </rPh>
    <rPh sb="25" eb="26">
      <t>シ</t>
    </rPh>
    <rPh sb="27" eb="28">
      <t>キ</t>
    </rPh>
    <rPh sb="30" eb="32">
      <t>シュウリョウ</t>
    </rPh>
    <rPh sb="63" eb="68">
      <t>ニュウガクセツメイカイ</t>
    </rPh>
    <rPh sb="69" eb="70">
      <t>オナ</t>
    </rPh>
    <rPh sb="71" eb="73">
      <t>ナイヨウ</t>
    </rPh>
    <rPh sb="78" eb="80">
      <t>サンカ</t>
    </rPh>
    <rPh sb="83" eb="85">
      <t>バアイ</t>
    </rPh>
    <rPh sb="89" eb="91">
      <t>ヨヤク</t>
    </rPh>
    <phoneticPr fontId="1"/>
  </si>
  <si>
    <t>木下</t>
    <rPh sb="0" eb="2">
      <t>キノシタ</t>
    </rPh>
    <phoneticPr fontId="1"/>
  </si>
  <si>
    <t>プロスぺラ学院専門学校</t>
    <rPh sb="5" eb="7">
      <t>ガクイン</t>
    </rPh>
    <rPh sb="7" eb="11">
      <t>センモンガッコウ</t>
    </rPh>
    <phoneticPr fontId="1"/>
  </si>
  <si>
    <t>国際学科</t>
    <rPh sb="0" eb="2">
      <t>コクサイ</t>
    </rPh>
    <rPh sb="2" eb="4">
      <t>ガッカ</t>
    </rPh>
    <phoneticPr fontId="1"/>
  </si>
  <si>
    <t>ウエルネスAIIT専門学校</t>
    <rPh sb="9" eb="13">
      <t>センモンガッコウ</t>
    </rPh>
    <phoneticPr fontId="1"/>
  </si>
  <si>
    <t>建築学科</t>
    <rPh sb="0" eb="4">
      <t>ケンチクガッカ</t>
    </rPh>
    <phoneticPr fontId="1"/>
  </si>
  <si>
    <t>ビジネスコース</t>
    <phoneticPr fontId="1"/>
  </si>
  <si>
    <t>日本コンピュータ専門学校</t>
    <rPh sb="0" eb="2">
      <t>ニホン</t>
    </rPh>
    <rPh sb="8" eb="12">
      <t>センモンガッコウ</t>
    </rPh>
    <phoneticPr fontId="1"/>
  </si>
  <si>
    <t>吉川</t>
    <rPh sb="0" eb="2">
      <t>ヨシカワ</t>
    </rPh>
    <phoneticPr fontId="1"/>
  </si>
  <si>
    <t>ポプラ介護福祉学校</t>
    <rPh sb="3" eb="7">
      <t>カイゴフクシ</t>
    </rPh>
    <rPh sb="7" eb="9">
      <t>ガッコウ</t>
    </rPh>
    <phoneticPr fontId="1"/>
  </si>
  <si>
    <t>ICTビジネス学科、AO試験</t>
    <rPh sb="7" eb="9">
      <t>ガッカ</t>
    </rPh>
    <rPh sb="12" eb="14">
      <t>シケン</t>
    </rPh>
    <phoneticPr fontId="1"/>
  </si>
  <si>
    <t>(Ⅰ期)</t>
    <phoneticPr fontId="1"/>
  </si>
  <si>
    <t>(Ⅱ期)</t>
    <phoneticPr fontId="1"/>
  </si>
  <si>
    <t>国際ICTビジネスコース</t>
    <rPh sb="0" eb="2">
      <t>コクサイ</t>
    </rPh>
    <phoneticPr fontId="1"/>
  </si>
  <si>
    <t>商学部経営学科</t>
    <rPh sb="0" eb="3">
      <t>ショウガクブ</t>
    </rPh>
    <rPh sb="3" eb="7">
      <t>ケイエイガッカ</t>
    </rPh>
    <phoneticPr fontId="1"/>
  </si>
  <si>
    <t>日本経済大学</t>
    <rPh sb="0" eb="4">
      <t>ニホンケイザイ</t>
    </rPh>
    <rPh sb="4" eb="6">
      <t>ダイガク</t>
    </rPh>
    <phoneticPr fontId="1"/>
  </si>
  <si>
    <t>経済学部商学科、一般</t>
    <rPh sb="0" eb="4">
      <t>ケイザイガクブ</t>
    </rPh>
    <rPh sb="4" eb="7">
      <t>ショウガクカ</t>
    </rPh>
    <rPh sb="8" eb="10">
      <t>イッパン</t>
    </rPh>
    <phoneticPr fontId="1"/>
  </si>
  <si>
    <t>経済学部商学科、指定校</t>
    <rPh sb="0" eb="4">
      <t>ケイザイガクブ</t>
    </rPh>
    <rPh sb="4" eb="7">
      <t>ショウガクカ</t>
    </rPh>
    <rPh sb="8" eb="11">
      <t>シテイコウ</t>
    </rPh>
    <phoneticPr fontId="1"/>
  </si>
  <si>
    <t>国際アニメーション専門学校</t>
    <rPh sb="0" eb="2">
      <t>コクサイ</t>
    </rPh>
    <rPh sb="9" eb="13">
      <t>センモンガッコウ</t>
    </rPh>
    <phoneticPr fontId="1"/>
  </si>
  <si>
    <t>大阪総合福祉専門学校</t>
    <rPh sb="0" eb="2">
      <t>オオサカ</t>
    </rPh>
    <rPh sb="2" eb="6">
      <t>ソウゴウフクシ</t>
    </rPh>
    <rPh sb="6" eb="10">
      <t>センモンガッコウ</t>
    </rPh>
    <phoneticPr fontId="1"/>
  </si>
  <si>
    <t>稲垣</t>
    <rPh sb="0" eb="2">
      <t>イナガキ</t>
    </rPh>
    <phoneticPr fontId="1"/>
  </si>
  <si>
    <t>吉田</t>
    <rPh sb="0" eb="2">
      <t>ヨシダ</t>
    </rPh>
    <phoneticPr fontId="1"/>
  </si>
  <si>
    <t>姫路福祉保育専門学校</t>
    <rPh sb="0" eb="2">
      <t>ヒメジ</t>
    </rPh>
    <rPh sb="2" eb="4">
      <t>フクシ</t>
    </rPh>
    <rPh sb="4" eb="6">
      <t>ホイク</t>
    </rPh>
    <rPh sb="6" eb="10">
      <t>センモンガッコウ</t>
    </rPh>
    <phoneticPr fontId="1"/>
  </si>
  <si>
    <t>まだまだ余裕あり。ただし学費は112万円。企業スポンサーが付けば学費サポートはあるが、スポンサーがつく保証はない。スポンサーがつかなかった場合は入学辞退してもらってかまわない。</t>
    <rPh sb="4" eb="6">
      <t>ヨユウ</t>
    </rPh>
    <rPh sb="12" eb="14">
      <t>ガクヒ</t>
    </rPh>
    <rPh sb="18" eb="19">
      <t>マン</t>
    </rPh>
    <rPh sb="19" eb="20">
      <t>エン</t>
    </rPh>
    <rPh sb="21" eb="23">
      <t>キギョウ</t>
    </rPh>
    <rPh sb="29" eb="30">
      <t>ツ</t>
    </rPh>
    <rPh sb="32" eb="34">
      <t>ガクヒ</t>
    </rPh>
    <rPh sb="51" eb="53">
      <t>ホショウ</t>
    </rPh>
    <rPh sb="69" eb="71">
      <t>バアイ</t>
    </rPh>
    <rPh sb="72" eb="74">
      <t>ニュウガク</t>
    </rPh>
    <rPh sb="74" eb="76">
      <t>ジタイ</t>
    </rPh>
    <phoneticPr fontId="1"/>
  </si>
  <si>
    <t>11月の試験はいっぱいでそろそろ終わるかもしれない。
（11/6：田中）ほぼ終わった。例外受験があるかも？</t>
    <rPh sb="2" eb="3">
      <t>ガツ</t>
    </rPh>
    <rPh sb="4" eb="6">
      <t>シケン</t>
    </rPh>
    <rPh sb="16" eb="17">
      <t>オ</t>
    </rPh>
    <rPh sb="33" eb="35">
      <t>タナカ</t>
    </rPh>
    <rPh sb="38" eb="39">
      <t>オ</t>
    </rPh>
    <rPh sb="43" eb="45">
      <t>レイガイ</t>
    </rPh>
    <rPh sb="45" eb="47">
      <t>ジュケン</t>
    </rPh>
    <phoneticPr fontId="1"/>
  </si>
  <si>
    <t>日本コンピュータ専門学校</t>
    <rPh sb="0" eb="2">
      <t>ニホン</t>
    </rPh>
    <rPh sb="8" eb="10">
      <t>センモン</t>
    </rPh>
    <rPh sb="10" eb="12">
      <t>ガッコウ</t>
    </rPh>
    <phoneticPr fontId="1"/>
  </si>
  <si>
    <t>ITスペシャリスト科</t>
    <rPh sb="9" eb="10">
      <t>カ</t>
    </rPh>
    <phoneticPr fontId="1"/>
  </si>
  <si>
    <t>昼間部ファッションデザイン学科</t>
    <rPh sb="0" eb="3">
      <t>チュウカンブ</t>
    </rPh>
    <rPh sb="13" eb="15">
      <t>ガッカ</t>
    </rPh>
    <phoneticPr fontId="1"/>
  </si>
  <si>
    <t>インテリア学科</t>
    <rPh sb="5" eb="7">
      <t>ガッカ</t>
    </rPh>
    <phoneticPr fontId="1"/>
  </si>
  <si>
    <t>ITスペシャリスト（1年）</t>
    <rPh sb="11" eb="12">
      <t>ネン</t>
    </rPh>
    <phoneticPr fontId="1"/>
  </si>
  <si>
    <t>一般</t>
    <rPh sb="0" eb="2">
      <t>イッパン</t>
    </rPh>
    <phoneticPr fontId="1"/>
  </si>
  <si>
    <t>大阪人間科学大学</t>
    <rPh sb="0" eb="2">
      <t>オオサカ</t>
    </rPh>
    <rPh sb="2" eb="6">
      <t>ニンゲンカガク</t>
    </rPh>
    <rPh sb="6" eb="8">
      <t>ダイガク</t>
    </rPh>
    <phoneticPr fontId="1"/>
  </si>
  <si>
    <t>人間科学部、社会創造学科のみ留学生を募集している。学費は初年度74万円。合格保証の特別試験が受けられる。出願要件が出席率90％以上かつ、日本語能力N2程度(N3レベルで応相談)。</t>
    <rPh sb="0" eb="2">
      <t>ニンゲン</t>
    </rPh>
    <rPh sb="2" eb="4">
      <t>カガク</t>
    </rPh>
    <rPh sb="4" eb="5">
      <t>ブ</t>
    </rPh>
    <rPh sb="6" eb="8">
      <t>シャカイ</t>
    </rPh>
    <rPh sb="8" eb="10">
      <t>ソウゾウ</t>
    </rPh>
    <rPh sb="10" eb="12">
      <t>ガッカ</t>
    </rPh>
    <rPh sb="14" eb="17">
      <t>リュウガクセイ</t>
    </rPh>
    <rPh sb="18" eb="20">
      <t>ボシュウ</t>
    </rPh>
    <rPh sb="25" eb="27">
      <t>ガクヒ</t>
    </rPh>
    <rPh sb="28" eb="31">
      <t>ショネンド</t>
    </rPh>
    <rPh sb="33" eb="35">
      <t>マンエン</t>
    </rPh>
    <rPh sb="36" eb="38">
      <t>ゴウカク</t>
    </rPh>
    <rPh sb="38" eb="40">
      <t>ホショウ</t>
    </rPh>
    <rPh sb="41" eb="43">
      <t>トクベツ</t>
    </rPh>
    <rPh sb="43" eb="45">
      <t>シケン</t>
    </rPh>
    <rPh sb="46" eb="47">
      <t>ウ</t>
    </rPh>
    <rPh sb="52" eb="54">
      <t>シュツガン</t>
    </rPh>
    <rPh sb="54" eb="56">
      <t>ヨウケン</t>
    </rPh>
    <rPh sb="57" eb="59">
      <t>シュッセキ</t>
    </rPh>
    <rPh sb="59" eb="60">
      <t>リツ</t>
    </rPh>
    <rPh sb="63" eb="65">
      <t>イジョウ</t>
    </rPh>
    <rPh sb="68" eb="71">
      <t>ニホンゴ</t>
    </rPh>
    <rPh sb="71" eb="73">
      <t>ノウリョク</t>
    </rPh>
    <rPh sb="75" eb="77">
      <t>テイド</t>
    </rPh>
    <rPh sb="84" eb="87">
      <t>オウソウダン</t>
    </rPh>
    <phoneticPr fontId="1"/>
  </si>
  <si>
    <t>一般入試の条件にN2またはN2相当とあり。１２月にJLPT N2を受験する場合、その受験票のコピーを願書に同封することでN2相当の証明として扱われる。JLPT試験結果前に、大学合格となった場合、万が一、N2不合格でも大学の合格結果には影響なし、とのことです。</t>
    <rPh sb="0" eb="2">
      <t>イッパン</t>
    </rPh>
    <rPh sb="2" eb="4">
      <t>ニュウシ</t>
    </rPh>
    <rPh sb="5" eb="7">
      <t>ジョウケン</t>
    </rPh>
    <rPh sb="15" eb="17">
      <t>ソウトウ</t>
    </rPh>
    <rPh sb="23" eb="24">
      <t>ガツ</t>
    </rPh>
    <rPh sb="33" eb="35">
      <t>ジュケン</t>
    </rPh>
    <rPh sb="37" eb="39">
      <t>バアイ</t>
    </rPh>
    <rPh sb="42" eb="45">
      <t>ジュケンヒョウ</t>
    </rPh>
    <rPh sb="50" eb="52">
      <t>ガンショ</t>
    </rPh>
    <rPh sb="53" eb="55">
      <t>ドウフウ</t>
    </rPh>
    <rPh sb="70" eb="71">
      <t>アツカ</t>
    </rPh>
    <rPh sb="79" eb="81">
      <t>シケン</t>
    </rPh>
    <rPh sb="81" eb="83">
      <t>ケッカ</t>
    </rPh>
    <rPh sb="83" eb="84">
      <t>マエ</t>
    </rPh>
    <rPh sb="86" eb="88">
      <t>ダイガク</t>
    </rPh>
    <rPh sb="88" eb="90">
      <t>ゴウカク</t>
    </rPh>
    <rPh sb="94" eb="96">
      <t>バアイ</t>
    </rPh>
    <rPh sb="97" eb="98">
      <t>マン</t>
    </rPh>
    <rPh sb="99" eb="100">
      <t>イチ</t>
    </rPh>
    <rPh sb="103" eb="106">
      <t>フゴウカク</t>
    </rPh>
    <rPh sb="108" eb="110">
      <t>ダイガク</t>
    </rPh>
    <rPh sb="111" eb="113">
      <t>ゴウカク</t>
    </rPh>
    <rPh sb="113" eb="115">
      <t>ケッカ</t>
    </rPh>
    <rPh sb="117" eb="119">
      <t>エイキョウ</t>
    </rPh>
    <phoneticPr fontId="1"/>
  </si>
  <si>
    <t>まだ募集している。</t>
    <rPh sb="2" eb="4">
      <t>ボシュウ</t>
    </rPh>
    <phoneticPr fontId="1"/>
  </si>
  <si>
    <t>関西国際旅行・ホテル専門学校</t>
    <rPh sb="0" eb="2">
      <t>カンサイ</t>
    </rPh>
    <rPh sb="2" eb="4">
      <t>コクサイ</t>
    </rPh>
    <rPh sb="4" eb="6">
      <t>リョコウ</t>
    </rPh>
    <rPh sb="10" eb="12">
      <t>センモン</t>
    </rPh>
    <rPh sb="12" eb="14">
      <t>ガッコウ</t>
    </rPh>
    <phoneticPr fontId="1"/>
  </si>
  <si>
    <t xml:space="preserve">【愛和学園グループ４校】
国際アニメーション専門学校（IAC）
グローバルクリエイター専門学校（GCA)
愛和システムエンジニア専門学校（ASE)
九州ビジネス専門学校（KBS)
</t>
    <rPh sb="1" eb="5">
      <t>アイワガクエン</t>
    </rPh>
    <rPh sb="10" eb="11">
      <t>コウ</t>
    </rPh>
    <rPh sb="43" eb="47">
      <t>センモンガッコウ</t>
    </rPh>
    <rPh sb="53" eb="55">
      <t>アイワ</t>
    </rPh>
    <rPh sb="64" eb="66">
      <t>センモン</t>
    </rPh>
    <rPh sb="66" eb="68">
      <t>ガッコウ</t>
    </rPh>
    <phoneticPr fontId="1"/>
  </si>
  <si>
    <t>千葉情報経理専門学校</t>
    <rPh sb="0" eb="2">
      <t>チバ</t>
    </rPh>
    <rPh sb="2" eb="6">
      <t>ジョウホウケイリ</t>
    </rPh>
    <rPh sb="6" eb="10">
      <t>センモンガッコウ</t>
    </rPh>
    <phoneticPr fontId="1"/>
  </si>
  <si>
    <t>ECC国際外語専門学校</t>
  </si>
  <si>
    <t>エール学園</t>
    <phoneticPr fontId="1"/>
  </si>
  <si>
    <t>（進学日本語コース）
2年PM、1年AM5回目迄で締め切り。1年PMコースはまだ空きあり。
まだ空きあり：各種大学進学コース(ただしEJU受験かエールで模試受験が条件）、大学院進学コース、デュアルビジネスコース
終了：経営・マーケティングコース、サービス・通訳コース
(備忘録)
受験は１回しかできない。(ただし、AOと一般では１回ずつ可能）。早期出願なら受験料不要（４回目まで）。進学コースはJLPTの結果によっては筆記試験免除(募集要項記載なし）。N3不合格でも筆記免除になった学生がいる。宛名印刷がうまくいかない件：背景グラフィックにチェックを入れる</t>
    <phoneticPr fontId="1"/>
  </si>
  <si>
    <t>三浦</t>
    <rPh sb="0" eb="2">
      <t>ミウラ</t>
    </rPh>
    <phoneticPr fontId="1"/>
  </si>
  <si>
    <t>名古屋医療秘書福祉＆IT専門学校</t>
    <rPh sb="0" eb="3">
      <t>ナゴヤ</t>
    </rPh>
    <rPh sb="3" eb="7">
      <t>イリョウヒショ</t>
    </rPh>
    <rPh sb="7" eb="9">
      <t>フクシ</t>
    </rPh>
    <rPh sb="12" eb="16">
      <t>センモンガッコウ</t>
    </rPh>
    <phoneticPr fontId="1"/>
  </si>
  <si>
    <t>国際ビジネス科：残り50名程度、日本語能力不問
ITビジネス科：残り30名程度、日本語能力不問
介護福祉科：若干名、N2程度以上（N3応相談）
WEBデザイン、ITプログラミング科：残り10名程度、N2程度以上（N3～N4応相談）</t>
    <rPh sb="0" eb="2">
      <t>コクサイ</t>
    </rPh>
    <phoneticPr fontId="1"/>
  </si>
  <si>
    <t>経済学部 国際文化ビジネス・観光学科</t>
    <rPh sb="0" eb="2">
      <t>ケイザイ</t>
    </rPh>
    <rPh sb="2" eb="4">
      <t>ガクブ</t>
    </rPh>
    <rPh sb="5" eb="7">
      <t>コクサイ</t>
    </rPh>
    <rPh sb="7" eb="9">
      <t>ブンカ</t>
    </rPh>
    <rPh sb="14" eb="16">
      <t>カンコウ</t>
    </rPh>
    <rPh sb="16" eb="18">
      <t>ガッカ</t>
    </rPh>
    <phoneticPr fontId="1"/>
  </si>
  <si>
    <t>AIシステム開発学科</t>
    <rPh sb="6" eb="8">
      <t>カイハツ</t>
    </rPh>
    <rPh sb="8" eb="10">
      <t>ガッカ</t>
    </rPh>
    <phoneticPr fontId="1"/>
  </si>
  <si>
    <t>神戸松蔭大学</t>
    <rPh sb="0" eb="6">
      <t>コウベショウインダイガク</t>
    </rPh>
    <phoneticPr fontId="1"/>
  </si>
  <si>
    <t>大阪国際大学</t>
    <rPh sb="2" eb="6">
      <t>コクサイダイガク</t>
    </rPh>
    <phoneticPr fontId="1"/>
  </si>
  <si>
    <t>国際コミュニケーション科</t>
    <rPh sb="0" eb="2">
      <t>コクサイ</t>
    </rPh>
    <rPh sb="11" eb="12">
      <t>カ</t>
    </rPh>
    <phoneticPr fontId="1"/>
  </si>
  <si>
    <t>大阪電子専門学校</t>
    <rPh sb="0" eb="2">
      <t>オオサカ</t>
    </rPh>
    <rPh sb="2" eb="8">
      <t>デンシセンモンガッコウ</t>
    </rPh>
    <phoneticPr fontId="1"/>
  </si>
  <si>
    <t>東京大学大学院</t>
    <rPh sb="0" eb="7">
      <t>トウキョウダイガクダイガクイン</t>
    </rPh>
    <phoneticPr fontId="1"/>
  </si>
  <si>
    <t>内諾済</t>
    <rPh sb="0" eb="3">
      <t>ナイダクズ</t>
    </rPh>
    <phoneticPr fontId="1"/>
  </si>
  <si>
    <t>内諾済</t>
    <phoneticPr fontId="1"/>
  </si>
  <si>
    <t>山形大学大学院</t>
    <rPh sb="0" eb="4">
      <t>ヤマガタダイガク</t>
    </rPh>
    <rPh sb="4" eb="7">
      <t>ダイガクイン</t>
    </rPh>
    <phoneticPr fontId="1"/>
  </si>
  <si>
    <t>中央工学校</t>
    <phoneticPr fontId="1"/>
  </si>
  <si>
    <t>中央工学校</t>
    <rPh sb="0" eb="5">
      <t>チュウオウコウガッコウ</t>
    </rPh>
    <phoneticPr fontId="1"/>
  </si>
  <si>
    <t>観光ビジネス</t>
    <rPh sb="0" eb="2">
      <t>カンコウ</t>
    </rPh>
    <phoneticPr fontId="1"/>
  </si>
  <si>
    <t>九州ビジネス専門学校</t>
    <rPh sb="0" eb="2">
      <t>キュウシュウ</t>
    </rPh>
    <rPh sb="6" eb="10">
      <t>センモンガッコウ</t>
    </rPh>
    <phoneticPr fontId="1"/>
  </si>
  <si>
    <t>建築</t>
    <rPh sb="0" eb="2">
      <t>ケンチク</t>
    </rPh>
    <phoneticPr fontId="1"/>
  </si>
  <si>
    <t>情報処理</t>
    <rPh sb="2" eb="4">
      <t>ショリ</t>
    </rPh>
    <phoneticPr fontId="1"/>
  </si>
  <si>
    <t>デュアルビジネスコースエール学園</t>
    <rPh sb="14" eb="16">
      <t>ガクエン</t>
    </rPh>
    <phoneticPr fontId="1"/>
  </si>
  <si>
    <t>進学コース</t>
    <rPh sb="0" eb="2">
      <t>シンガク</t>
    </rPh>
    <phoneticPr fontId="1"/>
  </si>
  <si>
    <t>大学進学コース不合格、進学準備コース合格</t>
    <rPh sb="0" eb="2">
      <t>ダイガク</t>
    </rPh>
    <rPh sb="2" eb="4">
      <t>シンガク</t>
    </rPh>
    <rPh sb="7" eb="10">
      <t>フゴウカク</t>
    </rPh>
    <rPh sb="11" eb="15">
      <t>シンガクジュンビ</t>
    </rPh>
    <rPh sb="18" eb="20">
      <t>ゴウカク</t>
    </rPh>
    <phoneticPr fontId="1"/>
  </si>
  <si>
    <t>ＩＴスペシャリスト科 学校推薦</t>
    <rPh sb="9" eb="10">
      <t>カ</t>
    </rPh>
    <rPh sb="11" eb="13">
      <t>ガッコウ</t>
    </rPh>
    <rPh sb="13" eb="15">
      <t>スイセン</t>
    </rPh>
    <phoneticPr fontId="1"/>
  </si>
  <si>
    <t>国際文化学科、協定校推薦</t>
  </si>
  <si>
    <t>国際文化学科、協定校推薦</t>
    <phoneticPr fontId="1"/>
  </si>
  <si>
    <t>自動車科</t>
    <rPh sb="0" eb="3">
      <t>ジドウシャ</t>
    </rPh>
    <rPh sb="3" eb="4">
      <t>カ</t>
    </rPh>
    <phoneticPr fontId="1"/>
  </si>
  <si>
    <t>自動車整備科</t>
    <phoneticPr fontId="1"/>
  </si>
  <si>
    <t>自動車科</t>
    <phoneticPr fontId="1"/>
  </si>
  <si>
    <t>国際自動車整備科</t>
    <phoneticPr fontId="1"/>
  </si>
  <si>
    <t>東京工科自動車大学校</t>
    <rPh sb="0" eb="2">
      <t>トウキョウ</t>
    </rPh>
    <rPh sb="2" eb="10">
      <t>コウカジドウシャダイガッコウ</t>
    </rPh>
    <phoneticPr fontId="1"/>
  </si>
  <si>
    <t xml:space="preserve">                                                                                                                                                                                                                                                                                                          </t>
    <phoneticPr fontId="1"/>
  </si>
  <si>
    <t xml:space="preserve">                                 </t>
    <phoneticPr fontId="1"/>
  </si>
  <si>
    <t>大学進学コース</t>
    <rPh sb="0" eb="2">
      <t>ダイガク</t>
    </rPh>
    <rPh sb="2" eb="4">
      <t>シンガク</t>
    </rPh>
    <phoneticPr fontId="1"/>
  </si>
  <si>
    <t>安心度</t>
    <rPh sb="0" eb="3">
      <t>アンシンド</t>
    </rPh>
    <phoneticPr fontId="1"/>
  </si>
  <si>
    <t>A</t>
  </si>
  <si>
    <t>B</t>
  </si>
  <si>
    <t>宝塚医療大学</t>
    <phoneticPr fontId="1"/>
  </si>
  <si>
    <t>[介護別科]今期は終了。
[観光学部]
・N4相当（作文＋面接）
・初年度１０１万（入学金１５万、学費８６万）
・企業奨学金、年２４万円受けられる可能性あり
・入学後、１回生は宮古島キャンパスで学習（２回生から関西に戻ってくる）
・次の試験は１２月１９日（金）（出願締め切り１２月１日（金））、その次の２月２０日の試験が最終回。</t>
    <rPh sb="1" eb="3">
      <t>カイゴ</t>
    </rPh>
    <rPh sb="3" eb="5">
      <t>ベッカ</t>
    </rPh>
    <rPh sb="6" eb="8">
      <t>コンキ</t>
    </rPh>
    <rPh sb="9" eb="11">
      <t>シュウリョウ</t>
    </rPh>
    <phoneticPr fontId="1"/>
  </si>
  <si>
    <t>C</t>
  </si>
  <si>
    <t>大原学園（国際コミュニケーションスタンダード）</t>
    <rPh sb="0" eb="2">
      <t>オオハラ</t>
    </rPh>
    <rPh sb="2" eb="4">
      <t>ガクエン</t>
    </rPh>
    <rPh sb="5" eb="7">
      <t>コクサイ</t>
    </rPh>
    <phoneticPr fontId="1"/>
  </si>
  <si>
    <t>今期は終了（11月27日更新）</t>
    <rPh sb="0" eb="2">
      <t>コンキ</t>
    </rPh>
    <rPh sb="3" eb="5">
      <t>シュウリョウ</t>
    </rPh>
    <rPh sb="8" eb="9">
      <t>ガツ</t>
    </rPh>
    <rPh sb="11" eb="12">
      <t>ニチ</t>
    </rPh>
    <rPh sb="12" eb="14">
      <t>コウシン</t>
    </rPh>
    <phoneticPr fontId="1"/>
  </si>
  <si>
    <t>１年コースの国際コミュニケーションスタンダードコースは、大原学園の関西圏全学校で募集定員に達したため、募集は終了</t>
    <rPh sb="1" eb="2">
      <t>ネン</t>
    </rPh>
    <rPh sb="28" eb="32">
      <t>オオハラガクエン</t>
    </rPh>
    <rPh sb="33" eb="36">
      <t>カンサイケン</t>
    </rPh>
    <rPh sb="36" eb="37">
      <t>ゼン</t>
    </rPh>
    <rPh sb="37" eb="39">
      <t>ガッコウ</t>
    </rPh>
    <rPh sb="40" eb="42">
      <t>ボシュウ</t>
    </rPh>
    <rPh sb="42" eb="44">
      <t>テイイン</t>
    </rPh>
    <rPh sb="45" eb="46">
      <t>タッ</t>
    </rPh>
    <rPh sb="51" eb="53">
      <t>ボシュウ</t>
    </rPh>
    <rPh sb="54" eb="56">
      <t>シュウリョウ</t>
    </rPh>
    <phoneticPr fontId="1"/>
  </si>
  <si>
    <t>九州の学校。N3がない人でも合格チャンスあり（N3保有者は３万円減免）。初回通常試験が11月10日から出願受付開始なので、まだ席がたくさんある。オンライン受験可。１年コース or ２年コース。初年度学費は５５～７０万。
（11/27追記）国際アニメーションの国際IT基礎学科は終了。グローバルクリエイター専門学校のグローバルIT科も終了。</t>
    <rPh sb="0" eb="2">
      <t>キュウシュウ</t>
    </rPh>
    <rPh sb="3" eb="5">
      <t>ガッコウ</t>
    </rPh>
    <rPh sb="11" eb="12">
      <t>ヒト</t>
    </rPh>
    <rPh sb="14" eb="16">
      <t>ゴウカク</t>
    </rPh>
    <rPh sb="25" eb="27">
      <t>ホユウ</t>
    </rPh>
    <rPh sb="27" eb="28">
      <t>シャ</t>
    </rPh>
    <rPh sb="30" eb="31">
      <t>マン</t>
    </rPh>
    <rPh sb="31" eb="32">
      <t>エン</t>
    </rPh>
    <rPh sb="32" eb="34">
      <t>ゲンメン</t>
    </rPh>
    <rPh sb="36" eb="38">
      <t>ショカイ</t>
    </rPh>
    <rPh sb="38" eb="40">
      <t>ツウジョウ</t>
    </rPh>
    <rPh sb="40" eb="42">
      <t>シケン</t>
    </rPh>
    <rPh sb="45" eb="46">
      <t>ガツ</t>
    </rPh>
    <rPh sb="48" eb="49">
      <t>ニチ</t>
    </rPh>
    <rPh sb="51" eb="53">
      <t>シュツガン</t>
    </rPh>
    <rPh sb="53" eb="55">
      <t>ウケツケ</t>
    </rPh>
    <rPh sb="55" eb="57">
      <t>カイシ</t>
    </rPh>
    <rPh sb="63" eb="64">
      <t>セキ</t>
    </rPh>
    <rPh sb="77" eb="79">
      <t>ジュケン</t>
    </rPh>
    <rPh sb="79" eb="80">
      <t>カ</t>
    </rPh>
    <rPh sb="82" eb="83">
      <t>ネン</t>
    </rPh>
    <rPh sb="91" eb="92">
      <t>ネン</t>
    </rPh>
    <rPh sb="96" eb="99">
      <t>ショネンド</t>
    </rPh>
    <rPh sb="99" eb="101">
      <t>ガクヒ</t>
    </rPh>
    <rPh sb="107" eb="108">
      <t>マン</t>
    </rPh>
    <rPh sb="116" eb="118">
      <t>ツイキ</t>
    </rPh>
    <rPh sb="119" eb="121">
      <t>コクサイ</t>
    </rPh>
    <rPh sb="129" eb="131">
      <t>コクサイ</t>
    </rPh>
    <rPh sb="133" eb="135">
      <t>キソ</t>
    </rPh>
    <rPh sb="135" eb="137">
      <t>ガッカ</t>
    </rPh>
    <rPh sb="138" eb="140">
      <t>シュウリョウ</t>
    </rPh>
    <rPh sb="152" eb="156">
      <t>センモンガッコウ</t>
    </rPh>
    <rPh sb="164" eb="165">
      <t>カ</t>
    </rPh>
    <rPh sb="166" eb="168">
      <t>シュウリョウ</t>
    </rPh>
    <phoneticPr fontId="1"/>
  </si>
  <si>
    <t>山梨英和大学</t>
    <rPh sb="0" eb="2">
      <t>ヤマナシ</t>
    </rPh>
    <rPh sb="2" eb="4">
      <t>エイワ</t>
    </rPh>
    <rPh sb="4" eb="6">
      <t>ダイガク</t>
    </rPh>
    <phoneticPr fontId="1"/>
  </si>
  <si>
    <t>初年度７０万円
次は３回目の試験で、１月出願＆２月試験。
人間文化学科（心理、国際、IT）
出願資格なし。実際のレベルは聞いていないが、EJU170点で合格した人もいる。N3以下か？</t>
    <rPh sb="0" eb="3">
      <t>ショネンド</t>
    </rPh>
    <rPh sb="5" eb="6">
      <t>マン</t>
    </rPh>
    <rPh sb="6" eb="7">
      <t>エン</t>
    </rPh>
    <rPh sb="8" eb="9">
      <t>ツギ</t>
    </rPh>
    <rPh sb="11" eb="13">
      <t>カイメ</t>
    </rPh>
    <rPh sb="14" eb="16">
      <t>シケン</t>
    </rPh>
    <rPh sb="19" eb="20">
      <t>ガツ</t>
    </rPh>
    <rPh sb="20" eb="22">
      <t>シュツガン</t>
    </rPh>
    <rPh sb="24" eb="25">
      <t>ガツ</t>
    </rPh>
    <rPh sb="25" eb="27">
      <t>シケン</t>
    </rPh>
    <rPh sb="29" eb="31">
      <t>ニンゲン</t>
    </rPh>
    <rPh sb="31" eb="33">
      <t>ブンカ</t>
    </rPh>
    <rPh sb="33" eb="35">
      <t>ガッカ</t>
    </rPh>
    <rPh sb="36" eb="38">
      <t>シンリ</t>
    </rPh>
    <rPh sb="39" eb="41">
      <t>コクサイ</t>
    </rPh>
    <rPh sb="46" eb="50">
      <t>シュツガンシカク</t>
    </rPh>
    <rPh sb="53" eb="55">
      <t>ジッサイ</t>
    </rPh>
    <rPh sb="60" eb="61">
      <t>キ</t>
    </rPh>
    <rPh sb="74" eb="75">
      <t>テン</t>
    </rPh>
    <rPh sb="76" eb="78">
      <t>ゴウカク</t>
    </rPh>
    <rPh sb="80" eb="81">
      <t>ヒト</t>
    </rPh>
    <rPh sb="87" eb="89">
      <t>イカ</t>
    </rPh>
    <phoneticPr fontId="1"/>
  </si>
  <si>
    <t>経済学部経済経営学科</t>
    <rPh sb="0" eb="4">
      <t>ケイザイガクブ</t>
    </rPh>
    <rPh sb="4" eb="10">
      <t>ケイザイケイエイガッカ</t>
    </rPh>
    <phoneticPr fontId="1"/>
  </si>
  <si>
    <t>日本デジタルカレッジ専門学校</t>
    <rPh sb="0" eb="2">
      <t>ニホン</t>
    </rPh>
    <rPh sb="10" eb="14">
      <t>センモンガッコウ</t>
    </rPh>
    <phoneticPr fontId="1"/>
  </si>
  <si>
    <t>ITリテラシー科
７名追加募集　12/9消印有効 12/20試験</t>
    <rPh sb="7" eb="8">
      <t>カ</t>
    </rPh>
    <rPh sb="10" eb="11">
      <t>メイ</t>
    </rPh>
    <rPh sb="11" eb="13">
      <t>ツイカ</t>
    </rPh>
    <rPh sb="13" eb="15">
      <t>ボシュウ</t>
    </rPh>
    <rPh sb="20" eb="22">
      <t>ケシイン</t>
    </rPh>
    <rPh sb="22" eb="24">
      <t>ユウコウ</t>
    </rPh>
    <rPh sb="30" eb="32">
      <t>シケン</t>
    </rPh>
    <phoneticPr fontId="1"/>
  </si>
  <si>
    <t>総合日本語</t>
    <rPh sb="0" eb="5">
      <t>ソウゴウニホンゴ</t>
    </rPh>
    <phoneticPr fontId="1"/>
  </si>
  <si>
    <t>進学準備コース</t>
    <rPh sb="0" eb="2">
      <t>シンガク</t>
    </rPh>
    <rPh sb="2" eb="4">
      <t>ジュンビ</t>
    </rPh>
    <phoneticPr fontId="1"/>
  </si>
  <si>
    <t>特別推薦</t>
    <rPh sb="0" eb="2">
      <t>トクベツ</t>
    </rPh>
    <rPh sb="2" eb="4">
      <t>スイセン</t>
    </rPh>
    <phoneticPr fontId="1"/>
  </si>
  <si>
    <t>(Ⅲ期)</t>
    <phoneticPr fontId="1"/>
  </si>
  <si>
    <t>キャリアデザインコース</t>
    <phoneticPr fontId="1"/>
  </si>
  <si>
    <t>大阪バイオメディカル専門学校</t>
    <rPh sb="0" eb="2">
      <t>オオサカ</t>
    </rPh>
    <rPh sb="10" eb="14">
      <t>センモンガッコウ</t>
    </rPh>
    <phoneticPr fontId="1"/>
  </si>
  <si>
    <t>神田外語学院</t>
    <rPh sb="0" eb="2">
      <t>カンダ</t>
    </rPh>
    <rPh sb="2" eb="4">
      <t>ガイゴ</t>
    </rPh>
    <rPh sb="4" eb="6">
      <t>ガクイン</t>
    </rPh>
    <phoneticPr fontId="1"/>
  </si>
  <si>
    <t>大阪産業大学</t>
    <rPh sb="0" eb="2">
      <t>オオサカ</t>
    </rPh>
    <rPh sb="2" eb="6">
      <t>サンギョウダイガク</t>
    </rPh>
    <phoneticPr fontId="1"/>
  </si>
  <si>
    <t>併願</t>
    <rPh sb="0" eb="2">
      <t>ヘイガン</t>
    </rPh>
    <phoneticPr fontId="1"/>
  </si>
  <si>
    <t>SOLA学園</t>
    <rPh sb="4" eb="6">
      <t>ガクエン</t>
    </rPh>
    <phoneticPr fontId="1"/>
  </si>
  <si>
    <t>ホテル、国際ビジネス、経営情報の3学科
出願者全員が利用できる奨学金あり。奨学金適用後、学費68万円、毎月4万円程度での学費分納が可能。</t>
    <rPh sb="4" eb="6">
      <t>コクサイ</t>
    </rPh>
    <rPh sb="11" eb="13">
      <t>ケイエイ</t>
    </rPh>
    <rPh sb="13" eb="15">
      <t>ジョウホウ</t>
    </rPh>
    <rPh sb="17" eb="19">
      <t>ガッカ</t>
    </rPh>
    <rPh sb="20" eb="23">
      <t>シュツガンシャ</t>
    </rPh>
    <rPh sb="23" eb="25">
      <t>ゼンイン</t>
    </rPh>
    <rPh sb="26" eb="28">
      <t>リヨウ</t>
    </rPh>
    <rPh sb="31" eb="34">
      <t>ショウガクキン</t>
    </rPh>
    <rPh sb="37" eb="40">
      <t>ショウガクキン</t>
    </rPh>
    <rPh sb="40" eb="43">
      <t>テキヨウゴ</t>
    </rPh>
    <rPh sb="44" eb="46">
      <t>ガクヒ</t>
    </rPh>
    <rPh sb="48" eb="50">
      <t>マンエン</t>
    </rPh>
    <rPh sb="51" eb="53">
      <t>マイツキ</t>
    </rPh>
    <rPh sb="54" eb="56">
      <t>マンエン</t>
    </rPh>
    <rPh sb="56" eb="58">
      <t>テイド</t>
    </rPh>
    <rPh sb="60" eb="62">
      <t>ガクヒ</t>
    </rPh>
    <rPh sb="62" eb="64">
      <t>ブンノウ</t>
    </rPh>
    <rPh sb="65" eb="67">
      <t>カノウ</t>
    </rPh>
    <phoneticPr fontId="1"/>
  </si>
  <si>
    <t>国際情報デザイン科、一般</t>
    <rPh sb="0" eb="2">
      <t>コクサイ</t>
    </rPh>
    <rPh sb="2" eb="4">
      <t>ジョウホウ</t>
    </rPh>
    <rPh sb="8" eb="9">
      <t>カ</t>
    </rPh>
    <rPh sb="10" eb="12">
      <t>イッパン</t>
    </rPh>
    <phoneticPr fontId="1"/>
  </si>
  <si>
    <t>日本文化教養学科、指定校推薦</t>
    <rPh sb="0" eb="4">
      <t>ニホンブンカ</t>
    </rPh>
    <rPh sb="4" eb="6">
      <t>キョウヨウ</t>
    </rPh>
    <rPh sb="6" eb="8">
      <t>ガッカ</t>
    </rPh>
    <rPh sb="9" eb="12">
      <t>シテイコウ</t>
    </rPh>
    <rPh sb="12" eb="14">
      <t>スイセン</t>
    </rPh>
    <phoneticPr fontId="1"/>
  </si>
  <si>
    <t>AI総合科、一般</t>
    <rPh sb="2" eb="4">
      <t>ソウゴウ</t>
    </rPh>
    <rPh sb="4" eb="5">
      <t>カ</t>
    </rPh>
    <rPh sb="6" eb="8">
      <t>イッパン</t>
    </rPh>
    <phoneticPr fontId="1"/>
  </si>
  <si>
    <t>上記同様、ホテル学科のレベルが高くＮ３所持しても難しいかもしれないとのことです。年内に終了する予定はないので何度もチャレンジしてほしいとのことです。
（12月10日北條追記）試験は全部実施するので、募集終了はない。しかし、枠は少ないので難易度は非常に高くなっている。特に１年コース日本語専科は、２年コースより難易度が上がるという逆転現象が起きており、ほとんど合格の見込みはない。
逆に国際コミュニケーション学科と観光学科はまだ余裕があるので、N3相当の学生であればチャンスはある。</t>
    <rPh sb="0" eb="2">
      <t>ジョウキ</t>
    </rPh>
    <rPh sb="2" eb="4">
      <t>ドウヨウ</t>
    </rPh>
    <rPh sb="8" eb="10">
      <t>ガッカ</t>
    </rPh>
    <rPh sb="15" eb="16">
      <t>タカ</t>
    </rPh>
    <rPh sb="19" eb="21">
      <t>ショジ</t>
    </rPh>
    <rPh sb="24" eb="25">
      <t>ムズカ</t>
    </rPh>
    <rPh sb="40" eb="42">
      <t>ネンナイ</t>
    </rPh>
    <rPh sb="43" eb="45">
      <t>シュウリョウ</t>
    </rPh>
    <rPh sb="47" eb="49">
      <t>ヨテイ</t>
    </rPh>
    <rPh sb="54" eb="56">
      <t>ナンド</t>
    </rPh>
    <rPh sb="78" eb="79">
      <t>ガツ</t>
    </rPh>
    <rPh sb="81" eb="82">
      <t>ニチ</t>
    </rPh>
    <rPh sb="82" eb="84">
      <t>ホウジョウ</t>
    </rPh>
    <rPh sb="84" eb="86">
      <t>ツイキ</t>
    </rPh>
    <rPh sb="87" eb="89">
      <t>シケン</t>
    </rPh>
    <rPh sb="90" eb="92">
      <t>ゼンブ</t>
    </rPh>
    <rPh sb="92" eb="94">
      <t>ジッシ</t>
    </rPh>
    <rPh sb="99" eb="103">
      <t>ボシュウシュウリョウ</t>
    </rPh>
    <rPh sb="111" eb="112">
      <t>ワク</t>
    </rPh>
    <rPh sb="113" eb="114">
      <t>スク</t>
    </rPh>
    <rPh sb="118" eb="121">
      <t>ナンイド</t>
    </rPh>
    <rPh sb="122" eb="124">
      <t>ヒジョウ</t>
    </rPh>
    <rPh sb="125" eb="126">
      <t>タカ</t>
    </rPh>
    <rPh sb="133" eb="134">
      <t>トク</t>
    </rPh>
    <rPh sb="136" eb="137">
      <t>ネン</t>
    </rPh>
    <rPh sb="140" eb="143">
      <t>ニホンゴ</t>
    </rPh>
    <rPh sb="143" eb="145">
      <t>センカ</t>
    </rPh>
    <rPh sb="148" eb="149">
      <t>ネン</t>
    </rPh>
    <rPh sb="154" eb="157">
      <t>ナンイド</t>
    </rPh>
    <rPh sb="158" eb="159">
      <t>ア</t>
    </rPh>
    <rPh sb="164" eb="168">
      <t>ギャクテンゲンショウ</t>
    </rPh>
    <rPh sb="169" eb="170">
      <t>オ</t>
    </rPh>
    <rPh sb="179" eb="181">
      <t>ゴウカク</t>
    </rPh>
    <rPh sb="182" eb="184">
      <t>ミコ</t>
    </rPh>
    <rPh sb="190" eb="191">
      <t>ギャク</t>
    </rPh>
    <rPh sb="192" eb="194">
      <t>コクサイ</t>
    </rPh>
    <rPh sb="203" eb="205">
      <t>ガッカ</t>
    </rPh>
    <rPh sb="206" eb="210">
      <t>カンコウガッカ</t>
    </rPh>
    <rPh sb="213" eb="215">
      <t>ヨユウ</t>
    </rPh>
    <rPh sb="223" eb="225">
      <t>ソウトウ</t>
    </rPh>
    <rPh sb="226" eb="228">
      <t>ガクセイ</t>
    </rPh>
    <phoneticPr fontId="1"/>
  </si>
  <si>
    <t>九州中央リハビリテーション学院</t>
    <rPh sb="0" eb="2">
      <t>キュウシュウ</t>
    </rPh>
    <rPh sb="2" eb="4">
      <t>チュウオウ</t>
    </rPh>
    <rPh sb="13" eb="15">
      <t>ガクイン</t>
    </rPh>
    <phoneticPr fontId="1"/>
  </si>
  <si>
    <t>2回目、AI学科</t>
    <rPh sb="1" eb="2">
      <t>カイ</t>
    </rPh>
    <rPh sb="2" eb="3">
      <t>メ</t>
    </rPh>
    <rPh sb="6" eb="8">
      <t>ガッカ</t>
    </rPh>
    <phoneticPr fontId="1"/>
  </si>
  <si>
    <t>1回目、電子学科</t>
    <rPh sb="1" eb="3">
      <t>カイメ</t>
    </rPh>
    <rPh sb="4" eb="6">
      <t>デンシ</t>
    </rPh>
    <rPh sb="6" eb="8">
      <t>ガッカ</t>
    </rPh>
    <phoneticPr fontId="1"/>
  </si>
  <si>
    <t>CHIT MAUNG MAUNG</t>
    <phoneticPr fontId="1"/>
  </si>
  <si>
    <t>１年日本語コース→新潟国際自動車大学校</t>
    <rPh sb="1" eb="2">
      <t>ネン</t>
    </rPh>
    <rPh sb="2" eb="5">
      <t>ニホンゴ</t>
    </rPh>
    <rPh sb="9" eb="11">
      <t>ニイガタ</t>
    </rPh>
    <rPh sb="11" eb="13">
      <t>コクサイ</t>
    </rPh>
    <rPh sb="13" eb="16">
      <t>ジドウシャ</t>
    </rPh>
    <rPh sb="16" eb="19">
      <t>ダイガッコウ</t>
    </rPh>
    <phoneticPr fontId="1"/>
  </si>
  <si>
    <t>・外国人留学生特別試験(指定校推薦)があり、対象は・文学部、人間学部
・N3取得以上で出願可能
・外国人留学生特別試験(指定校推薦)は出願した時点で合格前提
・4年間学費1/3減免、N2取得者なら1/2減免、N1取得者なら授業料と入学金が無料 ※単位数が基準に達さなければ打ち切られる
・出願期間は12/23～1/23で、試験日が2月3日
・入試は20分の面接のみ</t>
    <rPh sb="22" eb="24">
      <t>タイショウ</t>
    </rPh>
    <rPh sb="26" eb="29">
      <t>ブンガクブ</t>
    </rPh>
    <rPh sb="30" eb="34">
      <t>ニンゲンガクブ</t>
    </rPh>
    <rPh sb="38" eb="42">
      <t>シュトクイジョウ</t>
    </rPh>
    <rPh sb="43" eb="47">
      <t>シュツガンカノウ</t>
    </rPh>
    <rPh sb="49" eb="51">
      <t>ガイコク</t>
    </rPh>
    <rPh sb="51" eb="52">
      <t>ジン</t>
    </rPh>
    <rPh sb="52" eb="55">
      <t>リュウガクセイ</t>
    </rPh>
    <rPh sb="55" eb="57">
      <t>トクベツ</t>
    </rPh>
    <rPh sb="57" eb="59">
      <t>シケン</t>
    </rPh>
    <rPh sb="60" eb="63">
      <t>シテイコウ</t>
    </rPh>
    <rPh sb="63" eb="65">
      <t>スイセン</t>
    </rPh>
    <rPh sb="67" eb="69">
      <t>シュツガン</t>
    </rPh>
    <rPh sb="71" eb="73">
      <t>ジテン</t>
    </rPh>
    <rPh sb="74" eb="76">
      <t>ゴウカク</t>
    </rPh>
    <rPh sb="76" eb="78">
      <t>ゼンテイ</t>
    </rPh>
    <rPh sb="81" eb="83">
      <t>ネンカン</t>
    </rPh>
    <rPh sb="83" eb="85">
      <t>ガクヒ</t>
    </rPh>
    <rPh sb="88" eb="90">
      <t>ゲンメン</t>
    </rPh>
    <rPh sb="93" eb="95">
      <t>シュトク</t>
    </rPh>
    <rPh sb="95" eb="96">
      <t>シャ</t>
    </rPh>
    <rPh sb="101" eb="103">
      <t>ゲンメン</t>
    </rPh>
    <rPh sb="106" eb="109">
      <t>シュトクシャ</t>
    </rPh>
    <rPh sb="111" eb="114">
      <t>ジュギョウリョウ</t>
    </rPh>
    <rPh sb="115" eb="118">
      <t>ニュウガクキン</t>
    </rPh>
    <rPh sb="119" eb="121">
      <t>ムリョウ</t>
    </rPh>
    <rPh sb="123" eb="126">
      <t>タンイスウ</t>
    </rPh>
    <rPh sb="127" eb="129">
      <t>キジュン</t>
    </rPh>
    <rPh sb="130" eb="131">
      <t>タッ</t>
    </rPh>
    <rPh sb="136" eb="137">
      <t>ウ</t>
    </rPh>
    <rPh sb="138" eb="139">
      <t>キ</t>
    </rPh>
    <rPh sb="144" eb="148">
      <t>シュツガンキカン</t>
    </rPh>
    <rPh sb="161" eb="164">
      <t>シケンビ</t>
    </rPh>
    <rPh sb="166" eb="167">
      <t>ガツ</t>
    </rPh>
    <rPh sb="168" eb="169">
      <t>ニチ</t>
    </rPh>
    <rPh sb="171" eb="173">
      <t>ニュウシ</t>
    </rPh>
    <rPh sb="176" eb="177">
      <t>フン</t>
    </rPh>
    <rPh sb="178" eb="180">
      <t>メンセツ</t>
    </rPh>
    <phoneticPr fontId="1"/>
  </si>
  <si>
    <t>ITビジネス科（２年）</t>
    <rPh sb="6" eb="7">
      <t>カ</t>
    </rPh>
    <rPh sb="9" eb="10">
      <t>ネン</t>
    </rPh>
    <phoneticPr fontId="1"/>
  </si>
  <si>
    <t>埼玉自動車大学校</t>
    <rPh sb="0" eb="2">
      <t>サイタマ</t>
    </rPh>
    <rPh sb="2" eb="5">
      <t>ジドウシャ</t>
    </rPh>
    <rPh sb="5" eb="8">
      <t>ダイガッコウ</t>
    </rPh>
    <phoneticPr fontId="1"/>
  </si>
  <si>
    <t>埼玉福祉保育医療製菓調理専門学校</t>
    <rPh sb="0" eb="2">
      <t>サイタマ</t>
    </rPh>
    <rPh sb="2" eb="4">
      <t>フクシ</t>
    </rPh>
    <rPh sb="4" eb="6">
      <t>ホイク</t>
    </rPh>
    <rPh sb="6" eb="8">
      <t>イリョウ</t>
    </rPh>
    <rPh sb="8" eb="10">
      <t>セイカ</t>
    </rPh>
    <rPh sb="10" eb="12">
      <t>チョウリ</t>
    </rPh>
    <rPh sb="12" eb="16">
      <t>センモンガッコウ</t>
    </rPh>
    <phoneticPr fontId="1"/>
  </si>
  <si>
    <t>愛心国際ビジネスカレッジ</t>
    <rPh sb="0" eb="2">
      <t>アイシン</t>
    </rPh>
    <rPh sb="2" eb="4">
      <t>コクサイ</t>
    </rPh>
    <phoneticPr fontId="1"/>
  </si>
  <si>
    <t>募集あり。日本語レベルはN4以下でも可。出願時に作文を提出。面接試験のみ、オンラインあり。
服飾に強い興味を持っていること。
・2年コース
・学費：初年度598000円</t>
    <rPh sb="0" eb="2">
      <t>ボシュウ</t>
    </rPh>
    <rPh sb="5" eb="8">
      <t>ニホンゴ</t>
    </rPh>
    <rPh sb="14" eb="16">
      <t>イカ</t>
    </rPh>
    <rPh sb="18" eb="19">
      <t>カ</t>
    </rPh>
    <rPh sb="20" eb="22">
      <t>シュツガン</t>
    </rPh>
    <rPh sb="22" eb="23">
      <t>ジ</t>
    </rPh>
    <rPh sb="24" eb="26">
      <t>サクブン</t>
    </rPh>
    <rPh sb="27" eb="29">
      <t>テイシュツ</t>
    </rPh>
    <rPh sb="30" eb="32">
      <t>メンセツ</t>
    </rPh>
    <rPh sb="32" eb="34">
      <t>シケン</t>
    </rPh>
    <rPh sb="46" eb="48">
      <t>フクショク</t>
    </rPh>
    <rPh sb="49" eb="50">
      <t>ツヨ</t>
    </rPh>
    <rPh sb="51" eb="53">
      <t>キョウミ</t>
    </rPh>
    <rPh sb="54" eb="55">
      <t>モ</t>
    </rPh>
    <rPh sb="65" eb="66">
      <t>ネン</t>
    </rPh>
    <rPh sb="71" eb="73">
      <t>ガクヒ</t>
    </rPh>
    <rPh sb="74" eb="77">
      <t>ショネンド</t>
    </rPh>
    <rPh sb="83" eb="84">
      <t>エン</t>
    </rPh>
    <phoneticPr fontId="1"/>
  </si>
  <si>
    <t>神戸医療未来大学</t>
    <rPh sb="0" eb="6">
      <t>コウベイリョウミライ</t>
    </rPh>
    <rPh sb="6" eb="8">
      <t>ダイガク</t>
    </rPh>
    <phoneticPr fontId="1"/>
  </si>
  <si>
    <t>・指定校推薦　2枠
・出席率95％以上で出願可能
・初年度学費603,300円
・選考方法は面接試験60点、書類審査100点の合計点
※過去の実績で言うと、N4～N3でも合格している</t>
    <rPh sb="1" eb="6">
      <t>シテイコウスイセン</t>
    </rPh>
    <rPh sb="8" eb="9">
      <t>ワク</t>
    </rPh>
    <rPh sb="11" eb="14">
      <t>シュッセキリツ</t>
    </rPh>
    <rPh sb="17" eb="19">
      <t>イジョウ</t>
    </rPh>
    <rPh sb="20" eb="24">
      <t>シュツガンカノウ</t>
    </rPh>
    <rPh sb="26" eb="31">
      <t>ショネンドガクヒ</t>
    </rPh>
    <rPh sb="38" eb="39">
      <t>エン</t>
    </rPh>
    <rPh sb="41" eb="45">
      <t>センコウホウホウ</t>
    </rPh>
    <rPh sb="46" eb="48">
      <t>メンセツ</t>
    </rPh>
    <rPh sb="48" eb="50">
      <t>シケン</t>
    </rPh>
    <rPh sb="52" eb="53">
      <t>テン</t>
    </rPh>
    <rPh sb="54" eb="56">
      <t>ショルイ</t>
    </rPh>
    <rPh sb="56" eb="58">
      <t>シンサ</t>
    </rPh>
    <rPh sb="61" eb="62">
      <t>テン</t>
    </rPh>
    <rPh sb="63" eb="66">
      <t>ゴウケイテン</t>
    </rPh>
    <phoneticPr fontId="1"/>
  </si>
  <si>
    <t>郡山健康科学専門学校</t>
    <rPh sb="0" eb="2">
      <t>コオリヤマ</t>
    </rPh>
    <rPh sb="2" eb="6">
      <t>ケンコウカガク</t>
    </rPh>
    <rPh sb="6" eb="10">
      <t>センモンガッコウ</t>
    </rPh>
    <phoneticPr fontId="1"/>
  </si>
  <si>
    <t>・指定校推薦　2枠(国際教養ビジネス1枠、介護福祉1枠)
・出席率85％以上で出願可能
・初年度学費：介護福祉科70万円、国際教養ビジネス科(1年制)75万円、国際教養ビジネス科(2年制)65万円、
・学費支払方法は20日以内に約10万円、それ以降は入学後に最大10分割での支払が可能※10分割の場合は手数料3.3万円かかる
・選考方法は書類選考と面接(10分)
※過去の実績で言うとN4レベルで合格できている</t>
    <rPh sb="1" eb="6">
      <t>シテイコウスイセン</t>
    </rPh>
    <rPh sb="8" eb="9">
      <t>ワク</t>
    </rPh>
    <rPh sb="10" eb="12">
      <t>コクサイ</t>
    </rPh>
    <rPh sb="12" eb="14">
      <t>キョウヨウ</t>
    </rPh>
    <rPh sb="19" eb="20">
      <t>ワク</t>
    </rPh>
    <rPh sb="21" eb="23">
      <t>カイゴ</t>
    </rPh>
    <rPh sb="23" eb="25">
      <t>フクシ</t>
    </rPh>
    <rPh sb="26" eb="27">
      <t>ワク</t>
    </rPh>
    <rPh sb="30" eb="33">
      <t>シュッセキリツ</t>
    </rPh>
    <rPh sb="36" eb="38">
      <t>イジョウ</t>
    </rPh>
    <rPh sb="39" eb="43">
      <t>シュツガンカノウ</t>
    </rPh>
    <rPh sb="45" eb="50">
      <t>ショネンドガクヒ</t>
    </rPh>
    <rPh sb="51" eb="56">
      <t>カイゴフクシカ</t>
    </rPh>
    <rPh sb="58" eb="60">
      <t>マンエン</t>
    </rPh>
    <rPh sb="61" eb="65">
      <t>コクサイキョウヨウ</t>
    </rPh>
    <rPh sb="69" eb="70">
      <t>カ</t>
    </rPh>
    <rPh sb="72" eb="73">
      <t>ネン</t>
    </rPh>
    <rPh sb="73" eb="74">
      <t>セイ</t>
    </rPh>
    <rPh sb="77" eb="78">
      <t>マン</t>
    </rPh>
    <rPh sb="78" eb="79">
      <t>エン</t>
    </rPh>
    <rPh sb="101" eb="103">
      <t>ガクヒ</t>
    </rPh>
    <rPh sb="103" eb="107">
      <t>シハライホウホウ</t>
    </rPh>
    <rPh sb="110" eb="111">
      <t>ニチ</t>
    </rPh>
    <rPh sb="111" eb="113">
      <t>イナイ</t>
    </rPh>
    <rPh sb="114" eb="115">
      <t>ヤク</t>
    </rPh>
    <rPh sb="117" eb="119">
      <t>マンエン</t>
    </rPh>
    <rPh sb="122" eb="124">
      <t>イコウ</t>
    </rPh>
    <rPh sb="125" eb="128">
      <t>ニュウガクゴ</t>
    </rPh>
    <rPh sb="129" eb="131">
      <t>サイダイ</t>
    </rPh>
    <rPh sb="133" eb="135">
      <t>ブンカツ</t>
    </rPh>
    <rPh sb="137" eb="139">
      <t>シハライ</t>
    </rPh>
    <rPh sb="140" eb="142">
      <t>カノウ</t>
    </rPh>
    <rPh sb="145" eb="147">
      <t>ブンカツ</t>
    </rPh>
    <rPh sb="148" eb="150">
      <t>バアイ</t>
    </rPh>
    <rPh sb="151" eb="154">
      <t>テスウリョウ</t>
    </rPh>
    <rPh sb="157" eb="159">
      <t>マンエン</t>
    </rPh>
    <rPh sb="164" eb="168">
      <t>センコウホウホウ</t>
    </rPh>
    <rPh sb="169" eb="173">
      <t>ショルイセンコウ</t>
    </rPh>
    <rPh sb="174" eb="176">
      <t>メンセツ</t>
    </rPh>
    <rPh sb="179" eb="180">
      <t>フン</t>
    </rPh>
    <rPh sb="183" eb="185">
      <t>カコ</t>
    </rPh>
    <rPh sb="186" eb="188">
      <t>ジッセキ</t>
    </rPh>
    <rPh sb="189" eb="190">
      <t>イ</t>
    </rPh>
    <rPh sb="198" eb="200">
      <t>ゴウカク</t>
    </rPh>
    <phoneticPr fontId="1"/>
  </si>
  <si>
    <t>甲南大学</t>
    <phoneticPr fontId="1"/>
  </si>
  <si>
    <t>・出願条件：EJU平均点以上
・外国人留学生特別学費減免30％→文系学部なら1年目学費約85万円
・選考方式：面接と書類審査※知能情報学部のみ小論文有</t>
    <phoneticPr fontId="1"/>
  </si>
  <si>
    <t>指定校推薦</t>
    <rPh sb="0" eb="3">
      <t>シテイコウ</t>
    </rPh>
    <rPh sb="3" eb="5">
      <t>スイセン</t>
    </rPh>
    <phoneticPr fontId="1"/>
  </si>
  <si>
    <t>日本大学</t>
    <rPh sb="0" eb="2">
      <t>ニホン</t>
    </rPh>
    <rPh sb="2" eb="4">
      <t>ダイガク</t>
    </rPh>
    <phoneticPr fontId="1"/>
  </si>
  <si>
    <t>関西国際旅行ホテル専門学校</t>
    <rPh sb="0" eb="4">
      <t>カンサイコクサイ</t>
    </rPh>
    <rPh sb="4" eb="6">
      <t>リョコウ</t>
    </rPh>
    <rPh sb="9" eb="13">
      <t>センモンガッコウ</t>
    </rPh>
    <phoneticPr fontId="1"/>
  </si>
  <si>
    <t>国際外語・観光・エアライン専門学校</t>
    <rPh sb="0" eb="4">
      <t>コクサイガイゴ</t>
    </rPh>
    <rPh sb="5" eb="7">
      <t>カンコウ</t>
    </rPh>
    <rPh sb="13" eb="17">
      <t>センモンガッコウ</t>
    </rPh>
    <phoneticPr fontId="1"/>
  </si>
  <si>
    <t>日本語ビジネス科（１年）</t>
    <rPh sb="0" eb="3">
      <t>ニホンゴ</t>
    </rPh>
    <rPh sb="7" eb="8">
      <t>カ</t>
    </rPh>
    <rPh sb="10" eb="11">
      <t>ネン</t>
    </rPh>
    <phoneticPr fontId="1"/>
  </si>
  <si>
    <t>①IT系の学科は12月9日の試験で締め切る。出願期限は11月25日。
IT系以外の学科は年内以降も募集枠がある可能性が高いそうです。（11/17北條更新）
②他校とは異なり本校は条件を満たせば｢指定校推薦｣の枠が無制限に使えるとのことです。
（12月18日北條追記）
・国際コミュニケーションとIT・AI系は終了
・建築学科は欠員が出たので、希望者がいればできるだけ急いで出願してほしい
・グラフィックデザイン学科と情報工学科も少なくなってきた。
・他の学科は余裕あり。</t>
    <rPh sb="10" eb="11">
      <t>ガツ</t>
    </rPh>
    <rPh sb="12" eb="13">
      <t>ニチ</t>
    </rPh>
    <rPh sb="14" eb="16">
      <t>シケン</t>
    </rPh>
    <rPh sb="22" eb="24">
      <t>シュツガン</t>
    </rPh>
    <rPh sb="24" eb="26">
      <t>キゲン</t>
    </rPh>
    <rPh sb="29" eb="30">
      <t>ガツ</t>
    </rPh>
    <rPh sb="32" eb="33">
      <t>ニチ</t>
    </rPh>
    <rPh sb="72" eb="74">
      <t>ホウジョウ</t>
    </rPh>
    <rPh sb="74" eb="76">
      <t>コウシン</t>
    </rPh>
    <phoneticPr fontId="1"/>
  </si>
  <si>
    <t>,国際IT基礎科、一般</t>
    <rPh sb="1" eb="3">
      <t>コクサイ</t>
    </rPh>
    <rPh sb="5" eb="7">
      <t>キソ</t>
    </rPh>
    <rPh sb="7" eb="8">
      <t>カ</t>
    </rPh>
    <rPh sb="8" eb="9">
      <t>ゴウカ</t>
    </rPh>
    <rPh sb="9" eb="11">
      <t>イッパン</t>
    </rPh>
    <phoneticPr fontId="1"/>
  </si>
  <si>
    <t>人間社会学部観光学科</t>
    <rPh sb="0" eb="2">
      <t>ニンゲン</t>
    </rPh>
    <rPh sb="2" eb="4">
      <t>シャカイ</t>
    </rPh>
    <rPh sb="4" eb="6">
      <t>ガクブ</t>
    </rPh>
    <rPh sb="6" eb="8">
      <t>カンコウ</t>
    </rPh>
    <rPh sb="8" eb="10">
      <t>ガッカ</t>
    </rPh>
    <phoneticPr fontId="1"/>
  </si>
  <si>
    <t>千葉大学研究生</t>
    <rPh sb="0" eb="4">
      <t>チバダイガク</t>
    </rPh>
    <rPh sb="4" eb="6">
      <t>ケンキュウ</t>
    </rPh>
    <rPh sb="6" eb="7">
      <t>セイ</t>
    </rPh>
    <phoneticPr fontId="1"/>
  </si>
  <si>
    <t>LIN LIN TUN</t>
    <phoneticPr fontId="1"/>
  </si>
  <si>
    <t>国際介護学科</t>
    <rPh sb="0" eb="2">
      <t>コクサイ</t>
    </rPh>
    <rPh sb="2" eb="4">
      <t>カイゴ</t>
    </rPh>
    <rPh sb="4" eb="6">
      <t>ガッカ</t>
    </rPh>
    <phoneticPr fontId="1"/>
  </si>
  <si>
    <t>大阪観光大学</t>
    <rPh sb="0" eb="2">
      <t>オオサカ</t>
    </rPh>
    <rPh sb="2" eb="4">
      <t>カンコウ</t>
    </rPh>
    <rPh sb="4" eb="6">
      <t>ダイガク</t>
    </rPh>
    <phoneticPr fontId="1"/>
  </si>
  <si>
    <t>EI EI THEIN</t>
    <phoneticPr fontId="1"/>
  </si>
  <si>
    <t>国際サービスエンジニア科、AO試験</t>
    <rPh sb="15" eb="17">
      <t>シケン</t>
    </rPh>
    <phoneticPr fontId="1"/>
  </si>
  <si>
    <t>国際コミュニケーションコース、指定校推薦</t>
    <rPh sb="15" eb="17">
      <t>シテイ</t>
    </rPh>
    <rPh sb="17" eb="18">
      <t>コウ</t>
    </rPh>
    <rPh sb="18" eb="20">
      <t>スイセン</t>
    </rPh>
    <phoneticPr fontId="1"/>
  </si>
  <si>
    <t>専門学校広島国際ビジネスカレッジ</t>
    <rPh sb="0" eb="4">
      <t>センモンガッコウ</t>
    </rPh>
    <rPh sb="4" eb="6">
      <t>ヒロシマ</t>
    </rPh>
    <rPh sb="6" eb="8">
      <t>コクサイ</t>
    </rPh>
    <phoneticPr fontId="1"/>
  </si>
  <si>
    <t>国際文化コミュニケーション学科、学校推薦</t>
    <rPh sb="0" eb="2">
      <t>コクサイ</t>
    </rPh>
    <rPh sb="2" eb="4">
      <t>ブンカ</t>
    </rPh>
    <rPh sb="13" eb="15">
      <t>ガッカ</t>
    </rPh>
    <rPh sb="16" eb="18">
      <t>ガッコウ</t>
    </rPh>
    <rPh sb="18" eb="20">
      <t>スイセン</t>
    </rPh>
    <phoneticPr fontId="1"/>
  </si>
  <si>
    <t>広島国際ビジネスカレッジ</t>
    <rPh sb="0" eb="2">
      <t>ヒロシマ</t>
    </rPh>
    <rPh sb="2" eb="4">
      <t>コクサイ</t>
    </rPh>
    <phoneticPr fontId="1"/>
  </si>
  <si>
    <t>・N4相当
・国際文化コミュニケーションコース（１年コース）
・学校推薦だと入学検定料と学費5万円免除。なお推薦基準は本校の推薦基準で良い。
・入試オンライン受験可能
・12月25日現在でも枠は多数あるとのこと</t>
    <rPh sb="3" eb="5">
      <t>ソウトウ</t>
    </rPh>
    <rPh sb="7" eb="9">
      <t>コクサイ</t>
    </rPh>
    <rPh sb="9" eb="11">
      <t>ブンカ</t>
    </rPh>
    <rPh sb="25" eb="26">
      <t>ネン</t>
    </rPh>
    <rPh sb="32" eb="34">
      <t>ガッコウ</t>
    </rPh>
    <rPh sb="34" eb="36">
      <t>スイセン</t>
    </rPh>
    <rPh sb="38" eb="40">
      <t>ニュウガク</t>
    </rPh>
    <rPh sb="40" eb="42">
      <t>ケンテイ</t>
    </rPh>
    <rPh sb="42" eb="43">
      <t>リョウ</t>
    </rPh>
    <rPh sb="44" eb="46">
      <t>ガクヒ</t>
    </rPh>
    <rPh sb="47" eb="48">
      <t>マン</t>
    </rPh>
    <rPh sb="48" eb="49">
      <t>エン</t>
    </rPh>
    <rPh sb="49" eb="51">
      <t>メンジョ</t>
    </rPh>
    <rPh sb="54" eb="56">
      <t>スイセン</t>
    </rPh>
    <rPh sb="56" eb="58">
      <t>キジュン</t>
    </rPh>
    <rPh sb="59" eb="61">
      <t>ホンコウ</t>
    </rPh>
    <rPh sb="62" eb="64">
      <t>スイセン</t>
    </rPh>
    <rPh sb="64" eb="66">
      <t>キジュン</t>
    </rPh>
    <rPh sb="67" eb="68">
      <t>ヨ</t>
    </rPh>
    <rPh sb="72" eb="74">
      <t>ニュウシ</t>
    </rPh>
    <rPh sb="79" eb="81">
      <t>ジュケン</t>
    </rPh>
    <rPh sb="81" eb="83">
      <t>カノウ</t>
    </rPh>
    <rPh sb="87" eb="88">
      <t>ガツ</t>
    </rPh>
    <rPh sb="90" eb="93">
      <t>ニチゲンザイ</t>
    </rPh>
    <rPh sb="95" eb="96">
      <t>ワク</t>
    </rPh>
    <rPh sb="97" eb="99">
      <t>タスウ</t>
    </rPh>
    <phoneticPr fontId="1"/>
  </si>
  <si>
    <t>神戸松蔭大学</t>
    <rPh sb="0" eb="2">
      <t>コウベ</t>
    </rPh>
    <rPh sb="2" eb="6">
      <t>ショウインダイガク</t>
    </rPh>
    <phoneticPr fontId="1"/>
  </si>
  <si>
    <t>理工学部ロボット機械システム工学</t>
    <rPh sb="0" eb="4">
      <t>リコウガクブ</t>
    </rPh>
    <rPh sb="8" eb="10">
      <t>キカイ</t>
    </rPh>
    <rPh sb="14" eb="16">
      <t>コウガク</t>
    </rPh>
    <phoneticPr fontId="1"/>
  </si>
  <si>
    <t>マーケティング学科</t>
    <rPh sb="7" eb="9">
      <t>ガッカ</t>
    </rPh>
    <phoneticPr fontId="1"/>
  </si>
  <si>
    <t>日本語コース</t>
    <phoneticPr fontId="1"/>
  </si>
  <si>
    <t>自動車整備</t>
    <rPh sb="0" eb="3">
      <t>ジドウシャ</t>
    </rPh>
    <rPh sb="3" eb="5">
      <t>セイビ</t>
    </rPh>
    <phoneticPr fontId="1"/>
  </si>
  <si>
    <t>経営</t>
    <rPh sb="0" eb="2">
      <t>ケイエイ</t>
    </rPh>
    <phoneticPr fontId="1"/>
  </si>
  <si>
    <t>経済</t>
    <rPh sb="0" eb="2">
      <t>ケイザイ</t>
    </rPh>
    <phoneticPr fontId="1"/>
  </si>
  <si>
    <t>観光ビジネス</t>
    <phoneticPr fontId="1"/>
  </si>
  <si>
    <t>指定校推薦　観光ビジネス</t>
    <rPh sb="6" eb="8">
      <t>カンコウ</t>
    </rPh>
    <phoneticPr fontId="1"/>
  </si>
  <si>
    <t>情報学科</t>
    <rPh sb="0" eb="2">
      <t>ジョウホウ</t>
    </rPh>
    <rPh sb="2" eb="4">
      <t>ガッカ</t>
    </rPh>
    <phoneticPr fontId="1"/>
  </si>
  <si>
    <t>グローバルビジネスコース、一般</t>
    <rPh sb="13" eb="15">
      <t>イッパン</t>
    </rPh>
    <phoneticPr fontId="1"/>
  </si>
  <si>
    <t>キャリアコミュケーション</t>
    <phoneticPr fontId="1"/>
  </si>
  <si>
    <t>1-9</t>
  </si>
  <si>
    <t>康 力文</t>
    <phoneticPr fontId="1"/>
  </si>
  <si>
    <t>甲陽音楽＆ダンス専門学校</t>
    <rPh sb="0" eb="2">
      <t>コウヨウ</t>
    </rPh>
    <rPh sb="2" eb="4">
      <t>オンガク</t>
    </rPh>
    <rPh sb="8" eb="12">
      <t>センモンガッコウ</t>
    </rPh>
    <phoneticPr fontId="1"/>
  </si>
  <si>
    <t>グローバルコミュニケーション学科、指定校推薦</t>
    <rPh sb="14" eb="16">
      <t>ガッカ</t>
    </rPh>
    <rPh sb="17" eb="20">
      <t>シテイコウ</t>
    </rPh>
    <rPh sb="20" eb="22">
      <t>スイセン</t>
    </rPh>
    <phoneticPr fontId="1"/>
  </si>
  <si>
    <t>特定活動</t>
    <rPh sb="0" eb="2">
      <t>トクテイ</t>
    </rPh>
    <rPh sb="2" eb="4">
      <t>カツドウ</t>
    </rPh>
    <phoneticPr fontId="1"/>
  </si>
  <si>
    <t>愛知工科大学</t>
    <rPh sb="0" eb="2">
      <t>アイチ</t>
    </rPh>
    <rPh sb="2" eb="4">
      <t>コウカ</t>
    </rPh>
    <rPh sb="4" eb="6">
      <t>ダイガク</t>
    </rPh>
    <phoneticPr fontId="1"/>
  </si>
  <si>
    <t>電子ロボット工学科</t>
    <rPh sb="0" eb="2">
      <t>デンシ</t>
    </rPh>
    <rPh sb="6" eb="8">
      <t>コウガク</t>
    </rPh>
    <rPh sb="8" eb="9">
      <t>カ</t>
    </rPh>
    <phoneticPr fontId="1"/>
  </si>
  <si>
    <t>神戸国際大学</t>
    <rPh sb="2" eb="6">
      <t>コクサイダイガク</t>
    </rPh>
    <phoneticPr fontId="1"/>
  </si>
  <si>
    <t>NWAY KHET KHET PAN</t>
    <phoneticPr fontId="1"/>
  </si>
  <si>
    <t>大阪学院大学</t>
    <rPh sb="0" eb="2">
      <t>オオサカ</t>
    </rPh>
    <rPh sb="2" eb="6">
      <t>ガクインダイガク</t>
    </rPh>
    <phoneticPr fontId="1"/>
  </si>
  <si>
    <t>国際学部</t>
    <rPh sb="0" eb="4">
      <t>コクサイガクブ</t>
    </rPh>
    <phoneticPr fontId="1"/>
  </si>
  <si>
    <t>神戸学院大学</t>
    <rPh sb="0" eb="6">
      <t>コウベガクインダイガク</t>
    </rPh>
    <phoneticPr fontId="1"/>
  </si>
  <si>
    <t>建築＆芸術学部</t>
    <rPh sb="0" eb="2">
      <t>ケンチク</t>
    </rPh>
    <rPh sb="3" eb="5">
      <t>ゲイジュツ</t>
    </rPh>
    <rPh sb="5" eb="7">
      <t>ガクブ</t>
    </rPh>
    <phoneticPr fontId="1"/>
  </si>
  <si>
    <t>経済学部</t>
    <rPh sb="0" eb="2">
      <t>ケイザイ</t>
    </rPh>
    <rPh sb="2" eb="4">
      <t>ガクブ</t>
    </rPh>
    <phoneticPr fontId="1"/>
  </si>
  <si>
    <t>入学手続き進行中、内諾済</t>
    <rPh sb="0" eb="4">
      <t>ニュウガクテツヅ</t>
    </rPh>
    <rPh sb="5" eb="8">
      <t>シンコウチュウ</t>
    </rPh>
    <rPh sb="9" eb="12">
      <t>ナイダクズ</t>
    </rPh>
    <phoneticPr fontId="1"/>
  </si>
  <si>
    <t>進学確定</t>
    <rPh sb="0" eb="2">
      <t>シンガク</t>
    </rPh>
    <rPh sb="2" eb="4">
      <t>カクテイ</t>
    </rPh>
    <phoneticPr fontId="1"/>
  </si>
  <si>
    <t>PYAKUREL ANKIT</t>
    <phoneticPr fontId="1"/>
  </si>
  <si>
    <t>東京工科自動車大学校中野校</t>
    <rPh sb="0" eb="7">
      <t>トウキョウコウカジドウシャ</t>
    </rPh>
    <rPh sb="7" eb="10">
      <t>ダイガッコウ</t>
    </rPh>
    <phoneticPr fontId="1"/>
  </si>
  <si>
    <t>自動車整備科、指定校推薦</t>
    <rPh sb="0" eb="3">
      <t>ジドウシャ</t>
    </rPh>
    <rPh sb="3" eb="5">
      <t>セイビ</t>
    </rPh>
    <rPh sb="5" eb="6">
      <t>カ</t>
    </rPh>
    <rPh sb="7" eb="10">
      <t>シテイコウ</t>
    </rPh>
    <rPh sb="10" eb="12">
      <t>スイセン</t>
    </rPh>
    <phoneticPr fontId="1"/>
  </si>
  <si>
    <t>東京工科自動車大学校世田谷校</t>
    <rPh sb="0" eb="7">
      <t>トウキョウコウカジドウシャ</t>
    </rPh>
    <rPh sb="7" eb="10">
      <t>ダイガッコウ</t>
    </rPh>
    <phoneticPr fontId="1"/>
  </si>
  <si>
    <t>大阪学院大学</t>
    <rPh sb="2" eb="4">
      <t>ガクイン</t>
    </rPh>
    <rPh sb="4" eb="6">
      <t>ダイガク</t>
    </rPh>
    <phoneticPr fontId="1"/>
  </si>
  <si>
    <t>CHIT MAUNG MAUNG</t>
  </si>
  <si>
    <t>特定技能試験不合格、特定活動へ変更</t>
    <rPh sb="0" eb="4">
      <t>トクテイギノウ</t>
    </rPh>
    <rPh sb="4" eb="6">
      <t>シケン</t>
    </rPh>
    <rPh sb="6" eb="9">
      <t>フゴウカク</t>
    </rPh>
    <rPh sb="10" eb="12">
      <t>トクテイ</t>
    </rPh>
    <rPh sb="12" eb="14">
      <t>カツドウ</t>
    </rPh>
    <rPh sb="15" eb="17">
      <t>ヘンコウ</t>
    </rPh>
    <phoneticPr fontId="1"/>
  </si>
  <si>
    <t>２回目</t>
    <phoneticPr fontId="1"/>
  </si>
  <si>
    <t>神戸松蔭大学</t>
    <phoneticPr fontId="1"/>
  </si>
  <si>
    <t>(指定校推薦)</t>
    <phoneticPr fontId="1"/>
  </si>
  <si>
    <t>(指定校推薦)グローバルコミュニケーション学科</t>
    <rPh sb="21" eb="23">
      <t>ガッカ</t>
    </rPh>
    <phoneticPr fontId="1"/>
  </si>
  <si>
    <t>現代ビジネス学科、一般</t>
    <rPh sb="0" eb="2">
      <t>ゲンダイ</t>
    </rPh>
    <rPh sb="6" eb="8">
      <t>ガッカ</t>
    </rPh>
    <rPh sb="9" eb="11">
      <t>イッパン</t>
    </rPh>
    <phoneticPr fontId="1"/>
  </si>
  <si>
    <t>4月末時点合格</t>
    <rPh sb="1" eb="2">
      <t>ガツ</t>
    </rPh>
    <rPh sb="3" eb="4">
      <t>ニチ</t>
    </rPh>
    <rPh sb="4" eb="6">
      <t>キコクアリ</t>
    </rPh>
    <phoneticPr fontId="1"/>
  </si>
  <si>
    <t>在留期限５月２０日</t>
    <rPh sb="0" eb="4">
      <t>ザイリュウキゲン</t>
    </rPh>
    <rPh sb="5" eb="6">
      <t>ガツ</t>
    </rPh>
    <rPh sb="8" eb="9">
      <t>ニチ</t>
    </rPh>
    <phoneticPr fontId="1"/>
  </si>
  <si>
    <t>入学取消</t>
  </si>
  <si>
    <t>帰国？</t>
    <rPh sb="0" eb="2">
      <t>キコク</t>
    </rPh>
    <phoneticPr fontId="1"/>
  </si>
  <si>
    <t>5/24期限</t>
    <rPh sb="4" eb="6">
      <t>キゲン</t>
    </rPh>
    <phoneticPr fontId="1"/>
  </si>
  <si>
    <t>5/27期限</t>
    <rPh sb="4" eb="6">
      <t>キゲン</t>
    </rPh>
    <phoneticPr fontId="1"/>
  </si>
  <si>
    <t>5月8日帰国チケット有5/23期限</t>
    <rPh sb="1" eb="2">
      <t>ガツ</t>
    </rPh>
    <rPh sb="3" eb="4">
      <t>ニチ</t>
    </rPh>
    <rPh sb="4" eb="6">
      <t>キコク</t>
    </rPh>
    <rPh sb="10" eb="11">
      <t>アリ</t>
    </rPh>
    <rPh sb="15" eb="17">
      <t>キゲン</t>
    </rPh>
    <phoneticPr fontId="1"/>
  </si>
  <si>
    <t>5/4期限</t>
    <rPh sb="3" eb="5">
      <t>キゲン</t>
    </rPh>
    <phoneticPr fontId="1"/>
  </si>
  <si>
    <t>5/12期限</t>
    <rPh sb="4" eb="6">
      <t>キゲン</t>
    </rPh>
    <phoneticPr fontId="1"/>
  </si>
  <si>
    <t>5/23期限</t>
    <rPh sb="4" eb="6">
      <t>キゲン</t>
    </rPh>
    <phoneticPr fontId="1"/>
  </si>
  <si>
    <t>5/28期限</t>
    <rPh sb="4" eb="6">
      <t>キゲン</t>
    </rPh>
    <phoneticPr fontId="1"/>
  </si>
  <si>
    <t>5/9期限</t>
    <rPh sb="3" eb="5">
      <t>キゲン</t>
    </rPh>
    <phoneticPr fontId="1"/>
  </si>
  <si>
    <t>5/15期限</t>
    <rPh sb="4" eb="6">
      <t>キゲン</t>
    </rPh>
    <phoneticPr fontId="1"/>
  </si>
  <si>
    <t>4月28日帰国チケット有5/4期限</t>
    <rPh sb="1" eb="2">
      <t>ガツ</t>
    </rPh>
    <rPh sb="4" eb="5">
      <t>ニチ</t>
    </rPh>
    <rPh sb="5" eb="7">
      <t>キコク</t>
    </rPh>
    <rPh sb="11" eb="12">
      <t>アリ</t>
    </rPh>
    <rPh sb="15" eb="17">
      <t>キゲン</t>
    </rPh>
    <phoneticPr fontId="1"/>
  </si>
  <si>
    <t>5/3期限</t>
    <rPh sb="3" eb="5">
      <t>キゲン</t>
    </rPh>
    <phoneticPr fontId="1"/>
  </si>
  <si>
    <t>5/2期限</t>
    <rPh sb="3" eb="5">
      <t>キゲン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</si>
</sst>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yyyy&quot;年&quot;m&quot;月&quot;;@"/>
    <numFmt numFmtId="178" formatCode="0.0%"/>
    <numFmt numFmtId="179" formatCode="m&quot;月&quot;d&quot;日&quot;;@"/>
  </numFmts>
  <fonts count="7" x14ac:knownFonts="1">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0"/>
      <color theme="1"/>
      <name val="ＭＳ Ｐゴシック"/>
      <family val="2"/>
      <charset val="128"/>
      <scheme val="minor"/>
    </font>
    <font>
      <sz val="30"/>
      <color theme="1"/>
      <name val="ＭＳ Ｐゴシック"/>
      <family val="2"/>
      <charset val="128"/>
      <scheme val="minor"/>
    </font>
    <font>
      <sz val="11"/>
      <color theme="1"/>
      <name val="ＭＳ Ｐゴシック"/>
      <family val="3"/>
      <charset val="128"/>
      <scheme val="minor"/>
    </font>
    <font>
      <sz val="11"/>
      <color theme="0"/>
      <name val="ＭＳ Ｐゴシック"/>
      <family val="2"/>
      <charset val="128"/>
      <scheme val="minor"/>
    </font>
  </fonts>
  <fills count="7">
    <fill>
      <patternFill patternType="none"/>
    </fill>
    <fill>
      <patternFill patternType="gray125"/>
    </fill>
    <fill>
      <patternFill patternType="solid">
        <fgColor rgb="FFFFC000"/>
        <bgColor indexed="64"/>
      </patternFill>
    </fill>
    <fill>
      <patternFill patternType="solid">
        <fgColor theme="0" tint="-0.499984740745262"/>
        <bgColor indexed="64"/>
      </patternFill>
    </fill>
    <fill>
      <patternFill patternType="solid">
        <fgColor theme="4"/>
        <bgColor indexed="64"/>
      </patternFill>
    </fill>
    <fill>
      <patternFill patternType="solid">
        <fgColor rgb="FF92D050"/>
        <bgColor indexed="64"/>
      </patternFill>
    </fill>
    <fill>
      <patternFill patternType="solid">
        <fgColor rgb="FF00B050"/>
        <bgColor indexed="64"/>
      </patternFill>
    </fill>
  </fills>
  <borders count="18">
    <border>
      <left/>
      <right/>
      <top/>
      <bottom/>
      <diagonal/>
    </border>
    <border>
      <left style="thin">
        <color indexed="64"/>
      </left>
      <right/>
      <top/>
      <bottom/>
      <diagonal/>
    </border>
    <border>
      <left/>
      <right style="thin">
        <color auto="1"/>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51">
    <xf numFmtId="0" fontId="0" fillId="0" borderId="0" xfId="0">
      <alignment vertical="center"/>
    </xf>
    <xf numFmtId="55" fontId="0" fillId="0" borderId="0" xfId="0" applyNumberFormat="1">
      <alignment vertical="center"/>
    </xf>
    <xf numFmtId="176" fontId="0" fillId="0" borderId="0" xfId="0" applyNumberFormat="1">
      <alignment vertical="center"/>
    </xf>
    <xf numFmtId="0" fontId="0" fillId="0" borderId="0" xfId="0" applyAlignment="1">
      <alignment horizontal="left" vertical="center"/>
    </xf>
    <xf numFmtId="0" fontId="0" fillId="0" borderId="0" xfId="0" pivotButton="1" applyAlignment="1">
      <alignment vertical="center" textRotation="255"/>
    </xf>
    <xf numFmtId="0" fontId="0" fillId="0" borderId="0" xfId="0" applyAlignment="1">
      <alignment vertical="center" textRotation="255"/>
    </xf>
    <xf numFmtId="0" fontId="0" fillId="0" borderId="2" xfId="0" applyBorder="1" applyAlignment="1">
      <alignment vertical="center" textRotation="255"/>
    </xf>
    <xf numFmtId="0" fontId="0" fillId="0" borderId="1" xfId="0" applyBorder="1" applyAlignment="1">
      <alignment vertical="center" textRotation="255"/>
    </xf>
    <xf numFmtId="0" fontId="3" fillId="0" borderId="0" xfId="0" applyFont="1">
      <alignment vertical="center"/>
    </xf>
    <xf numFmtId="14" fontId="0" fillId="0" borderId="0" xfId="0" applyNumberFormat="1">
      <alignment vertical="center"/>
    </xf>
    <xf numFmtId="56" fontId="0" fillId="0" borderId="0" xfId="0" applyNumberFormat="1">
      <alignment vertical="center"/>
    </xf>
    <xf numFmtId="179" fontId="0" fillId="0" borderId="0" xfId="0" applyNumberFormat="1">
      <alignment vertical="center"/>
    </xf>
    <xf numFmtId="0" fontId="0" fillId="0" borderId="0" xfId="0" pivotButton="1">
      <alignment vertical="center"/>
    </xf>
    <xf numFmtId="0" fontId="0" fillId="0" borderId="4" xfId="0" applyBorder="1">
      <alignment vertical="center"/>
    </xf>
    <xf numFmtId="0" fontId="0" fillId="0" borderId="7" xfId="0" applyBorder="1">
      <alignment vertical="center"/>
    </xf>
    <xf numFmtId="0" fontId="0" fillId="0" borderId="9" xfId="0" applyBorder="1">
      <alignment vertical="center"/>
    </xf>
    <xf numFmtId="0" fontId="0" fillId="0" borderId="10" xfId="0" applyBorder="1">
      <alignment vertical="center"/>
    </xf>
    <xf numFmtId="178" fontId="0" fillId="0" borderId="10" xfId="0" applyNumberFormat="1" applyBorder="1">
      <alignment vertical="center"/>
    </xf>
    <xf numFmtId="0" fontId="0" fillId="0" borderId="0" xfId="0" quotePrefix="1">
      <alignment vertical="center"/>
    </xf>
    <xf numFmtId="0" fontId="4" fillId="0" borderId="0" xfId="0" applyFont="1">
      <alignment vertical="center"/>
    </xf>
    <xf numFmtId="0" fontId="4" fillId="0" borderId="0" xfId="0" applyFont="1" applyAlignment="1">
      <alignment vertical="center" shrinkToFit="1"/>
    </xf>
    <xf numFmtId="0" fontId="5" fillId="0" borderId="0" xfId="0" applyFont="1" applyAlignment="1">
      <alignment horizontal="left" vertical="center"/>
    </xf>
    <xf numFmtId="0" fontId="0" fillId="0" borderId="12" xfId="0" pivotButton="1" applyBorder="1">
      <alignmen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2" xfId="0" applyBorder="1" applyAlignment="1">
      <alignment horizontal="left" vertical="center"/>
    </xf>
    <xf numFmtId="0" fontId="0" fillId="0" borderId="16" xfId="0" applyBorder="1">
      <alignment vertical="center"/>
    </xf>
    <xf numFmtId="0" fontId="0" fillId="0" borderId="17" xfId="0" applyBorder="1">
      <alignment vertical="center"/>
    </xf>
    <xf numFmtId="0" fontId="0" fillId="0" borderId="12" xfId="0" applyBorder="1">
      <alignment vertical="center"/>
    </xf>
    <xf numFmtId="178" fontId="0" fillId="0" borderId="1" xfId="0" applyNumberFormat="1" applyBorder="1">
      <alignment vertical="center"/>
    </xf>
    <xf numFmtId="0" fontId="0" fillId="3" borderId="0" xfId="0" applyFill="1" applyAlignment="1">
      <alignment horizontal="left" vertical="center"/>
    </xf>
    <xf numFmtId="177" fontId="0" fillId="2" borderId="0" xfId="0" applyNumberFormat="1" applyFill="1" applyAlignment="1">
      <alignment horizontal="left" vertical="center"/>
    </xf>
    <xf numFmtId="0" fontId="0" fillId="3" borderId="3" xfId="0" applyFill="1" applyBorder="1" applyAlignment="1">
      <alignment horizontal="left" vertical="center"/>
    </xf>
    <xf numFmtId="0" fontId="0" fillId="0" borderId="0" xfId="0" applyAlignment="1">
      <alignment vertical="center" wrapText="1"/>
    </xf>
    <xf numFmtId="0" fontId="0" fillId="4" borderId="0" xfId="0" applyFill="1">
      <alignment vertical="center"/>
    </xf>
    <xf numFmtId="0" fontId="0" fillId="0" borderId="0" xfId="0" applyAlignment="1">
      <alignment vertical="center" shrinkToFit="1"/>
    </xf>
    <xf numFmtId="0" fontId="0" fillId="3" borderId="0" xfId="0" applyFill="1">
      <alignment vertical="center"/>
    </xf>
    <xf numFmtId="178" fontId="6" fillId="0" borderId="0" xfId="0" applyNumberFormat="1" applyFont="1">
      <alignment vertical="center"/>
    </xf>
    <xf numFmtId="0" fontId="0" fillId="0" borderId="15" xfId="0" applyBorder="1" applyAlignment="1">
      <alignment horizontal="right" vertical="center"/>
    </xf>
    <xf numFmtId="0" fontId="0" fillId="2" borderId="0" xfId="0" applyFill="1" applyAlignment="1">
      <alignment horizontal="left" vertical="center"/>
    </xf>
    <xf numFmtId="0" fontId="0" fillId="0" borderId="0" xfId="0" applyAlignment="1">
      <alignment horizontal="left" vertical="top" wrapText="1"/>
    </xf>
    <xf numFmtId="0" fontId="3" fillId="0" borderId="0" xfId="0" applyFont="1" applyAlignment="1">
      <alignment vertical="center" wrapText="1"/>
    </xf>
    <xf numFmtId="0" fontId="0" fillId="5" borderId="0" xfId="0" applyFill="1" applyAlignment="1">
      <alignment horizontal="left" vertical="center"/>
    </xf>
    <xf numFmtId="0" fontId="0" fillId="0" borderId="5" xfId="0" applyBorder="1">
      <alignment vertical="center"/>
    </xf>
    <xf numFmtId="0" fontId="0" fillId="0" borderId="6" xfId="0" applyBorder="1">
      <alignment vertical="center"/>
    </xf>
    <xf numFmtId="0" fontId="0" fillId="0" borderId="8" xfId="0" applyBorder="1">
      <alignment vertical="center"/>
    </xf>
    <xf numFmtId="0" fontId="0" fillId="0" borderId="11" xfId="0" applyBorder="1">
      <alignment vertical="center"/>
    </xf>
    <xf numFmtId="0" fontId="0" fillId="0" borderId="2" xfId="0" applyBorder="1">
      <alignment vertical="center"/>
    </xf>
    <xf numFmtId="0" fontId="5" fillId="0" borderId="0" xfId="0" applyFont="1">
      <alignment vertical="center"/>
    </xf>
    <xf numFmtId="0" fontId="0" fillId="6" borderId="0" xfId="0" applyFill="1" applyAlignment="1">
      <alignment horizontal="left" vertical="center"/>
    </xf>
    <xf numFmtId="0" fontId="0" fillId="2" borderId="0" xfId="0" applyFill="1" applyAlignment="1">
      <alignment horizontal="center" vertical="center"/>
    </xf>
  </cellXfs>
  <cellStyles count="1">
    <cellStyle name="標準" xfId="0" builtinId="0"/>
  </cellStyles>
  <dxfs count="52">
    <dxf>
      <font>
        <color theme="0"/>
      </font>
    </dxf>
    <dxf>
      <font>
        <color theme="0"/>
      </font>
    </dxf>
    <dxf>
      <font>
        <color theme="0"/>
      </font>
    </dxf>
    <dxf>
      <font>
        <color theme="1"/>
      </font>
      <border>
        <top/>
        <bottom style="hair">
          <color auto="1"/>
        </bottom>
      </border>
    </dxf>
    <dxf>
      <font>
        <color auto="1"/>
      </font>
      <border>
        <bottom/>
      </border>
    </dxf>
    <dxf>
      <font>
        <color theme="0"/>
      </font>
    </dxf>
    <dxf>
      <font>
        <color theme="0"/>
      </font>
    </dxf>
    <dxf>
      <numFmt numFmtId="19" formatCode="yyyy/m/d"/>
    </dxf>
    <dxf>
      <alignment horizontal="general" vertical="center" textRotation="0" wrapText="1" indent="0" justifyLastLine="0" shrinkToFit="0" readingOrder="0"/>
    </dxf>
    <dxf>
      <border>
        <vertical style="thin">
          <color auto="1"/>
        </vertical>
      </border>
    </dxf>
    <dxf>
      <border>
        <vertical style="thin">
          <color auto="1"/>
        </vertical>
      </border>
    </dxf>
    <dxf>
      <alignment textRotation="255"/>
    </dxf>
    <dxf>
      <numFmt numFmtId="178" formatCode="0.0%"/>
    </dxf>
    <dxf>
      <alignment textRotation="255"/>
    </dxf>
    <dxf>
      <alignment textRotation="255"/>
    </dxf>
    <dxf>
      <alignment textRotation="255"/>
    </dxf>
    <dxf>
      <alignment textRotation="255"/>
    </dxf>
    <dxf>
      <alignment textRotation="255"/>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horizontal="righ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fill>
        <patternFill patternType="solid">
          <fgColor indexed="64"/>
          <bgColor theme="0" tint="-0.499984740745262"/>
        </patternFill>
      </fill>
    </dxf>
    <dxf>
      <numFmt numFmtId="0" formatCode="General"/>
    </dxf>
    <dxf>
      <numFmt numFmtId="179" formatCode="m&quot;月&quot;d&quot;日&quot;;@"/>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177" formatCode="yyyy&quot;年&quot;m&quot;月&quot;;@"/>
      <fill>
        <patternFill patternType="solid">
          <fgColor indexed="64"/>
          <bgColor rgb="FFFFC000"/>
        </patternFill>
      </fill>
      <alignment horizontal="left" vertical="center" textRotation="0" wrapText="0" indent="0" justifyLastLine="0" shrinkToFit="0" readingOrder="0"/>
    </dxf>
    <dxf>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numFmt numFmtId="0" formatCode="General"/>
      <fill>
        <patternFill patternType="solid">
          <fgColor indexed="64"/>
          <bgColor theme="0" tint="-0.499984740745262"/>
        </patternFill>
      </fill>
      <alignment horizontal="left" vertical="center" textRotation="0" wrapText="0" indent="0" justifyLastLine="0" shrinkToFit="0" readingOrder="0"/>
    </dxf>
    <dxf>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ＭＳ Ｐゴシック"/>
        <family val="2"/>
        <charset val="128"/>
        <scheme val="minor"/>
      </font>
      <numFmt numFmtId="0" formatCode="General"/>
      <fill>
        <patternFill patternType="solid">
          <fgColor indexed="64"/>
          <bgColor theme="0" tint="-0.49998474074526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fill>
        <patternFill patternType="solid">
          <fgColor indexed="64"/>
          <bgColor theme="0" tint="-0.499984740745262"/>
        </patternFill>
      </fill>
      <alignment horizontal="left" vertical="center" textRotation="0" wrapText="0" indent="0" justifyLastLine="0" shrinkToFit="0" readingOrder="0"/>
      <border diagonalUp="0" diagonalDown="0" outline="0">
        <left/>
        <right/>
        <top style="thin">
          <color theme="4"/>
        </top>
        <bottom/>
      </border>
    </dxf>
    <dxf>
      <border outline="0">
        <top style="thin">
          <color theme="4"/>
        </top>
        <bottom style="thin">
          <color theme="4"/>
        </bottom>
      </border>
    </dxf>
    <dxf>
      <font>
        <b val="0"/>
        <i val="0"/>
        <strike val="0"/>
        <condense val="0"/>
        <extend val="0"/>
        <outline val="0"/>
        <shadow val="0"/>
        <u val="none"/>
        <vertAlign val="baseline"/>
        <sz val="11"/>
        <color theme="1"/>
        <name val="ＭＳ Ｐゴシック"/>
        <family val="2"/>
        <charset val="128"/>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ＭＳ Ｐゴシック"/>
        <family val="2"/>
        <charset val="128"/>
        <scheme val="minor"/>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推移目標</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0"/>
          <c:order val="0"/>
          <c:tx>
            <c:v>目標</c:v>
          </c:tx>
          <c:spPr>
            <a:ln w="28575" cap="rnd">
              <a:solidFill>
                <a:schemeClr val="accent1"/>
              </a:solidFill>
              <a:miter lim="800000"/>
              <a:headEnd type="none"/>
              <a:tailEnd type="none"/>
            </a:ln>
            <a:effectLst/>
          </c:spPr>
          <c:marker>
            <c:symbol val="diamond"/>
            <c:size val="7"/>
            <c:spPr>
              <a:solidFill>
                <a:schemeClr val="accent1"/>
              </a:solidFill>
              <a:ln w="9525">
                <a:solidFill>
                  <a:schemeClr val="accent1"/>
                </a:solidFill>
                <a:headEnd type="oval"/>
                <a:tailEnd type="oval"/>
              </a:ln>
              <a:effectLst/>
            </c:spPr>
          </c:marker>
          <c:dLbls>
            <c:dLbl>
              <c:idx val="4"/>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D8CA-41BE-AAF3-868779E07E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分析!$L$16:$P$16</c:f>
              <c:strCache>
                <c:ptCount val="5"/>
                <c:pt idx="0">
                  <c:v>11月末</c:v>
                </c:pt>
                <c:pt idx="1">
                  <c:v>12月末</c:v>
                </c:pt>
                <c:pt idx="2">
                  <c:v>1月末</c:v>
                </c:pt>
                <c:pt idx="3">
                  <c:v>2月末</c:v>
                </c:pt>
                <c:pt idx="4">
                  <c:v>3月末</c:v>
                </c:pt>
              </c:strCache>
            </c:strRef>
          </c:cat>
          <c:val>
            <c:numRef>
              <c:f>分析!$L$17:$P$17</c:f>
              <c:numCache>
                <c:formatCode>0.0%</c:formatCode>
                <c:ptCount val="5"/>
                <c:pt idx="0">
                  <c:v>0.65296803652968038</c:v>
                </c:pt>
                <c:pt idx="1">
                  <c:v>0.91324200913242004</c:v>
                </c:pt>
                <c:pt idx="2">
                  <c:v>0.97716894977168944</c:v>
                </c:pt>
                <c:pt idx="3">
                  <c:v>1</c:v>
                </c:pt>
                <c:pt idx="4">
                  <c:v>1</c:v>
                </c:pt>
              </c:numCache>
            </c:numRef>
          </c:val>
          <c:smooth val="0"/>
          <c:extLst>
            <c:ext xmlns:c16="http://schemas.microsoft.com/office/drawing/2014/chart" uri="{C3380CC4-5D6E-409C-BE32-E72D297353CC}">
              <c16:uniqueId val="{00000000-8758-4A13-B8A6-F8B7460D335F}"/>
            </c:ext>
          </c:extLst>
        </c:ser>
        <c:ser>
          <c:idx val="1"/>
          <c:order val="1"/>
          <c:tx>
            <c:v>現状</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8CA-41BE-AAF3-868779E07E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分析!$E$17</c:f>
              <c:numCache>
                <c:formatCode>0.0%</c:formatCode>
                <c:ptCount val="1"/>
                <c:pt idx="0">
                  <c:v>1</c:v>
                </c:pt>
              </c:numCache>
            </c:numRef>
          </c:val>
          <c:smooth val="0"/>
          <c:extLst>
            <c:ext xmlns:c16="http://schemas.microsoft.com/office/drawing/2014/chart" uri="{C3380CC4-5D6E-409C-BE32-E72D297353CC}">
              <c16:uniqueId val="{00000000-D8CA-41BE-AAF3-868779E07E0C}"/>
            </c:ext>
          </c:extLst>
        </c:ser>
        <c:dLbls>
          <c:showLegendKey val="0"/>
          <c:showVal val="0"/>
          <c:showCatName val="0"/>
          <c:showSerName val="0"/>
          <c:showPercent val="0"/>
          <c:showBubbleSize val="0"/>
        </c:dLbls>
        <c:marker val="1"/>
        <c:smooth val="0"/>
        <c:axId val="1122824239"/>
        <c:axId val="1122830959"/>
      </c:lineChart>
      <c:catAx>
        <c:axId val="112282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22830959"/>
        <c:crosses val="autoZero"/>
        <c:auto val="1"/>
        <c:lblAlgn val="ctr"/>
        <c:lblOffset val="100"/>
        <c:noMultiLvlLbl val="0"/>
      </c:catAx>
      <c:valAx>
        <c:axId val="1122830959"/>
        <c:scaling>
          <c:orientation val="minMax"/>
          <c:max val="1.01"/>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進路確定者の割合</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22824239"/>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jpeg"/><Relationship Id="rId1" Type="http://schemas.openxmlformats.org/officeDocument/2006/relationships/image" Target="../media/image5.jpeg"/><Relationship Id="rId5" Type="http://schemas.openxmlformats.org/officeDocument/2006/relationships/image" Target="../media/image9.emf"/><Relationship Id="rId4"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523875</xdr:colOff>
      <xdr:row>5</xdr:row>
      <xdr:rowOff>19049</xdr:rowOff>
    </xdr:from>
    <xdr:to>
      <xdr:col>3</xdr:col>
      <xdr:colOff>3495675</xdr:colOff>
      <xdr:row>5</xdr:row>
      <xdr:rowOff>1057275</xdr:rowOff>
    </xdr:to>
    <xdr:sp macro="" textlink="">
      <xdr:nvSpPr>
        <xdr:cNvPr id="2" name="テキスト ボックス 1">
          <a:extLst>
            <a:ext uri="{FF2B5EF4-FFF2-40B4-BE49-F238E27FC236}">
              <a16:creationId xmlns:a16="http://schemas.microsoft.com/office/drawing/2014/main" id="{0900B01B-7030-B93D-5D41-32D35A5E386F}"/>
            </a:ext>
          </a:extLst>
        </xdr:cNvPr>
        <xdr:cNvSpPr txBox="1"/>
      </xdr:nvSpPr>
      <xdr:spPr>
        <a:xfrm>
          <a:off x="4600575" y="19049"/>
          <a:ext cx="2971800" cy="103822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①複数受験の場合は複数行にしてください。</a:t>
          </a:r>
          <a:br>
            <a:rPr kumimoji="1" lang="en-US" altLang="ja-JP" sz="1100"/>
          </a:br>
          <a:r>
            <a:rPr kumimoji="1" lang="ja-JP" altLang="en-US" sz="1100"/>
            <a:t>②学校名は正式名称で書いてください。</a:t>
          </a:r>
          <a:br>
            <a:rPr kumimoji="1" lang="en-US" altLang="ja-JP" sz="1100"/>
          </a:br>
          <a:r>
            <a:rPr kumimoji="1" lang="ja-JP" altLang="en-US" sz="1100"/>
            <a:t>（合格者掲示にそのまま反映されるため）</a:t>
          </a:r>
          <a:br>
            <a:rPr kumimoji="1" lang="en-US" altLang="ja-JP" sz="1100"/>
          </a:br>
          <a:r>
            <a:rPr kumimoji="1" lang="ja-JP" altLang="en-US" sz="1100"/>
            <a:t>③学校名以外の情報は</a:t>
          </a:r>
          <a:r>
            <a:rPr kumimoji="1" lang="en-US" altLang="ja-JP" sz="1100"/>
            <a:t>E</a:t>
          </a:r>
          <a:r>
            <a:rPr kumimoji="1" lang="ja-JP" altLang="en-US" sz="1100"/>
            <a:t>～</a:t>
          </a:r>
          <a:r>
            <a:rPr kumimoji="1" lang="en-US" altLang="ja-JP" sz="1100"/>
            <a:t>I</a:t>
          </a:r>
          <a:r>
            <a:rPr kumimoji="1" lang="ja-JP" altLang="en-US" sz="1100"/>
            <a:t>列に書いてください。</a:t>
          </a:r>
          <a:endParaRPr kumimoji="1" lang="en-US" altLang="ja-JP" sz="1100"/>
        </a:p>
        <a:p>
          <a:r>
            <a:rPr kumimoji="1" lang="ja-JP" altLang="en-US" sz="1100"/>
            <a:t>④進学以外の場合は空欄にしてください</a:t>
          </a:r>
        </a:p>
      </xdr:txBody>
    </xdr:sp>
    <xdr:clientData/>
  </xdr:twoCellAnchor>
  <xdr:twoCellAnchor>
    <xdr:from>
      <xdr:col>9</xdr:col>
      <xdr:colOff>209550</xdr:colOff>
      <xdr:row>5</xdr:row>
      <xdr:rowOff>142875</xdr:rowOff>
    </xdr:from>
    <xdr:to>
      <xdr:col>16</xdr:col>
      <xdr:colOff>333375</xdr:colOff>
      <xdr:row>5</xdr:row>
      <xdr:rowOff>447675</xdr:rowOff>
    </xdr:to>
    <xdr:sp macro="" textlink="">
      <xdr:nvSpPr>
        <xdr:cNvPr id="3" name="テキスト ボックス 2">
          <a:extLst>
            <a:ext uri="{FF2B5EF4-FFF2-40B4-BE49-F238E27FC236}">
              <a16:creationId xmlns:a16="http://schemas.microsoft.com/office/drawing/2014/main" id="{F4FDEB0B-C2FE-8A26-5A56-3B3FACB5C8E8}"/>
            </a:ext>
          </a:extLst>
        </xdr:cNvPr>
        <xdr:cNvSpPr txBox="1"/>
      </xdr:nvSpPr>
      <xdr:spPr>
        <a:xfrm>
          <a:off x="13620750" y="142875"/>
          <a:ext cx="5238750" cy="3048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J</a:t>
          </a:r>
          <a:r>
            <a:rPr kumimoji="1" lang="ja-JP" altLang="en-US" sz="1100"/>
            <a:t>列：合格校が複数の場合は、実際に入る予定の学校にだけ「○」をつける。</a:t>
          </a:r>
        </a:p>
      </xdr:txBody>
    </xdr:sp>
    <xdr:clientData/>
  </xdr:twoCellAnchor>
  <xdr:twoCellAnchor>
    <xdr:from>
      <xdr:col>11</xdr:col>
      <xdr:colOff>38100</xdr:colOff>
      <xdr:row>2</xdr:row>
      <xdr:rowOff>66675</xdr:rowOff>
    </xdr:from>
    <xdr:to>
      <xdr:col>17</xdr:col>
      <xdr:colOff>161925</xdr:colOff>
      <xdr:row>5</xdr:row>
      <xdr:rowOff>28575</xdr:rowOff>
    </xdr:to>
    <xdr:sp macro="" textlink="">
      <xdr:nvSpPr>
        <xdr:cNvPr id="4" name="テキスト ボックス 3">
          <a:extLst>
            <a:ext uri="{FF2B5EF4-FFF2-40B4-BE49-F238E27FC236}">
              <a16:creationId xmlns:a16="http://schemas.microsoft.com/office/drawing/2014/main" id="{DB77A6ED-46B8-4DD2-9C6E-63457EDA66C1}"/>
            </a:ext>
          </a:extLst>
        </xdr:cNvPr>
        <xdr:cNvSpPr txBox="1"/>
      </xdr:nvSpPr>
      <xdr:spPr>
        <a:xfrm>
          <a:off x="13525500" y="409575"/>
          <a:ext cx="4752975" cy="3048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L</a:t>
          </a:r>
          <a:r>
            <a:rPr kumimoji="1" lang="ja-JP" altLang="en-US" sz="1100"/>
            <a:t>列：入力不要。合格している学生を非表示にしたい場合にフィルター利用。</a:t>
          </a:r>
        </a:p>
      </xdr:txBody>
    </xdr:sp>
    <xdr:clientData/>
  </xdr:twoCellAnchor>
  <mc:AlternateContent xmlns:mc="http://schemas.openxmlformats.org/markup-compatibility/2006">
    <mc:Choice xmlns:a14="http://schemas.microsoft.com/office/drawing/2010/main" Requires="a14">
      <xdr:twoCellAnchor editAs="oneCell">
        <xdr:from>
          <xdr:col>2</xdr:col>
          <xdr:colOff>1952624</xdr:colOff>
          <xdr:row>0</xdr:row>
          <xdr:rowOff>16565</xdr:rowOff>
        </xdr:from>
        <xdr:to>
          <xdr:col>7</xdr:col>
          <xdr:colOff>340227</xdr:colOff>
          <xdr:row>5</xdr:row>
          <xdr:rowOff>49373</xdr:rowOff>
        </xdr:to>
        <xdr:pic>
          <xdr:nvPicPr>
            <xdr:cNvPr id="6" name="図 5">
              <a:extLst>
                <a:ext uri="{FF2B5EF4-FFF2-40B4-BE49-F238E27FC236}">
                  <a16:creationId xmlns:a16="http://schemas.microsoft.com/office/drawing/2014/main" id="{9ADD3E8B-AC2D-4EFD-94F7-009F95432600}"/>
                </a:ext>
              </a:extLst>
            </xdr:cNvPr>
            <xdr:cNvPicPr>
              <a:picLocks noChangeAspect="1" noChangeArrowheads="1"/>
              <a:extLst>
                <a:ext uri="{84589F7E-364E-4C9E-8A38-B11213B215E9}">
                  <a14:cameraTool cellRange="上部データ更新用!$A$2:$P$6" spid="_x0000_s119358"/>
                </a:ext>
              </a:extLst>
            </xdr:cNvPicPr>
          </xdr:nvPicPr>
          <xdr:blipFill>
            <a:blip xmlns:r="http://schemas.openxmlformats.org/officeDocument/2006/relationships" r:embed="rId1"/>
            <a:srcRect/>
            <a:stretch>
              <a:fillRect/>
            </a:stretch>
          </xdr:blipFill>
          <xdr:spPr bwMode="auto">
            <a:xfrm>
              <a:off x="3262312" y="16565"/>
              <a:ext cx="7793540" cy="86624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944217</xdr:colOff>
          <xdr:row>0</xdr:row>
          <xdr:rowOff>16565</xdr:rowOff>
        </xdr:from>
        <xdr:to>
          <xdr:col>7</xdr:col>
          <xdr:colOff>476249</xdr:colOff>
          <xdr:row>4</xdr:row>
          <xdr:rowOff>213415</xdr:rowOff>
        </xdr:to>
        <xdr:pic>
          <xdr:nvPicPr>
            <xdr:cNvPr id="5" name="図 4">
              <a:extLst>
                <a:ext uri="{FF2B5EF4-FFF2-40B4-BE49-F238E27FC236}">
                  <a16:creationId xmlns:a16="http://schemas.microsoft.com/office/drawing/2014/main" id="{4DFFFF74-5B79-4D06-8EBD-C1D0024F22BA}"/>
                </a:ext>
              </a:extLst>
            </xdr:cNvPr>
            <xdr:cNvPicPr>
              <a:picLocks noChangeAspect="1" noChangeArrowheads="1"/>
              <a:extLst>
                <a:ext uri="{84589F7E-364E-4C9E-8A38-B11213B215E9}">
                  <a14:cameraTool cellRange="上部データ更新用!$A$2:$P$6" spid="_x0000_s173068"/>
                </a:ext>
              </a:extLst>
            </xdr:cNvPicPr>
          </xdr:nvPicPr>
          <xdr:blipFill>
            <a:blip xmlns:r="http://schemas.openxmlformats.org/officeDocument/2006/relationships" r:embed="rId1"/>
            <a:srcRect/>
            <a:stretch>
              <a:fillRect/>
            </a:stretch>
          </xdr:blipFill>
          <xdr:spPr bwMode="auto">
            <a:xfrm>
              <a:off x="2249142" y="16565"/>
              <a:ext cx="8933207" cy="8826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9</xdr:col>
      <xdr:colOff>0</xdr:colOff>
      <xdr:row>0</xdr:row>
      <xdr:rowOff>0</xdr:rowOff>
    </xdr:from>
    <xdr:to>
      <xdr:col>16</xdr:col>
      <xdr:colOff>133350</xdr:colOff>
      <xdr:row>4</xdr:row>
      <xdr:rowOff>161925</xdr:rowOff>
    </xdr:to>
    <xdr:sp macro="" textlink="">
      <xdr:nvSpPr>
        <xdr:cNvPr id="2" name="テキスト ボックス 1">
          <a:extLst>
            <a:ext uri="{FF2B5EF4-FFF2-40B4-BE49-F238E27FC236}">
              <a16:creationId xmlns:a16="http://schemas.microsoft.com/office/drawing/2014/main" id="{1B0A06A6-0910-4781-5D7C-912C3B35D63C}"/>
            </a:ext>
          </a:extLst>
        </xdr:cNvPr>
        <xdr:cNvSpPr txBox="1"/>
      </xdr:nvSpPr>
      <xdr:spPr>
        <a:xfrm>
          <a:off x="8496300" y="0"/>
          <a:ext cx="2790825" cy="8763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進学希望者について、想定される合格時期を入力してください。</a:t>
          </a:r>
          <a:endParaRPr kumimoji="1" lang="en-US" altLang="ja-JP" sz="1100"/>
        </a:p>
        <a:p>
          <a:r>
            <a:rPr kumimoji="1" lang="en-US" altLang="ja-JP" sz="1100"/>
            <a:t>       </a:t>
          </a:r>
          <a:r>
            <a:rPr kumimoji="1" lang="ja-JP" altLang="en-US" sz="1100"/>
            <a:t>進学希望じゃない学生は空欄にしてください。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57150</xdr:colOff>
      <xdr:row>0</xdr:row>
      <xdr:rowOff>47626</xdr:rowOff>
    </xdr:from>
    <xdr:to>
      <xdr:col>15</xdr:col>
      <xdr:colOff>600075</xdr:colOff>
      <xdr:row>14</xdr:row>
      <xdr:rowOff>38100</xdr:rowOff>
    </xdr:to>
    <xdr:graphicFrame macro="">
      <xdr:nvGraphicFramePr>
        <xdr:cNvPr id="4" name="グラフ 3">
          <a:extLst>
            <a:ext uri="{FF2B5EF4-FFF2-40B4-BE49-F238E27FC236}">
              <a16:creationId xmlns:a16="http://schemas.microsoft.com/office/drawing/2014/main" id="{6AB305F3-910A-BAD4-BDD9-32A6954C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0</xdr:colOff>
      <xdr:row>16</xdr:row>
      <xdr:rowOff>466724</xdr:rowOff>
    </xdr:to>
    <xdr:grpSp>
      <xdr:nvGrpSpPr>
        <xdr:cNvPr id="9" name="グループ化 8">
          <a:extLst>
            <a:ext uri="{FF2B5EF4-FFF2-40B4-BE49-F238E27FC236}">
              <a16:creationId xmlns:a16="http://schemas.microsoft.com/office/drawing/2014/main" id="{52478097-5A27-0402-4DED-1BA31200384D}"/>
            </a:ext>
          </a:extLst>
        </xdr:cNvPr>
        <xdr:cNvGrpSpPr/>
      </xdr:nvGrpSpPr>
      <xdr:grpSpPr>
        <a:xfrm>
          <a:off x="0" y="0"/>
          <a:ext cx="10972800" cy="7934324"/>
          <a:chOff x="0" y="0"/>
          <a:chExt cx="10972800" cy="7934324"/>
        </a:xfrm>
      </xdr:grpSpPr>
      <xdr:pic>
        <xdr:nvPicPr>
          <xdr:cNvPr id="2" name="図 1">
            <a:extLst>
              <a:ext uri="{FF2B5EF4-FFF2-40B4-BE49-F238E27FC236}">
                <a16:creationId xmlns:a16="http://schemas.microsoft.com/office/drawing/2014/main" id="{1C2C220D-9CB3-4E73-C11D-2B6C9BF5AE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3" name="図 2" descr="合格おめでとう」の写真素材 | 2,188件の無料イラスト画像 | Adobe Stock">
            <a:extLst>
              <a:ext uri="{FF2B5EF4-FFF2-40B4-BE49-F238E27FC236}">
                <a16:creationId xmlns:a16="http://schemas.microsoft.com/office/drawing/2014/main" id="{7AEC331D-06D9-F4BA-E936-C3E8AB3062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17</xdr:row>
      <xdr:rowOff>0</xdr:rowOff>
    </xdr:from>
    <xdr:to>
      <xdr:col>16</xdr:col>
      <xdr:colOff>0</xdr:colOff>
      <xdr:row>33</xdr:row>
      <xdr:rowOff>466724</xdr:rowOff>
    </xdr:to>
    <xdr:grpSp>
      <xdr:nvGrpSpPr>
        <xdr:cNvPr id="10" name="グループ化 9">
          <a:extLst>
            <a:ext uri="{FF2B5EF4-FFF2-40B4-BE49-F238E27FC236}">
              <a16:creationId xmlns:a16="http://schemas.microsoft.com/office/drawing/2014/main" id="{7271C025-0ED6-44B4-8DF7-2B043BE2CAD8}"/>
            </a:ext>
          </a:extLst>
        </xdr:cNvPr>
        <xdr:cNvGrpSpPr/>
      </xdr:nvGrpSpPr>
      <xdr:grpSpPr>
        <a:xfrm>
          <a:off x="0" y="7934325"/>
          <a:ext cx="10972800" cy="7934324"/>
          <a:chOff x="0" y="0"/>
          <a:chExt cx="10972800" cy="7934324"/>
        </a:xfrm>
      </xdr:grpSpPr>
      <xdr:pic>
        <xdr:nvPicPr>
          <xdr:cNvPr id="11" name="図 10">
            <a:extLst>
              <a:ext uri="{FF2B5EF4-FFF2-40B4-BE49-F238E27FC236}">
                <a16:creationId xmlns:a16="http://schemas.microsoft.com/office/drawing/2014/main" id="{5A94FDF1-980A-812C-664B-C1503DC752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12" name="図 11" descr="合格おめでとう」の写真素材 | 2,188件の無料イラスト画像 | Adobe Stock">
            <a:extLst>
              <a:ext uri="{FF2B5EF4-FFF2-40B4-BE49-F238E27FC236}">
                <a16:creationId xmlns:a16="http://schemas.microsoft.com/office/drawing/2014/main" id="{AD4FB5FA-CDFA-2C11-9A44-EA0975346E7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34</xdr:row>
      <xdr:rowOff>0</xdr:rowOff>
    </xdr:from>
    <xdr:to>
      <xdr:col>16</xdr:col>
      <xdr:colOff>0</xdr:colOff>
      <xdr:row>50</xdr:row>
      <xdr:rowOff>466724</xdr:rowOff>
    </xdr:to>
    <xdr:grpSp>
      <xdr:nvGrpSpPr>
        <xdr:cNvPr id="13" name="グループ化 12">
          <a:extLst>
            <a:ext uri="{FF2B5EF4-FFF2-40B4-BE49-F238E27FC236}">
              <a16:creationId xmlns:a16="http://schemas.microsoft.com/office/drawing/2014/main" id="{131D7812-347E-4E13-ACA9-327257CA7E0B}"/>
            </a:ext>
          </a:extLst>
        </xdr:cNvPr>
        <xdr:cNvGrpSpPr/>
      </xdr:nvGrpSpPr>
      <xdr:grpSpPr>
        <a:xfrm>
          <a:off x="0" y="15868650"/>
          <a:ext cx="10972800" cy="7934324"/>
          <a:chOff x="0" y="0"/>
          <a:chExt cx="10972800" cy="7934324"/>
        </a:xfrm>
      </xdr:grpSpPr>
      <xdr:pic>
        <xdr:nvPicPr>
          <xdr:cNvPr id="14" name="図 13">
            <a:extLst>
              <a:ext uri="{FF2B5EF4-FFF2-40B4-BE49-F238E27FC236}">
                <a16:creationId xmlns:a16="http://schemas.microsoft.com/office/drawing/2014/main" id="{85FF68BA-9BE8-E352-6619-22761F5E73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15" name="図 14" descr="合格おめでとう」の写真素材 | 2,188件の無料イラスト画像 | Adobe Stock">
            <a:extLst>
              <a:ext uri="{FF2B5EF4-FFF2-40B4-BE49-F238E27FC236}">
                <a16:creationId xmlns:a16="http://schemas.microsoft.com/office/drawing/2014/main" id="{41481A68-F81B-8E96-9749-5B7F036525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51</xdr:row>
      <xdr:rowOff>0</xdr:rowOff>
    </xdr:from>
    <xdr:to>
      <xdr:col>16</xdr:col>
      <xdr:colOff>0</xdr:colOff>
      <xdr:row>67</xdr:row>
      <xdr:rowOff>466724</xdr:rowOff>
    </xdr:to>
    <xdr:grpSp>
      <xdr:nvGrpSpPr>
        <xdr:cNvPr id="16" name="グループ化 15">
          <a:extLst>
            <a:ext uri="{FF2B5EF4-FFF2-40B4-BE49-F238E27FC236}">
              <a16:creationId xmlns:a16="http://schemas.microsoft.com/office/drawing/2014/main" id="{DFBB6F23-9A8F-4BD6-8F43-5BBF3A155E58}"/>
            </a:ext>
          </a:extLst>
        </xdr:cNvPr>
        <xdr:cNvGrpSpPr/>
      </xdr:nvGrpSpPr>
      <xdr:grpSpPr>
        <a:xfrm>
          <a:off x="0" y="23802975"/>
          <a:ext cx="10972800" cy="7934324"/>
          <a:chOff x="0" y="0"/>
          <a:chExt cx="10972800" cy="7934324"/>
        </a:xfrm>
      </xdr:grpSpPr>
      <xdr:pic>
        <xdr:nvPicPr>
          <xdr:cNvPr id="17" name="図 16">
            <a:extLst>
              <a:ext uri="{FF2B5EF4-FFF2-40B4-BE49-F238E27FC236}">
                <a16:creationId xmlns:a16="http://schemas.microsoft.com/office/drawing/2014/main" id="{966E044A-3923-4F72-3088-7F41A72ADA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18" name="図 17" descr="合格おめでとう」の写真素材 | 2,188件の無料イラスト画像 | Adobe Stock">
            <a:extLst>
              <a:ext uri="{FF2B5EF4-FFF2-40B4-BE49-F238E27FC236}">
                <a16:creationId xmlns:a16="http://schemas.microsoft.com/office/drawing/2014/main" id="{8067A57F-6401-CC02-34BE-FDEDA4790C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68</xdr:row>
      <xdr:rowOff>0</xdr:rowOff>
    </xdr:from>
    <xdr:to>
      <xdr:col>16</xdr:col>
      <xdr:colOff>0</xdr:colOff>
      <xdr:row>84</xdr:row>
      <xdr:rowOff>466724</xdr:rowOff>
    </xdr:to>
    <xdr:grpSp>
      <xdr:nvGrpSpPr>
        <xdr:cNvPr id="19" name="グループ化 18">
          <a:extLst>
            <a:ext uri="{FF2B5EF4-FFF2-40B4-BE49-F238E27FC236}">
              <a16:creationId xmlns:a16="http://schemas.microsoft.com/office/drawing/2014/main" id="{03A23016-8F9C-46B2-B8DE-BD8A593C7D0A}"/>
            </a:ext>
          </a:extLst>
        </xdr:cNvPr>
        <xdr:cNvGrpSpPr/>
      </xdr:nvGrpSpPr>
      <xdr:grpSpPr>
        <a:xfrm>
          <a:off x="0" y="31737300"/>
          <a:ext cx="10972800" cy="7934324"/>
          <a:chOff x="0" y="0"/>
          <a:chExt cx="10972800" cy="7934324"/>
        </a:xfrm>
      </xdr:grpSpPr>
      <xdr:pic>
        <xdr:nvPicPr>
          <xdr:cNvPr id="20" name="図 19">
            <a:extLst>
              <a:ext uri="{FF2B5EF4-FFF2-40B4-BE49-F238E27FC236}">
                <a16:creationId xmlns:a16="http://schemas.microsoft.com/office/drawing/2014/main" id="{B51A8C61-7368-6522-D438-2420E69539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21" name="図 20" descr="合格おめでとう」の写真素材 | 2,188件の無料イラスト画像 | Adobe Stock">
            <a:extLst>
              <a:ext uri="{FF2B5EF4-FFF2-40B4-BE49-F238E27FC236}">
                <a16:creationId xmlns:a16="http://schemas.microsoft.com/office/drawing/2014/main" id="{BBF00D91-8B6A-8419-D6ED-E4457F8D4B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85</xdr:row>
      <xdr:rowOff>0</xdr:rowOff>
    </xdr:from>
    <xdr:to>
      <xdr:col>16</xdr:col>
      <xdr:colOff>0</xdr:colOff>
      <xdr:row>101</xdr:row>
      <xdr:rowOff>466724</xdr:rowOff>
    </xdr:to>
    <xdr:grpSp>
      <xdr:nvGrpSpPr>
        <xdr:cNvPr id="22" name="グループ化 21">
          <a:extLst>
            <a:ext uri="{FF2B5EF4-FFF2-40B4-BE49-F238E27FC236}">
              <a16:creationId xmlns:a16="http://schemas.microsoft.com/office/drawing/2014/main" id="{36257913-A434-4C86-8C6F-88380D80101C}"/>
            </a:ext>
          </a:extLst>
        </xdr:cNvPr>
        <xdr:cNvGrpSpPr/>
      </xdr:nvGrpSpPr>
      <xdr:grpSpPr>
        <a:xfrm>
          <a:off x="0" y="39671625"/>
          <a:ext cx="10972800" cy="7934324"/>
          <a:chOff x="0" y="0"/>
          <a:chExt cx="10972800" cy="7934324"/>
        </a:xfrm>
      </xdr:grpSpPr>
      <xdr:pic>
        <xdr:nvPicPr>
          <xdr:cNvPr id="23" name="図 22">
            <a:extLst>
              <a:ext uri="{FF2B5EF4-FFF2-40B4-BE49-F238E27FC236}">
                <a16:creationId xmlns:a16="http://schemas.microsoft.com/office/drawing/2014/main" id="{B0353D78-8BFF-6255-2527-3FEEBFA56F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24" name="図 23" descr="合格おめでとう」の写真素材 | 2,188件の無料イラスト画像 | Adobe Stock">
            <a:extLst>
              <a:ext uri="{FF2B5EF4-FFF2-40B4-BE49-F238E27FC236}">
                <a16:creationId xmlns:a16="http://schemas.microsoft.com/office/drawing/2014/main" id="{D005A65E-77CA-84B2-60AB-5012F26C87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102</xdr:row>
      <xdr:rowOff>0</xdr:rowOff>
    </xdr:from>
    <xdr:to>
      <xdr:col>16</xdr:col>
      <xdr:colOff>0</xdr:colOff>
      <xdr:row>118</xdr:row>
      <xdr:rowOff>466724</xdr:rowOff>
    </xdr:to>
    <xdr:grpSp>
      <xdr:nvGrpSpPr>
        <xdr:cNvPr id="25" name="グループ化 24">
          <a:extLst>
            <a:ext uri="{FF2B5EF4-FFF2-40B4-BE49-F238E27FC236}">
              <a16:creationId xmlns:a16="http://schemas.microsoft.com/office/drawing/2014/main" id="{5DABA802-FEDA-4C1E-8782-FFA756B938FA}"/>
            </a:ext>
          </a:extLst>
        </xdr:cNvPr>
        <xdr:cNvGrpSpPr/>
      </xdr:nvGrpSpPr>
      <xdr:grpSpPr>
        <a:xfrm>
          <a:off x="0" y="47605950"/>
          <a:ext cx="10972800" cy="7934324"/>
          <a:chOff x="0" y="0"/>
          <a:chExt cx="10972800" cy="7934324"/>
        </a:xfrm>
      </xdr:grpSpPr>
      <xdr:pic>
        <xdr:nvPicPr>
          <xdr:cNvPr id="26" name="図 25">
            <a:extLst>
              <a:ext uri="{FF2B5EF4-FFF2-40B4-BE49-F238E27FC236}">
                <a16:creationId xmlns:a16="http://schemas.microsoft.com/office/drawing/2014/main" id="{EBE28AB5-E081-C019-9BAC-AF7422B6CD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27" name="図 26" descr="合格おめでとう」の写真素材 | 2,188件の無料イラスト画像 | Adobe Stock">
            <a:extLst>
              <a:ext uri="{FF2B5EF4-FFF2-40B4-BE49-F238E27FC236}">
                <a16:creationId xmlns:a16="http://schemas.microsoft.com/office/drawing/2014/main" id="{8AB23F17-1BDC-7088-2E64-EDC3409DA3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119</xdr:row>
      <xdr:rowOff>0</xdr:rowOff>
    </xdr:from>
    <xdr:to>
      <xdr:col>16</xdr:col>
      <xdr:colOff>0</xdr:colOff>
      <xdr:row>135</xdr:row>
      <xdr:rowOff>466724</xdr:rowOff>
    </xdr:to>
    <xdr:grpSp>
      <xdr:nvGrpSpPr>
        <xdr:cNvPr id="28" name="グループ化 27">
          <a:extLst>
            <a:ext uri="{FF2B5EF4-FFF2-40B4-BE49-F238E27FC236}">
              <a16:creationId xmlns:a16="http://schemas.microsoft.com/office/drawing/2014/main" id="{7511CC1D-5E12-4DEB-85B3-728981BDDCB3}"/>
            </a:ext>
          </a:extLst>
        </xdr:cNvPr>
        <xdr:cNvGrpSpPr/>
      </xdr:nvGrpSpPr>
      <xdr:grpSpPr>
        <a:xfrm>
          <a:off x="0" y="55540275"/>
          <a:ext cx="10972800" cy="7934324"/>
          <a:chOff x="0" y="0"/>
          <a:chExt cx="10972800" cy="7934324"/>
        </a:xfrm>
      </xdr:grpSpPr>
      <xdr:pic>
        <xdr:nvPicPr>
          <xdr:cNvPr id="29" name="図 28">
            <a:extLst>
              <a:ext uri="{FF2B5EF4-FFF2-40B4-BE49-F238E27FC236}">
                <a16:creationId xmlns:a16="http://schemas.microsoft.com/office/drawing/2014/main" id="{CE1B7008-B07D-2F3F-EB07-159FAAAFD9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30" name="図 29" descr="合格おめでとう」の写真素材 | 2,188件の無料イラスト画像 | Adobe Stock">
            <a:extLst>
              <a:ext uri="{FF2B5EF4-FFF2-40B4-BE49-F238E27FC236}">
                <a16:creationId xmlns:a16="http://schemas.microsoft.com/office/drawing/2014/main" id="{E8047ED4-F90C-CE11-E643-C0841ED0E8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136</xdr:row>
      <xdr:rowOff>0</xdr:rowOff>
    </xdr:from>
    <xdr:to>
      <xdr:col>16</xdr:col>
      <xdr:colOff>0</xdr:colOff>
      <xdr:row>152</xdr:row>
      <xdr:rowOff>466724</xdr:rowOff>
    </xdr:to>
    <xdr:grpSp>
      <xdr:nvGrpSpPr>
        <xdr:cNvPr id="31" name="グループ化 30">
          <a:extLst>
            <a:ext uri="{FF2B5EF4-FFF2-40B4-BE49-F238E27FC236}">
              <a16:creationId xmlns:a16="http://schemas.microsoft.com/office/drawing/2014/main" id="{8607DB3F-6F74-4BE0-8782-694C103E8986}"/>
            </a:ext>
          </a:extLst>
        </xdr:cNvPr>
        <xdr:cNvGrpSpPr/>
      </xdr:nvGrpSpPr>
      <xdr:grpSpPr>
        <a:xfrm>
          <a:off x="0" y="63474600"/>
          <a:ext cx="10972800" cy="7934324"/>
          <a:chOff x="0" y="0"/>
          <a:chExt cx="10972800" cy="7934324"/>
        </a:xfrm>
      </xdr:grpSpPr>
      <xdr:pic>
        <xdr:nvPicPr>
          <xdr:cNvPr id="32" name="図 31">
            <a:extLst>
              <a:ext uri="{FF2B5EF4-FFF2-40B4-BE49-F238E27FC236}">
                <a16:creationId xmlns:a16="http://schemas.microsoft.com/office/drawing/2014/main" id="{86EAC365-1A41-AF5C-44CE-3FB75E083D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33" name="図 32" descr="合格おめでとう」の写真素材 | 2,188件の無料イラスト画像 | Adobe Stock">
            <a:extLst>
              <a:ext uri="{FF2B5EF4-FFF2-40B4-BE49-F238E27FC236}">
                <a16:creationId xmlns:a16="http://schemas.microsoft.com/office/drawing/2014/main" id="{445A9F8D-9E70-5CED-A7EA-5A3C72B0577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153</xdr:row>
      <xdr:rowOff>0</xdr:rowOff>
    </xdr:from>
    <xdr:to>
      <xdr:col>16</xdr:col>
      <xdr:colOff>0</xdr:colOff>
      <xdr:row>169</xdr:row>
      <xdr:rowOff>466724</xdr:rowOff>
    </xdr:to>
    <xdr:grpSp>
      <xdr:nvGrpSpPr>
        <xdr:cNvPr id="34" name="グループ化 33">
          <a:extLst>
            <a:ext uri="{FF2B5EF4-FFF2-40B4-BE49-F238E27FC236}">
              <a16:creationId xmlns:a16="http://schemas.microsoft.com/office/drawing/2014/main" id="{02B5BEF9-DA2B-41F2-9AE5-5632D2B725EA}"/>
            </a:ext>
          </a:extLst>
        </xdr:cNvPr>
        <xdr:cNvGrpSpPr/>
      </xdr:nvGrpSpPr>
      <xdr:grpSpPr>
        <a:xfrm>
          <a:off x="0" y="71408925"/>
          <a:ext cx="10972800" cy="7934324"/>
          <a:chOff x="0" y="0"/>
          <a:chExt cx="10972800" cy="7934324"/>
        </a:xfrm>
      </xdr:grpSpPr>
      <xdr:pic>
        <xdr:nvPicPr>
          <xdr:cNvPr id="35" name="図 34">
            <a:extLst>
              <a:ext uri="{FF2B5EF4-FFF2-40B4-BE49-F238E27FC236}">
                <a16:creationId xmlns:a16="http://schemas.microsoft.com/office/drawing/2014/main" id="{4844252C-7DCD-2661-A890-C670F9D342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36" name="図 35" descr="合格おめでとう」の写真素材 | 2,188件の無料イラスト画像 | Adobe Stock">
            <a:extLst>
              <a:ext uri="{FF2B5EF4-FFF2-40B4-BE49-F238E27FC236}">
                <a16:creationId xmlns:a16="http://schemas.microsoft.com/office/drawing/2014/main" id="{61A426E8-2D01-3F7B-246B-53FF6B423F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170</xdr:row>
      <xdr:rowOff>0</xdr:rowOff>
    </xdr:from>
    <xdr:to>
      <xdr:col>16</xdr:col>
      <xdr:colOff>0</xdr:colOff>
      <xdr:row>186</xdr:row>
      <xdr:rowOff>466724</xdr:rowOff>
    </xdr:to>
    <xdr:grpSp>
      <xdr:nvGrpSpPr>
        <xdr:cNvPr id="37" name="グループ化 36">
          <a:extLst>
            <a:ext uri="{FF2B5EF4-FFF2-40B4-BE49-F238E27FC236}">
              <a16:creationId xmlns:a16="http://schemas.microsoft.com/office/drawing/2014/main" id="{09562A22-CC10-4CD9-BBAA-C3E8C0AB0449}"/>
            </a:ext>
          </a:extLst>
        </xdr:cNvPr>
        <xdr:cNvGrpSpPr/>
      </xdr:nvGrpSpPr>
      <xdr:grpSpPr>
        <a:xfrm>
          <a:off x="0" y="79343250"/>
          <a:ext cx="10972800" cy="7934324"/>
          <a:chOff x="0" y="0"/>
          <a:chExt cx="10972800" cy="7934324"/>
        </a:xfrm>
      </xdr:grpSpPr>
      <xdr:pic>
        <xdr:nvPicPr>
          <xdr:cNvPr id="38" name="図 37">
            <a:extLst>
              <a:ext uri="{FF2B5EF4-FFF2-40B4-BE49-F238E27FC236}">
                <a16:creationId xmlns:a16="http://schemas.microsoft.com/office/drawing/2014/main" id="{6128A2A7-9520-0211-18F6-364C35AEFF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39" name="図 38" descr="合格おめでとう」の写真素材 | 2,188件の無料イラスト画像 | Adobe Stock">
            <a:extLst>
              <a:ext uri="{FF2B5EF4-FFF2-40B4-BE49-F238E27FC236}">
                <a16:creationId xmlns:a16="http://schemas.microsoft.com/office/drawing/2014/main" id="{AD89FC05-4121-2E40-389E-628B0CE75B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187</xdr:row>
      <xdr:rowOff>0</xdr:rowOff>
    </xdr:from>
    <xdr:to>
      <xdr:col>16</xdr:col>
      <xdr:colOff>0</xdr:colOff>
      <xdr:row>203</xdr:row>
      <xdr:rowOff>466724</xdr:rowOff>
    </xdr:to>
    <xdr:grpSp>
      <xdr:nvGrpSpPr>
        <xdr:cNvPr id="40" name="グループ化 39">
          <a:extLst>
            <a:ext uri="{FF2B5EF4-FFF2-40B4-BE49-F238E27FC236}">
              <a16:creationId xmlns:a16="http://schemas.microsoft.com/office/drawing/2014/main" id="{62DB7BBA-F50E-4822-BB2B-D777BC1E8360}"/>
            </a:ext>
          </a:extLst>
        </xdr:cNvPr>
        <xdr:cNvGrpSpPr/>
      </xdr:nvGrpSpPr>
      <xdr:grpSpPr>
        <a:xfrm>
          <a:off x="0" y="87277575"/>
          <a:ext cx="10972800" cy="7934324"/>
          <a:chOff x="0" y="0"/>
          <a:chExt cx="10972800" cy="7934324"/>
        </a:xfrm>
      </xdr:grpSpPr>
      <xdr:pic>
        <xdr:nvPicPr>
          <xdr:cNvPr id="41" name="図 40">
            <a:extLst>
              <a:ext uri="{FF2B5EF4-FFF2-40B4-BE49-F238E27FC236}">
                <a16:creationId xmlns:a16="http://schemas.microsoft.com/office/drawing/2014/main" id="{63259447-2B57-C34A-28D2-B89C8AD663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42" name="図 41" descr="合格おめでとう」の写真素材 | 2,188件の無料イラスト画像 | Adobe Stock">
            <a:extLst>
              <a:ext uri="{FF2B5EF4-FFF2-40B4-BE49-F238E27FC236}">
                <a16:creationId xmlns:a16="http://schemas.microsoft.com/office/drawing/2014/main" id="{BCDA1CEB-2829-5D2C-D2F8-2AE5DCF748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204</xdr:row>
      <xdr:rowOff>0</xdr:rowOff>
    </xdr:from>
    <xdr:to>
      <xdr:col>16</xdr:col>
      <xdr:colOff>0</xdr:colOff>
      <xdr:row>220</xdr:row>
      <xdr:rowOff>466724</xdr:rowOff>
    </xdr:to>
    <xdr:grpSp>
      <xdr:nvGrpSpPr>
        <xdr:cNvPr id="43" name="グループ化 42">
          <a:extLst>
            <a:ext uri="{FF2B5EF4-FFF2-40B4-BE49-F238E27FC236}">
              <a16:creationId xmlns:a16="http://schemas.microsoft.com/office/drawing/2014/main" id="{F63B9645-C6A9-4649-AFEE-7A0B29CC33D7}"/>
            </a:ext>
          </a:extLst>
        </xdr:cNvPr>
        <xdr:cNvGrpSpPr/>
      </xdr:nvGrpSpPr>
      <xdr:grpSpPr>
        <a:xfrm>
          <a:off x="0" y="95211900"/>
          <a:ext cx="10972800" cy="7934324"/>
          <a:chOff x="0" y="0"/>
          <a:chExt cx="10972800" cy="7934324"/>
        </a:xfrm>
      </xdr:grpSpPr>
      <xdr:pic>
        <xdr:nvPicPr>
          <xdr:cNvPr id="44" name="図 43">
            <a:extLst>
              <a:ext uri="{FF2B5EF4-FFF2-40B4-BE49-F238E27FC236}">
                <a16:creationId xmlns:a16="http://schemas.microsoft.com/office/drawing/2014/main" id="{6DD74272-8096-4679-84A6-1ABDF89A2F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45" name="図 44" descr="合格おめでとう」の写真素材 | 2,188件の無料イラスト画像 | Adobe Stock">
            <a:extLst>
              <a:ext uri="{FF2B5EF4-FFF2-40B4-BE49-F238E27FC236}">
                <a16:creationId xmlns:a16="http://schemas.microsoft.com/office/drawing/2014/main" id="{226DFD99-A4A0-6B5C-451A-BFDCAECF68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221</xdr:row>
      <xdr:rowOff>0</xdr:rowOff>
    </xdr:from>
    <xdr:to>
      <xdr:col>16</xdr:col>
      <xdr:colOff>0</xdr:colOff>
      <xdr:row>237</xdr:row>
      <xdr:rowOff>466724</xdr:rowOff>
    </xdr:to>
    <xdr:grpSp>
      <xdr:nvGrpSpPr>
        <xdr:cNvPr id="46" name="グループ化 45">
          <a:extLst>
            <a:ext uri="{FF2B5EF4-FFF2-40B4-BE49-F238E27FC236}">
              <a16:creationId xmlns:a16="http://schemas.microsoft.com/office/drawing/2014/main" id="{B5A98234-2682-49CC-8B2D-43E2DB75E85D}"/>
            </a:ext>
          </a:extLst>
        </xdr:cNvPr>
        <xdr:cNvGrpSpPr/>
      </xdr:nvGrpSpPr>
      <xdr:grpSpPr>
        <a:xfrm>
          <a:off x="0" y="103146225"/>
          <a:ext cx="10972800" cy="7934324"/>
          <a:chOff x="0" y="0"/>
          <a:chExt cx="10972800" cy="7934324"/>
        </a:xfrm>
      </xdr:grpSpPr>
      <xdr:pic>
        <xdr:nvPicPr>
          <xdr:cNvPr id="47" name="図 46">
            <a:extLst>
              <a:ext uri="{FF2B5EF4-FFF2-40B4-BE49-F238E27FC236}">
                <a16:creationId xmlns:a16="http://schemas.microsoft.com/office/drawing/2014/main" id="{86012D39-5189-E702-8AB8-390C310A90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48" name="図 47" descr="合格おめでとう」の写真素材 | 2,188件の無料イラスト画像 | Adobe Stock">
            <a:extLst>
              <a:ext uri="{FF2B5EF4-FFF2-40B4-BE49-F238E27FC236}">
                <a16:creationId xmlns:a16="http://schemas.microsoft.com/office/drawing/2014/main" id="{50546BA1-3136-9211-BD78-890A4E6981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31750</xdr:colOff>
      <xdr:row>237</xdr:row>
      <xdr:rowOff>349250</xdr:rowOff>
    </xdr:from>
    <xdr:to>
      <xdr:col>16</xdr:col>
      <xdr:colOff>761</xdr:colOff>
      <xdr:row>254</xdr:row>
      <xdr:rowOff>333375</xdr:rowOff>
    </xdr:to>
    <xdr:grpSp>
      <xdr:nvGrpSpPr>
        <xdr:cNvPr id="49" name="グループ化 48">
          <a:extLst>
            <a:ext uri="{FF2B5EF4-FFF2-40B4-BE49-F238E27FC236}">
              <a16:creationId xmlns:a16="http://schemas.microsoft.com/office/drawing/2014/main" id="{67869568-4B88-4A91-B8A8-A4DFA52D31DC}"/>
            </a:ext>
          </a:extLst>
        </xdr:cNvPr>
        <xdr:cNvGrpSpPr/>
      </xdr:nvGrpSpPr>
      <xdr:grpSpPr>
        <a:xfrm>
          <a:off x="31750" y="110963075"/>
          <a:ext cx="10941811" cy="7918450"/>
          <a:chOff x="0" y="0"/>
          <a:chExt cx="10941667" cy="7911812"/>
        </a:xfrm>
      </xdr:grpSpPr>
      <xdr:pic>
        <xdr:nvPicPr>
          <xdr:cNvPr id="50" name="図 49">
            <a:extLst>
              <a:ext uri="{FF2B5EF4-FFF2-40B4-BE49-F238E27FC236}">
                <a16:creationId xmlns:a16="http://schemas.microsoft.com/office/drawing/2014/main" id="{3CBCDFF8-6F08-6119-626D-44093F4E08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41667" cy="7911812"/>
          </a:xfrm>
          <a:prstGeom prst="rect">
            <a:avLst/>
          </a:prstGeom>
          <a:noFill/>
          <a:ln>
            <a:noFill/>
          </a:ln>
        </xdr:spPr>
      </xdr:pic>
      <xdr:pic>
        <xdr:nvPicPr>
          <xdr:cNvPr id="51" name="図 50" descr="合格おめでとう」の写真素材 | 2,188件の無料イラスト画像 | Adobe Stock">
            <a:extLst>
              <a:ext uri="{FF2B5EF4-FFF2-40B4-BE49-F238E27FC236}">
                <a16:creationId xmlns:a16="http://schemas.microsoft.com/office/drawing/2014/main" id="{50540E45-3833-7A93-F497-441565BC00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255</xdr:row>
      <xdr:rowOff>15875</xdr:rowOff>
    </xdr:from>
    <xdr:to>
      <xdr:col>16</xdr:col>
      <xdr:colOff>0</xdr:colOff>
      <xdr:row>272</xdr:row>
      <xdr:rowOff>22224</xdr:rowOff>
    </xdr:to>
    <xdr:grpSp>
      <xdr:nvGrpSpPr>
        <xdr:cNvPr id="52" name="グループ化 51">
          <a:extLst>
            <a:ext uri="{FF2B5EF4-FFF2-40B4-BE49-F238E27FC236}">
              <a16:creationId xmlns:a16="http://schemas.microsoft.com/office/drawing/2014/main" id="{B49550CD-10FF-4D4B-A605-FFF705058E3A}"/>
            </a:ext>
          </a:extLst>
        </xdr:cNvPr>
        <xdr:cNvGrpSpPr/>
      </xdr:nvGrpSpPr>
      <xdr:grpSpPr>
        <a:xfrm>
          <a:off x="0" y="119030750"/>
          <a:ext cx="10972800" cy="7940674"/>
          <a:chOff x="0" y="0"/>
          <a:chExt cx="10972800" cy="7934324"/>
        </a:xfrm>
      </xdr:grpSpPr>
      <xdr:pic>
        <xdr:nvPicPr>
          <xdr:cNvPr id="53" name="図 52">
            <a:extLst>
              <a:ext uri="{FF2B5EF4-FFF2-40B4-BE49-F238E27FC236}">
                <a16:creationId xmlns:a16="http://schemas.microsoft.com/office/drawing/2014/main" id="{3D3EE780-E34F-22BB-A6FC-F286F580B2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54" name="図 53" descr="合格おめでとう」の写真素材 | 2,188件の無料イラスト画像 | Adobe Stock">
            <a:extLst>
              <a:ext uri="{FF2B5EF4-FFF2-40B4-BE49-F238E27FC236}">
                <a16:creationId xmlns:a16="http://schemas.microsoft.com/office/drawing/2014/main" id="{C5E036AC-AF7D-B3A9-472A-4D0B4FAC71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272</xdr:row>
      <xdr:rowOff>0</xdr:rowOff>
    </xdr:from>
    <xdr:to>
      <xdr:col>16</xdr:col>
      <xdr:colOff>0</xdr:colOff>
      <xdr:row>288</xdr:row>
      <xdr:rowOff>466724</xdr:rowOff>
    </xdr:to>
    <xdr:grpSp>
      <xdr:nvGrpSpPr>
        <xdr:cNvPr id="55" name="グループ化 54">
          <a:extLst>
            <a:ext uri="{FF2B5EF4-FFF2-40B4-BE49-F238E27FC236}">
              <a16:creationId xmlns:a16="http://schemas.microsoft.com/office/drawing/2014/main" id="{52E522DF-76EA-4976-A26C-F47E8DB0A839}"/>
            </a:ext>
          </a:extLst>
        </xdr:cNvPr>
        <xdr:cNvGrpSpPr/>
      </xdr:nvGrpSpPr>
      <xdr:grpSpPr>
        <a:xfrm>
          <a:off x="0" y="126949200"/>
          <a:ext cx="10972800" cy="7934324"/>
          <a:chOff x="0" y="0"/>
          <a:chExt cx="10972800" cy="7934324"/>
        </a:xfrm>
      </xdr:grpSpPr>
      <xdr:pic>
        <xdr:nvPicPr>
          <xdr:cNvPr id="56" name="図 55">
            <a:extLst>
              <a:ext uri="{FF2B5EF4-FFF2-40B4-BE49-F238E27FC236}">
                <a16:creationId xmlns:a16="http://schemas.microsoft.com/office/drawing/2014/main" id="{7E3AE033-51C7-E4B6-396C-70CCFE4F0E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57" name="図 56" descr="合格おめでとう」の写真素材 | 2,188件の無料イラスト画像 | Adobe Stock">
            <a:extLst>
              <a:ext uri="{FF2B5EF4-FFF2-40B4-BE49-F238E27FC236}">
                <a16:creationId xmlns:a16="http://schemas.microsoft.com/office/drawing/2014/main" id="{E3EEBE1D-CE34-F03D-FF64-8992FB5124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289</xdr:row>
      <xdr:rowOff>0</xdr:rowOff>
    </xdr:from>
    <xdr:to>
      <xdr:col>16</xdr:col>
      <xdr:colOff>0</xdr:colOff>
      <xdr:row>305</xdr:row>
      <xdr:rowOff>466724</xdr:rowOff>
    </xdr:to>
    <xdr:grpSp>
      <xdr:nvGrpSpPr>
        <xdr:cNvPr id="58" name="グループ化 57">
          <a:extLst>
            <a:ext uri="{FF2B5EF4-FFF2-40B4-BE49-F238E27FC236}">
              <a16:creationId xmlns:a16="http://schemas.microsoft.com/office/drawing/2014/main" id="{C88A810B-81A4-4C17-AC64-5678D6A32FC5}"/>
            </a:ext>
          </a:extLst>
        </xdr:cNvPr>
        <xdr:cNvGrpSpPr/>
      </xdr:nvGrpSpPr>
      <xdr:grpSpPr>
        <a:xfrm>
          <a:off x="0" y="134883525"/>
          <a:ext cx="10972800" cy="7934324"/>
          <a:chOff x="0" y="0"/>
          <a:chExt cx="10972800" cy="7934324"/>
        </a:xfrm>
      </xdr:grpSpPr>
      <xdr:pic>
        <xdr:nvPicPr>
          <xdr:cNvPr id="59" name="図 58">
            <a:extLst>
              <a:ext uri="{FF2B5EF4-FFF2-40B4-BE49-F238E27FC236}">
                <a16:creationId xmlns:a16="http://schemas.microsoft.com/office/drawing/2014/main" id="{8C664757-83F4-68B5-142F-D0B535F9A4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60" name="図 59" descr="合格おめでとう」の写真素材 | 2,188件の無料イラスト画像 | Adobe Stock">
            <a:extLst>
              <a:ext uri="{FF2B5EF4-FFF2-40B4-BE49-F238E27FC236}">
                <a16:creationId xmlns:a16="http://schemas.microsoft.com/office/drawing/2014/main" id="{C3C179DE-4827-7DF5-601A-13C9BC1EBB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306</xdr:row>
      <xdr:rowOff>0</xdr:rowOff>
    </xdr:from>
    <xdr:to>
      <xdr:col>16</xdr:col>
      <xdr:colOff>0</xdr:colOff>
      <xdr:row>322</xdr:row>
      <xdr:rowOff>466724</xdr:rowOff>
    </xdr:to>
    <xdr:grpSp>
      <xdr:nvGrpSpPr>
        <xdr:cNvPr id="61" name="グループ化 60">
          <a:extLst>
            <a:ext uri="{FF2B5EF4-FFF2-40B4-BE49-F238E27FC236}">
              <a16:creationId xmlns:a16="http://schemas.microsoft.com/office/drawing/2014/main" id="{A0A5011E-DB92-41D1-970F-1CD99CD653F1}"/>
            </a:ext>
          </a:extLst>
        </xdr:cNvPr>
        <xdr:cNvGrpSpPr/>
      </xdr:nvGrpSpPr>
      <xdr:grpSpPr>
        <a:xfrm>
          <a:off x="0" y="142817850"/>
          <a:ext cx="10972800" cy="7934324"/>
          <a:chOff x="0" y="0"/>
          <a:chExt cx="10972800" cy="7934324"/>
        </a:xfrm>
      </xdr:grpSpPr>
      <xdr:pic>
        <xdr:nvPicPr>
          <xdr:cNvPr id="62" name="図 61">
            <a:extLst>
              <a:ext uri="{FF2B5EF4-FFF2-40B4-BE49-F238E27FC236}">
                <a16:creationId xmlns:a16="http://schemas.microsoft.com/office/drawing/2014/main" id="{48B301B5-7A73-A56C-CA70-BE2B14DD9D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63" name="図 62" descr="合格おめでとう」の写真素材 | 2,188件の無料イラスト画像 | Adobe Stock">
            <a:extLst>
              <a:ext uri="{FF2B5EF4-FFF2-40B4-BE49-F238E27FC236}">
                <a16:creationId xmlns:a16="http://schemas.microsoft.com/office/drawing/2014/main" id="{D3A6037D-E02B-37F4-21BD-5DCD9D785D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323</xdr:row>
      <xdr:rowOff>0</xdr:rowOff>
    </xdr:from>
    <xdr:to>
      <xdr:col>16</xdr:col>
      <xdr:colOff>0</xdr:colOff>
      <xdr:row>339</xdr:row>
      <xdr:rowOff>466724</xdr:rowOff>
    </xdr:to>
    <xdr:grpSp>
      <xdr:nvGrpSpPr>
        <xdr:cNvPr id="64" name="グループ化 63">
          <a:extLst>
            <a:ext uri="{FF2B5EF4-FFF2-40B4-BE49-F238E27FC236}">
              <a16:creationId xmlns:a16="http://schemas.microsoft.com/office/drawing/2014/main" id="{DC2CE1AF-4DC2-4ED9-912E-E92FE35C880F}"/>
            </a:ext>
          </a:extLst>
        </xdr:cNvPr>
        <xdr:cNvGrpSpPr/>
      </xdr:nvGrpSpPr>
      <xdr:grpSpPr>
        <a:xfrm>
          <a:off x="0" y="150752175"/>
          <a:ext cx="10972800" cy="7934324"/>
          <a:chOff x="0" y="0"/>
          <a:chExt cx="10972800" cy="7934324"/>
        </a:xfrm>
      </xdr:grpSpPr>
      <xdr:pic>
        <xdr:nvPicPr>
          <xdr:cNvPr id="65" name="図 64">
            <a:extLst>
              <a:ext uri="{FF2B5EF4-FFF2-40B4-BE49-F238E27FC236}">
                <a16:creationId xmlns:a16="http://schemas.microsoft.com/office/drawing/2014/main" id="{6E617B3A-F6FE-74FE-6CE5-A1B0E4CFDD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66" name="図 65" descr="合格おめでとう」の写真素材 | 2,188件の無料イラスト画像 | Adobe Stock">
            <a:extLst>
              <a:ext uri="{FF2B5EF4-FFF2-40B4-BE49-F238E27FC236}">
                <a16:creationId xmlns:a16="http://schemas.microsoft.com/office/drawing/2014/main" id="{86D6B95A-2B4E-E9E3-602D-8DF0CCB947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340</xdr:row>
      <xdr:rowOff>0</xdr:rowOff>
    </xdr:from>
    <xdr:to>
      <xdr:col>16</xdr:col>
      <xdr:colOff>0</xdr:colOff>
      <xdr:row>356</xdr:row>
      <xdr:rowOff>466724</xdr:rowOff>
    </xdr:to>
    <xdr:grpSp>
      <xdr:nvGrpSpPr>
        <xdr:cNvPr id="67" name="グループ化 66">
          <a:extLst>
            <a:ext uri="{FF2B5EF4-FFF2-40B4-BE49-F238E27FC236}">
              <a16:creationId xmlns:a16="http://schemas.microsoft.com/office/drawing/2014/main" id="{51D4FFF2-F256-482A-BBCD-76F08F33DE81}"/>
            </a:ext>
          </a:extLst>
        </xdr:cNvPr>
        <xdr:cNvGrpSpPr/>
      </xdr:nvGrpSpPr>
      <xdr:grpSpPr>
        <a:xfrm>
          <a:off x="0" y="158686500"/>
          <a:ext cx="10972800" cy="7934324"/>
          <a:chOff x="0" y="0"/>
          <a:chExt cx="10972800" cy="7934324"/>
        </a:xfrm>
      </xdr:grpSpPr>
      <xdr:pic>
        <xdr:nvPicPr>
          <xdr:cNvPr id="68" name="図 67">
            <a:extLst>
              <a:ext uri="{FF2B5EF4-FFF2-40B4-BE49-F238E27FC236}">
                <a16:creationId xmlns:a16="http://schemas.microsoft.com/office/drawing/2014/main" id="{3E1CF7F8-1351-D225-32C6-14F196B50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69" name="図 68" descr="合格おめでとう」の写真素材 | 2,188件の無料イラスト画像 | Adobe Stock">
            <a:extLst>
              <a:ext uri="{FF2B5EF4-FFF2-40B4-BE49-F238E27FC236}">
                <a16:creationId xmlns:a16="http://schemas.microsoft.com/office/drawing/2014/main" id="{E85E7996-54EE-55D1-DAB7-CBE73871CD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357</xdr:row>
      <xdr:rowOff>0</xdr:rowOff>
    </xdr:from>
    <xdr:to>
      <xdr:col>16</xdr:col>
      <xdr:colOff>0</xdr:colOff>
      <xdr:row>373</xdr:row>
      <xdr:rowOff>466724</xdr:rowOff>
    </xdr:to>
    <xdr:grpSp>
      <xdr:nvGrpSpPr>
        <xdr:cNvPr id="70" name="グループ化 69">
          <a:extLst>
            <a:ext uri="{FF2B5EF4-FFF2-40B4-BE49-F238E27FC236}">
              <a16:creationId xmlns:a16="http://schemas.microsoft.com/office/drawing/2014/main" id="{EE41B300-BAC3-4152-A42D-C247DDE48F7A}"/>
            </a:ext>
          </a:extLst>
        </xdr:cNvPr>
        <xdr:cNvGrpSpPr/>
      </xdr:nvGrpSpPr>
      <xdr:grpSpPr>
        <a:xfrm>
          <a:off x="0" y="166620825"/>
          <a:ext cx="10972800" cy="7934324"/>
          <a:chOff x="0" y="0"/>
          <a:chExt cx="10972800" cy="7934324"/>
        </a:xfrm>
      </xdr:grpSpPr>
      <xdr:pic>
        <xdr:nvPicPr>
          <xdr:cNvPr id="71" name="図 70">
            <a:extLst>
              <a:ext uri="{FF2B5EF4-FFF2-40B4-BE49-F238E27FC236}">
                <a16:creationId xmlns:a16="http://schemas.microsoft.com/office/drawing/2014/main" id="{E9E24D43-4FA8-7877-18D5-753458EB60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72" name="図 71" descr="合格おめでとう」の写真素材 | 2,188件の無料イラスト画像 | Adobe Stock">
            <a:extLst>
              <a:ext uri="{FF2B5EF4-FFF2-40B4-BE49-F238E27FC236}">
                <a16:creationId xmlns:a16="http://schemas.microsoft.com/office/drawing/2014/main" id="{8787E1E3-4CAF-0FD2-D899-EA4DDD6C2D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374</xdr:row>
      <xdr:rowOff>0</xdr:rowOff>
    </xdr:from>
    <xdr:to>
      <xdr:col>16</xdr:col>
      <xdr:colOff>0</xdr:colOff>
      <xdr:row>390</xdr:row>
      <xdr:rowOff>466724</xdr:rowOff>
    </xdr:to>
    <xdr:grpSp>
      <xdr:nvGrpSpPr>
        <xdr:cNvPr id="73" name="グループ化 72">
          <a:extLst>
            <a:ext uri="{FF2B5EF4-FFF2-40B4-BE49-F238E27FC236}">
              <a16:creationId xmlns:a16="http://schemas.microsoft.com/office/drawing/2014/main" id="{D9836033-16BC-4664-A31B-EFB844F62684}"/>
            </a:ext>
          </a:extLst>
        </xdr:cNvPr>
        <xdr:cNvGrpSpPr/>
      </xdr:nvGrpSpPr>
      <xdr:grpSpPr>
        <a:xfrm>
          <a:off x="0" y="174555150"/>
          <a:ext cx="10972800" cy="7934324"/>
          <a:chOff x="0" y="0"/>
          <a:chExt cx="10972800" cy="7934324"/>
        </a:xfrm>
      </xdr:grpSpPr>
      <xdr:pic>
        <xdr:nvPicPr>
          <xdr:cNvPr id="74" name="図 73">
            <a:extLst>
              <a:ext uri="{FF2B5EF4-FFF2-40B4-BE49-F238E27FC236}">
                <a16:creationId xmlns:a16="http://schemas.microsoft.com/office/drawing/2014/main" id="{C8FB0237-F423-5014-A6A3-C03493527B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75" name="図 74" descr="合格おめでとう」の写真素材 | 2,188件の無料イラスト画像 | Adobe Stock">
            <a:extLst>
              <a:ext uri="{FF2B5EF4-FFF2-40B4-BE49-F238E27FC236}">
                <a16:creationId xmlns:a16="http://schemas.microsoft.com/office/drawing/2014/main" id="{961B5EB2-6A63-01D3-230F-73A074A1BE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391</xdr:row>
      <xdr:rowOff>0</xdr:rowOff>
    </xdr:from>
    <xdr:to>
      <xdr:col>16</xdr:col>
      <xdr:colOff>0</xdr:colOff>
      <xdr:row>407</xdr:row>
      <xdr:rowOff>466724</xdr:rowOff>
    </xdr:to>
    <xdr:grpSp>
      <xdr:nvGrpSpPr>
        <xdr:cNvPr id="76" name="グループ化 75">
          <a:extLst>
            <a:ext uri="{FF2B5EF4-FFF2-40B4-BE49-F238E27FC236}">
              <a16:creationId xmlns:a16="http://schemas.microsoft.com/office/drawing/2014/main" id="{D72BAE40-8D0B-42DA-9BE5-9770850E05A8}"/>
            </a:ext>
          </a:extLst>
        </xdr:cNvPr>
        <xdr:cNvGrpSpPr/>
      </xdr:nvGrpSpPr>
      <xdr:grpSpPr>
        <a:xfrm>
          <a:off x="0" y="182489475"/>
          <a:ext cx="10972800" cy="7934324"/>
          <a:chOff x="0" y="0"/>
          <a:chExt cx="10972800" cy="7934324"/>
        </a:xfrm>
      </xdr:grpSpPr>
      <xdr:pic>
        <xdr:nvPicPr>
          <xdr:cNvPr id="77" name="図 76">
            <a:extLst>
              <a:ext uri="{FF2B5EF4-FFF2-40B4-BE49-F238E27FC236}">
                <a16:creationId xmlns:a16="http://schemas.microsoft.com/office/drawing/2014/main" id="{45BCBB17-B5DC-A203-9916-2E9AE3C063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78" name="図 77" descr="合格おめでとう」の写真素材 | 2,188件の無料イラスト画像 | Adobe Stock">
            <a:extLst>
              <a:ext uri="{FF2B5EF4-FFF2-40B4-BE49-F238E27FC236}">
                <a16:creationId xmlns:a16="http://schemas.microsoft.com/office/drawing/2014/main" id="{F1FBB90D-5CF8-F863-88C0-0D26D0E6A6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408</xdr:row>
      <xdr:rowOff>0</xdr:rowOff>
    </xdr:from>
    <xdr:to>
      <xdr:col>16</xdr:col>
      <xdr:colOff>0</xdr:colOff>
      <xdr:row>424</xdr:row>
      <xdr:rowOff>466724</xdr:rowOff>
    </xdr:to>
    <xdr:grpSp>
      <xdr:nvGrpSpPr>
        <xdr:cNvPr id="79" name="グループ化 78">
          <a:extLst>
            <a:ext uri="{FF2B5EF4-FFF2-40B4-BE49-F238E27FC236}">
              <a16:creationId xmlns:a16="http://schemas.microsoft.com/office/drawing/2014/main" id="{B99B9BE4-843E-4E78-BC5A-2A2D6DD8047B}"/>
            </a:ext>
          </a:extLst>
        </xdr:cNvPr>
        <xdr:cNvGrpSpPr/>
      </xdr:nvGrpSpPr>
      <xdr:grpSpPr>
        <a:xfrm>
          <a:off x="0" y="190423800"/>
          <a:ext cx="10972800" cy="7934324"/>
          <a:chOff x="0" y="0"/>
          <a:chExt cx="10972800" cy="7934324"/>
        </a:xfrm>
      </xdr:grpSpPr>
      <xdr:pic>
        <xdr:nvPicPr>
          <xdr:cNvPr id="80" name="図 79">
            <a:extLst>
              <a:ext uri="{FF2B5EF4-FFF2-40B4-BE49-F238E27FC236}">
                <a16:creationId xmlns:a16="http://schemas.microsoft.com/office/drawing/2014/main" id="{D834368D-3A24-88AE-6098-9E288F484E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81" name="図 80" descr="合格おめでとう」の写真素材 | 2,188件の無料イラスト画像 | Adobe Stock">
            <a:extLst>
              <a:ext uri="{FF2B5EF4-FFF2-40B4-BE49-F238E27FC236}">
                <a16:creationId xmlns:a16="http://schemas.microsoft.com/office/drawing/2014/main" id="{885C7FF6-D739-E6F4-4BEF-EECE24F79E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xdr:twoCellAnchor>
    <xdr:from>
      <xdr:col>0</xdr:col>
      <xdr:colOff>0</xdr:colOff>
      <xdr:row>425</xdr:row>
      <xdr:rowOff>0</xdr:rowOff>
    </xdr:from>
    <xdr:to>
      <xdr:col>16</xdr:col>
      <xdr:colOff>0</xdr:colOff>
      <xdr:row>441</xdr:row>
      <xdr:rowOff>466724</xdr:rowOff>
    </xdr:to>
    <xdr:grpSp>
      <xdr:nvGrpSpPr>
        <xdr:cNvPr id="82" name="グループ化 81">
          <a:extLst>
            <a:ext uri="{FF2B5EF4-FFF2-40B4-BE49-F238E27FC236}">
              <a16:creationId xmlns:a16="http://schemas.microsoft.com/office/drawing/2014/main" id="{549DD8F3-3273-44BE-AD2C-6582EB7E490A}"/>
            </a:ext>
          </a:extLst>
        </xdr:cNvPr>
        <xdr:cNvGrpSpPr/>
      </xdr:nvGrpSpPr>
      <xdr:grpSpPr>
        <a:xfrm>
          <a:off x="0" y="198358125"/>
          <a:ext cx="10972800" cy="7934324"/>
          <a:chOff x="0" y="0"/>
          <a:chExt cx="10972800" cy="7934324"/>
        </a:xfrm>
      </xdr:grpSpPr>
      <xdr:pic>
        <xdr:nvPicPr>
          <xdr:cNvPr id="83" name="図 82">
            <a:extLst>
              <a:ext uri="{FF2B5EF4-FFF2-40B4-BE49-F238E27FC236}">
                <a16:creationId xmlns:a16="http://schemas.microsoft.com/office/drawing/2014/main" id="{6A8CDC6B-FF16-3778-46F9-35C2926D29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972800" cy="7934324"/>
          </a:xfrm>
          <a:prstGeom prst="rect">
            <a:avLst/>
          </a:prstGeom>
          <a:noFill/>
          <a:ln>
            <a:noFill/>
          </a:ln>
        </xdr:spPr>
      </xdr:pic>
      <xdr:pic>
        <xdr:nvPicPr>
          <xdr:cNvPr id="84" name="図 83" descr="合格おめでとう」の写真素材 | 2,188件の無料イラスト画像 | Adobe Stock">
            <a:extLst>
              <a:ext uri="{FF2B5EF4-FFF2-40B4-BE49-F238E27FC236}">
                <a16:creationId xmlns:a16="http://schemas.microsoft.com/office/drawing/2014/main" id="{5589838A-8B19-5BE3-558C-BC6F0CA7C9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43324" y="695325"/>
            <a:ext cx="2762250" cy="1696085"/>
          </a:xfrm>
          <a:prstGeom prst="rect">
            <a:avLst/>
          </a:prstGeom>
          <a:noFill/>
          <a:ln>
            <a:noFill/>
          </a:ln>
        </xdr:spPr>
      </xdr:pic>
    </xdr:grpSp>
    <xdr:clientData/>
  </xdr:twoCellAnchor>
  <mc:AlternateContent xmlns:mc="http://schemas.openxmlformats.org/markup-compatibility/2006">
    <mc:Choice xmlns:a14="http://schemas.microsoft.com/office/drawing/2010/main" Requires="a14">
      <xdr:twoCellAnchor editAs="oneCell">
        <xdr:from>
          <xdr:col>1</xdr:col>
          <xdr:colOff>214311</xdr:colOff>
          <xdr:row>6</xdr:row>
          <xdr:rowOff>19050</xdr:rowOff>
        </xdr:from>
        <xdr:to>
          <xdr:col>14</xdr:col>
          <xdr:colOff>519111</xdr:colOff>
          <xdr:row>16</xdr:row>
          <xdr:rowOff>28575</xdr:rowOff>
        </xdr:to>
        <xdr:pic>
          <xdr:nvPicPr>
            <xdr:cNvPr id="86" name="図 85">
              <a:extLst>
                <a:ext uri="{FF2B5EF4-FFF2-40B4-BE49-F238E27FC236}">
                  <a16:creationId xmlns:a16="http://schemas.microsoft.com/office/drawing/2014/main" id="{85BC4969-3F41-6697-F2FE-DC5B1E6D45C3}"/>
                </a:ext>
              </a:extLst>
            </xdr:cNvPr>
            <xdr:cNvPicPr>
              <a:picLocks noChangeAspect="1" noChangeArrowheads="1"/>
              <a:extLst>
                <a:ext uri="{84589F7E-364E-4C9E-8A38-B11213B215E9}">
                  <a14:cameraTool cellRange="$T$7:$V$16" spid="_x0000_s168949"/>
                </a:ext>
              </a:extLst>
            </xdr:cNvPicPr>
          </xdr:nvPicPr>
          <xdr:blipFill>
            <a:blip xmlns:r="http://schemas.openxmlformats.org/officeDocument/2006/relationships" r:embed="rId3"/>
            <a:srcRect/>
            <a:stretch>
              <a:fillRect/>
            </a:stretch>
          </xdr:blipFill>
          <xdr:spPr bwMode="auto">
            <a:xfrm>
              <a:off x="904874" y="2876550"/>
              <a:ext cx="9282112" cy="4772025"/>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22</xdr:row>
          <xdr:rowOff>428625</xdr:rowOff>
        </xdr:from>
        <xdr:to>
          <xdr:col>14</xdr:col>
          <xdr:colOff>519111</xdr:colOff>
          <xdr:row>32</xdr:row>
          <xdr:rowOff>438150</xdr:rowOff>
        </xdr:to>
        <xdr:pic>
          <xdr:nvPicPr>
            <xdr:cNvPr id="87" name="図 86">
              <a:extLst>
                <a:ext uri="{FF2B5EF4-FFF2-40B4-BE49-F238E27FC236}">
                  <a16:creationId xmlns:a16="http://schemas.microsoft.com/office/drawing/2014/main" id="{BB5D7DEF-8A62-40B1-BC3C-341E5D9BE39B}"/>
                </a:ext>
              </a:extLst>
            </xdr:cNvPr>
            <xdr:cNvPicPr>
              <a:picLocks noChangeAspect="1" noChangeArrowheads="1"/>
              <a:extLst>
                <a:ext uri="{84589F7E-364E-4C9E-8A38-B11213B215E9}">
                  <a14:cameraTool cellRange="$T$24:$V$33" spid="_x0000_s168950"/>
                </a:ext>
              </a:extLst>
            </xdr:cNvPicPr>
          </xdr:nvPicPr>
          <xdr:blipFill>
            <a:blip xmlns:r="http://schemas.openxmlformats.org/officeDocument/2006/relationships" r:embed="rId3"/>
            <a:srcRect/>
            <a:stretch>
              <a:fillRect/>
            </a:stretch>
          </xdr:blipFill>
          <xdr:spPr bwMode="auto">
            <a:xfrm>
              <a:off x="904874" y="10906125"/>
              <a:ext cx="9282112" cy="4772025"/>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39</xdr:row>
          <xdr:rowOff>447675</xdr:rowOff>
        </xdr:from>
        <xdr:to>
          <xdr:col>14</xdr:col>
          <xdr:colOff>519111</xdr:colOff>
          <xdr:row>49</xdr:row>
          <xdr:rowOff>457200</xdr:rowOff>
        </xdr:to>
        <xdr:pic>
          <xdr:nvPicPr>
            <xdr:cNvPr id="88" name="図 87">
              <a:extLst>
                <a:ext uri="{FF2B5EF4-FFF2-40B4-BE49-F238E27FC236}">
                  <a16:creationId xmlns:a16="http://schemas.microsoft.com/office/drawing/2014/main" id="{81D8D739-50E7-44F0-AF47-FDD55E40A124}"/>
                </a:ext>
              </a:extLst>
            </xdr:cNvPr>
            <xdr:cNvPicPr>
              <a:picLocks noChangeAspect="1" noChangeArrowheads="1"/>
              <a:extLst>
                <a:ext uri="{84589F7E-364E-4C9E-8A38-B11213B215E9}">
                  <a14:cameraTool cellRange="$T$41:$V$50" spid="_x0000_s168951"/>
                </a:ext>
              </a:extLst>
            </xdr:cNvPicPr>
          </xdr:nvPicPr>
          <xdr:blipFill>
            <a:blip xmlns:r="http://schemas.openxmlformats.org/officeDocument/2006/relationships" r:embed="rId4"/>
            <a:srcRect/>
            <a:stretch>
              <a:fillRect/>
            </a:stretch>
          </xdr:blipFill>
          <xdr:spPr bwMode="auto">
            <a:xfrm>
              <a:off x="904874" y="19021425"/>
              <a:ext cx="9282112" cy="4772025"/>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57</xdr:row>
          <xdr:rowOff>0</xdr:rowOff>
        </xdr:from>
        <xdr:to>
          <xdr:col>14</xdr:col>
          <xdr:colOff>509586</xdr:colOff>
          <xdr:row>67</xdr:row>
          <xdr:rowOff>0</xdr:rowOff>
        </xdr:to>
        <xdr:pic>
          <xdr:nvPicPr>
            <xdr:cNvPr id="89" name="図 88">
              <a:extLst>
                <a:ext uri="{FF2B5EF4-FFF2-40B4-BE49-F238E27FC236}">
                  <a16:creationId xmlns:a16="http://schemas.microsoft.com/office/drawing/2014/main" id="{CE58C730-E9A9-4A98-A725-FB497959EB87}"/>
                </a:ext>
              </a:extLst>
            </xdr:cNvPr>
            <xdr:cNvPicPr>
              <a:picLocks noChangeAspect="1" noChangeArrowheads="1"/>
              <a:extLst>
                <a:ext uri="{84589F7E-364E-4C9E-8A38-B11213B215E9}">
                  <a14:cameraTool cellRange="$T$58:$V$67" spid="_x0000_s168952"/>
                </a:ext>
              </a:extLst>
            </xdr:cNvPicPr>
          </xdr:nvPicPr>
          <xdr:blipFill>
            <a:blip xmlns:r="http://schemas.openxmlformats.org/officeDocument/2006/relationships" r:embed="rId3"/>
            <a:srcRect/>
            <a:stretch>
              <a:fillRect/>
            </a:stretch>
          </xdr:blipFill>
          <xdr:spPr bwMode="auto">
            <a:xfrm>
              <a:off x="904874" y="271462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73</xdr:row>
          <xdr:rowOff>438150</xdr:rowOff>
        </xdr:from>
        <xdr:to>
          <xdr:col>14</xdr:col>
          <xdr:colOff>509586</xdr:colOff>
          <xdr:row>83</xdr:row>
          <xdr:rowOff>438150</xdr:rowOff>
        </xdr:to>
        <xdr:pic>
          <xdr:nvPicPr>
            <xdr:cNvPr id="90" name="図 89">
              <a:extLst>
                <a:ext uri="{FF2B5EF4-FFF2-40B4-BE49-F238E27FC236}">
                  <a16:creationId xmlns:a16="http://schemas.microsoft.com/office/drawing/2014/main" id="{F2EF1871-4C8C-402B-A560-35DA1B05C23D}"/>
                </a:ext>
              </a:extLst>
            </xdr:cNvPr>
            <xdr:cNvPicPr>
              <a:picLocks noChangeAspect="1" noChangeArrowheads="1"/>
              <a:extLst>
                <a:ext uri="{84589F7E-364E-4C9E-8A38-B11213B215E9}">
                  <a14:cameraTool cellRange="$T$75:$V$84" spid="_x0000_s168953"/>
                </a:ext>
              </a:extLst>
            </xdr:cNvPicPr>
          </xdr:nvPicPr>
          <xdr:blipFill>
            <a:blip xmlns:r="http://schemas.openxmlformats.org/officeDocument/2006/relationships" r:embed="rId3"/>
            <a:srcRect/>
            <a:stretch>
              <a:fillRect/>
            </a:stretch>
          </xdr:blipFill>
          <xdr:spPr bwMode="auto">
            <a:xfrm>
              <a:off x="904874" y="3520440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90</xdr:row>
          <xdr:rowOff>371475</xdr:rowOff>
        </xdr:from>
        <xdr:to>
          <xdr:col>14</xdr:col>
          <xdr:colOff>509586</xdr:colOff>
          <xdr:row>100</xdr:row>
          <xdr:rowOff>371475</xdr:rowOff>
        </xdr:to>
        <xdr:pic>
          <xdr:nvPicPr>
            <xdr:cNvPr id="91" name="図 90">
              <a:extLst>
                <a:ext uri="{FF2B5EF4-FFF2-40B4-BE49-F238E27FC236}">
                  <a16:creationId xmlns:a16="http://schemas.microsoft.com/office/drawing/2014/main" id="{735033D3-B5A9-4A8B-8E73-6C6F8EE8853E}"/>
                </a:ext>
              </a:extLst>
            </xdr:cNvPr>
            <xdr:cNvPicPr>
              <a:picLocks noChangeAspect="1" noChangeArrowheads="1"/>
              <a:extLst>
                <a:ext uri="{84589F7E-364E-4C9E-8A38-B11213B215E9}">
                  <a14:cameraTool cellRange="$T$92:$V$101" spid="_x0000_s168954"/>
                </a:ext>
              </a:extLst>
            </xdr:cNvPicPr>
          </xdr:nvPicPr>
          <xdr:blipFill>
            <a:blip xmlns:r="http://schemas.openxmlformats.org/officeDocument/2006/relationships" r:embed="rId3"/>
            <a:srcRect/>
            <a:stretch>
              <a:fillRect/>
            </a:stretch>
          </xdr:blipFill>
          <xdr:spPr bwMode="auto">
            <a:xfrm>
              <a:off x="904874" y="4323397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108</xdr:row>
          <xdr:rowOff>19050</xdr:rowOff>
        </xdr:from>
        <xdr:to>
          <xdr:col>14</xdr:col>
          <xdr:colOff>509586</xdr:colOff>
          <xdr:row>118</xdr:row>
          <xdr:rowOff>19050</xdr:rowOff>
        </xdr:to>
        <xdr:pic>
          <xdr:nvPicPr>
            <xdr:cNvPr id="92" name="図 91">
              <a:extLst>
                <a:ext uri="{FF2B5EF4-FFF2-40B4-BE49-F238E27FC236}">
                  <a16:creationId xmlns:a16="http://schemas.microsoft.com/office/drawing/2014/main" id="{8430B80D-F132-4753-A5CE-A3EC7A496D1B}"/>
                </a:ext>
              </a:extLst>
            </xdr:cNvPr>
            <xdr:cNvPicPr>
              <a:picLocks noChangeAspect="1" noChangeArrowheads="1"/>
              <a:extLst>
                <a:ext uri="{84589F7E-364E-4C9E-8A38-B11213B215E9}">
                  <a14:cameraTool cellRange="$T$109:$V$118" spid="_x0000_s168955"/>
                </a:ext>
              </a:extLst>
            </xdr:cNvPicPr>
          </xdr:nvPicPr>
          <xdr:blipFill>
            <a:blip xmlns:r="http://schemas.openxmlformats.org/officeDocument/2006/relationships" r:embed="rId3"/>
            <a:srcRect/>
            <a:stretch>
              <a:fillRect/>
            </a:stretch>
          </xdr:blipFill>
          <xdr:spPr bwMode="auto">
            <a:xfrm>
              <a:off x="904874" y="514540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125</xdr:row>
          <xdr:rowOff>9525</xdr:rowOff>
        </xdr:from>
        <xdr:to>
          <xdr:col>14</xdr:col>
          <xdr:colOff>509586</xdr:colOff>
          <xdr:row>135</xdr:row>
          <xdr:rowOff>9525</xdr:rowOff>
        </xdr:to>
        <xdr:pic>
          <xdr:nvPicPr>
            <xdr:cNvPr id="93" name="図 92">
              <a:extLst>
                <a:ext uri="{FF2B5EF4-FFF2-40B4-BE49-F238E27FC236}">
                  <a16:creationId xmlns:a16="http://schemas.microsoft.com/office/drawing/2014/main" id="{1FB1FE59-A03D-42E1-AF16-16C6CE4CD92C}"/>
                </a:ext>
              </a:extLst>
            </xdr:cNvPr>
            <xdr:cNvPicPr>
              <a:picLocks noChangeAspect="1" noChangeArrowheads="1"/>
              <a:extLst>
                <a:ext uri="{84589F7E-364E-4C9E-8A38-B11213B215E9}">
                  <a14:cameraTool cellRange="$T$126:$V$135" spid="_x0000_s168956"/>
                </a:ext>
              </a:extLst>
            </xdr:cNvPicPr>
          </xdr:nvPicPr>
          <xdr:blipFill>
            <a:blip xmlns:r="http://schemas.openxmlformats.org/officeDocument/2006/relationships" r:embed="rId3"/>
            <a:srcRect/>
            <a:stretch>
              <a:fillRect/>
            </a:stretch>
          </xdr:blipFill>
          <xdr:spPr bwMode="auto">
            <a:xfrm>
              <a:off x="904874" y="5954077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142</xdr:row>
          <xdr:rowOff>9525</xdr:rowOff>
        </xdr:from>
        <xdr:to>
          <xdr:col>14</xdr:col>
          <xdr:colOff>509586</xdr:colOff>
          <xdr:row>152</xdr:row>
          <xdr:rowOff>9525</xdr:rowOff>
        </xdr:to>
        <xdr:pic>
          <xdr:nvPicPr>
            <xdr:cNvPr id="94" name="図 93">
              <a:extLst>
                <a:ext uri="{FF2B5EF4-FFF2-40B4-BE49-F238E27FC236}">
                  <a16:creationId xmlns:a16="http://schemas.microsoft.com/office/drawing/2014/main" id="{15E6111E-4BCE-4794-B719-11A076CDECD2}"/>
                </a:ext>
              </a:extLst>
            </xdr:cNvPr>
            <xdr:cNvPicPr>
              <a:picLocks noChangeAspect="1" noChangeArrowheads="1"/>
              <a:extLst>
                <a:ext uri="{84589F7E-364E-4C9E-8A38-B11213B215E9}">
                  <a14:cameraTool cellRange="$T$143:$V$152" spid="_x0000_s168957"/>
                </a:ext>
              </a:extLst>
            </xdr:cNvPicPr>
          </xdr:nvPicPr>
          <xdr:blipFill>
            <a:blip xmlns:r="http://schemas.openxmlformats.org/officeDocument/2006/relationships" r:embed="rId3"/>
            <a:srcRect/>
            <a:stretch>
              <a:fillRect/>
            </a:stretch>
          </xdr:blipFill>
          <xdr:spPr bwMode="auto">
            <a:xfrm>
              <a:off x="904874" y="6763702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159</xdr:row>
          <xdr:rowOff>0</xdr:rowOff>
        </xdr:from>
        <xdr:to>
          <xdr:col>14</xdr:col>
          <xdr:colOff>509586</xdr:colOff>
          <xdr:row>169</xdr:row>
          <xdr:rowOff>0</xdr:rowOff>
        </xdr:to>
        <xdr:pic>
          <xdr:nvPicPr>
            <xdr:cNvPr id="95" name="図 94">
              <a:extLst>
                <a:ext uri="{FF2B5EF4-FFF2-40B4-BE49-F238E27FC236}">
                  <a16:creationId xmlns:a16="http://schemas.microsoft.com/office/drawing/2014/main" id="{4B9A5274-0E7C-4586-A49E-095032BD841D}"/>
                </a:ext>
              </a:extLst>
            </xdr:cNvPr>
            <xdr:cNvPicPr>
              <a:picLocks noChangeAspect="1" noChangeArrowheads="1"/>
              <a:extLst>
                <a:ext uri="{84589F7E-364E-4C9E-8A38-B11213B215E9}">
                  <a14:cameraTool cellRange="$T$160:$V$169" spid="_x0000_s168958"/>
                </a:ext>
              </a:extLst>
            </xdr:cNvPicPr>
          </xdr:nvPicPr>
          <xdr:blipFill>
            <a:blip xmlns:r="http://schemas.openxmlformats.org/officeDocument/2006/relationships" r:embed="rId3"/>
            <a:srcRect/>
            <a:stretch>
              <a:fillRect/>
            </a:stretch>
          </xdr:blipFill>
          <xdr:spPr bwMode="auto">
            <a:xfrm>
              <a:off x="904874" y="757237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176</xdr:row>
          <xdr:rowOff>0</xdr:rowOff>
        </xdr:from>
        <xdr:to>
          <xdr:col>14</xdr:col>
          <xdr:colOff>509586</xdr:colOff>
          <xdr:row>186</xdr:row>
          <xdr:rowOff>0</xdr:rowOff>
        </xdr:to>
        <xdr:pic>
          <xdr:nvPicPr>
            <xdr:cNvPr id="96" name="図 95">
              <a:extLst>
                <a:ext uri="{FF2B5EF4-FFF2-40B4-BE49-F238E27FC236}">
                  <a16:creationId xmlns:a16="http://schemas.microsoft.com/office/drawing/2014/main" id="{24F6FFB6-6AE9-4825-83FE-3AA30F156649}"/>
                </a:ext>
              </a:extLst>
            </xdr:cNvPr>
            <xdr:cNvPicPr>
              <a:picLocks noChangeAspect="1" noChangeArrowheads="1"/>
              <a:extLst>
                <a:ext uri="{84589F7E-364E-4C9E-8A38-B11213B215E9}">
                  <a14:cameraTool cellRange="$T$177:$V$186" spid="_x0000_s168959"/>
                </a:ext>
              </a:extLst>
            </xdr:cNvPicPr>
          </xdr:nvPicPr>
          <xdr:blipFill>
            <a:blip xmlns:r="http://schemas.openxmlformats.org/officeDocument/2006/relationships" r:embed="rId3"/>
            <a:srcRect/>
            <a:stretch>
              <a:fillRect/>
            </a:stretch>
          </xdr:blipFill>
          <xdr:spPr bwMode="auto">
            <a:xfrm>
              <a:off x="904874" y="8382000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192</xdr:row>
          <xdr:rowOff>409575</xdr:rowOff>
        </xdr:from>
        <xdr:to>
          <xdr:col>14</xdr:col>
          <xdr:colOff>509586</xdr:colOff>
          <xdr:row>202</xdr:row>
          <xdr:rowOff>409575</xdr:rowOff>
        </xdr:to>
        <xdr:pic>
          <xdr:nvPicPr>
            <xdr:cNvPr id="97" name="図 96">
              <a:extLst>
                <a:ext uri="{FF2B5EF4-FFF2-40B4-BE49-F238E27FC236}">
                  <a16:creationId xmlns:a16="http://schemas.microsoft.com/office/drawing/2014/main" id="{6D92346F-8AED-4299-AFB2-B03B8D3EE54B}"/>
                </a:ext>
              </a:extLst>
            </xdr:cNvPr>
            <xdr:cNvPicPr>
              <a:picLocks noChangeAspect="1" noChangeArrowheads="1"/>
              <a:extLst>
                <a:ext uri="{84589F7E-364E-4C9E-8A38-B11213B215E9}">
                  <a14:cameraTool cellRange="$T$194:$V$203" spid="_x0000_s180224"/>
                </a:ext>
              </a:extLst>
            </xdr:cNvPicPr>
          </xdr:nvPicPr>
          <xdr:blipFill>
            <a:blip xmlns:r="http://schemas.openxmlformats.org/officeDocument/2006/relationships" r:embed="rId3"/>
            <a:srcRect/>
            <a:stretch>
              <a:fillRect/>
            </a:stretch>
          </xdr:blipFill>
          <xdr:spPr bwMode="auto">
            <a:xfrm>
              <a:off x="904874" y="9184957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209</xdr:row>
          <xdr:rowOff>371475</xdr:rowOff>
        </xdr:from>
        <xdr:to>
          <xdr:col>14</xdr:col>
          <xdr:colOff>509586</xdr:colOff>
          <xdr:row>219</xdr:row>
          <xdr:rowOff>371475</xdr:rowOff>
        </xdr:to>
        <xdr:pic>
          <xdr:nvPicPr>
            <xdr:cNvPr id="98" name="図 97">
              <a:extLst>
                <a:ext uri="{FF2B5EF4-FFF2-40B4-BE49-F238E27FC236}">
                  <a16:creationId xmlns:a16="http://schemas.microsoft.com/office/drawing/2014/main" id="{E1B25E89-EF5D-4F1B-8AD2-1CB3EC874DE9}"/>
                </a:ext>
              </a:extLst>
            </xdr:cNvPr>
            <xdr:cNvPicPr>
              <a:picLocks noChangeAspect="1" noChangeArrowheads="1"/>
              <a:extLst>
                <a:ext uri="{84589F7E-364E-4C9E-8A38-B11213B215E9}">
                  <a14:cameraTool cellRange="$T$211:$V$220" spid="_x0000_s180225"/>
                </a:ext>
              </a:extLst>
            </xdr:cNvPicPr>
          </xdr:nvPicPr>
          <xdr:blipFill>
            <a:blip xmlns:r="http://schemas.openxmlformats.org/officeDocument/2006/relationships" r:embed="rId3"/>
            <a:srcRect/>
            <a:stretch>
              <a:fillRect/>
            </a:stretch>
          </xdr:blipFill>
          <xdr:spPr bwMode="auto">
            <a:xfrm>
              <a:off x="904874" y="9990772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226</xdr:row>
          <xdr:rowOff>447675</xdr:rowOff>
        </xdr:from>
        <xdr:to>
          <xdr:col>14</xdr:col>
          <xdr:colOff>509586</xdr:colOff>
          <xdr:row>236</xdr:row>
          <xdr:rowOff>447675</xdr:rowOff>
        </xdr:to>
        <xdr:pic>
          <xdr:nvPicPr>
            <xdr:cNvPr id="99" name="図 98">
              <a:extLst>
                <a:ext uri="{FF2B5EF4-FFF2-40B4-BE49-F238E27FC236}">
                  <a16:creationId xmlns:a16="http://schemas.microsoft.com/office/drawing/2014/main" id="{690F305F-C20D-4989-9506-58138B17B8EB}"/>
                </a:ext>
              </a:extLst>
            </xdr:cNvPr>
            <xdr:cNvPicPr>
              <a:picLocks noChangeAspect="1" noChangeArrowheads="1"/>
              <a:extLst>
                <a:ext uri="{84589F7E-364E-4C9E-8A38-B11213B215E9}">
                  <a14:cameraTool cellRange="$T$228:$V$237" spid="_x0000_s180226"/>
                </a:ext>
              </a:extLst>
            </xdr:cNvPicPr>
          </xdr:nvPicPr>
          <xdr:blipFill>
            <a:blip xmlns:r="http://schemas.openxmlformats.org/officeDocument/2006/relationships" r:embed="rId3"/>
            <a:srcRect/>
            <a:stretch>
              <a:fillRect/>
            </a:stretch>
          </xdr:blipFill>
          <xdr:spPr bwMode="auto">
            <a:xfrm>
              <a:off x="904874" y="10808017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243</xdr:row>
          <xdr:rowOff>428625</xdr:rowOff>
        </xdr:from>
        <xdr:to>
          <xdr:col>14</xdr:col>
          <xdr:colOff>509586</xdr:colOff>
          <xdr:row>253</xdr:row>
          <xdr:rowOff>428625</xdr:rowOff>
        </xdr:to>
        <xdr:pic>
          <xdr:nvPicPr>
            <xdr:cNvPr id="100" name="図 99">
              <a:extLst>
                <a:ext uri="{FF2B5EF4-FFF2-40B4-BE49-F238E27FC236}">
                  <a16:creationId xmlns:a16="http://schemas.microsoft.com/office/drawing/2014/main" id="{E57D5AE8-374D-4B6D-BAA3-94085EBC4118}"/>
                </a:ext>
              </a:extLst>
            </xdr:cNvPr>
            <xdr:cNvPicPr>
              <a:picLocks noChangeAspect="1" noChangeArrowheads="1"/>
              <a:extLst>
                <a:ext uri="{84589F7E-364E-4C9E-8A38-B11213B215E9}">
                  <a14:cameraTool cellRange="$T$245:$V$254" spid="_x0000_s180227"/>
                </a:ext>
              </a:extLst>
            </xdr:cNvPicPr>
          </xdr:nvPicPr>
          <xdr:blipFill>
            <a:blip xmlns:r="http://schemas.openxmlformats.org/officeDocument/2006/relationships" r:embed="rId3"/>
            <a:srcRect/>
            <a:stretch>
              <a:fillRect/>
            </a:stretch>
          </xdr:blipFill>
          <xdr:spPr bwMode="auto">
            <a:xfrm>
              <a:off x="904874" y="11615737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261936</xdr:colOff>
          <xdr:row>260</xdr:row>
          <xdr:rowOff>107950</xdr:rowOff>
        </xdr:from>
        <xdr:to>
          <xdr:col>14</xdr:col>
          <xdr:colOff>557211</xdr:colOff>
          <xdr:row>270</xdr:row>
          <xdr:rowOff>107950</xdr:rowOff>
        </xdr:to>
        <xdr:pic>
          <xdr:nvPicPr>
            <xdr:cNvPr id="101" name="図 100">
              <a:extLst>
                <a:ext uri="{FF2B5EF4-FFF2-40B4-BE49-F238E27FC236}">
                  <a16:creationId xmlns:a16="http://schemas.microsoft.com/office/drawing/2014/main" id="{F95EB759-B274-46FF-9E6A-133984970B4E}"/>
                </a:ext>
              </a:extLst>
            </xdr:cNvPr>
            <xdr:cNvPicPr>
              <a:picLocks noChangeAspect="1" noChangeArrowheads="1"/>
              <a:extLst>
                <a:ext uri="{84589F7E-364E-4C9E-8A38-B11213B215E9}">
                  <a14:cameraTool cellRange="$T$262:$V$271" spid="_x0000_s180228"/>
                </a:ext>
              </a:extLst>
            </xdr:cNvPicPr>
          </xdr:nvPicPr>
          <xdr:blipFill>
            <a:blip xmlns:r="http://schemas.openxmlformats.org/officeDocument/2006/relationships" r:embed="rId3"/>
            <a:srcRect/>
            <a:stretch>
              <a:fillRect/>
            </a:stretch>
          </xdr:blipFill>
          <xdr:spPr bwMode="auto">
            <a:xfrm>
              <a:off x="944561" y="119805450"/>
              <a:ext cx="9169400" cy="460375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277</xdr:row>
          <xdr:rowOff>352425</xdr:rowOff>
        </xdr:from>
        <xdr:to>
          <xdr:col>14</xdr:col>
          <xdr:colOff>509586</xdr:colOff>
          <xdr:row>287</xdr:row>
          <xdr:rowOff>352425</xdr:rowOff>
        </xdr:to>
        <xdr:pic>
          <xdr:nvPicPr>
            <xdr:cNvPr id="102" name="図 101">
              <a:extLst>
                <a:ext uri="{FF2B5EF4-FFF2-40B4-BE49-F238E27FC236}">
                  <a16:creationId xmlns:a16="http://schemas.microsoft.com/office/drawing/2014/main" id="{7B3F001F-9589-43D6-943B-4DD72FF98A78}"/>
                </a:ext>
              </a:extLst>
            </xdr:cNvPr>
            <xdr:cNvPicPr>
              <a:picLocks noChangeAspect="1" noChangeArrowheads="1"/>
              <a:extLst>
                <a:ext uri="{84589F7E-364E-4C9E-8A38-B11213B215E9}">
                  <a14:cameraTool cellRange="$T$279:$V$288" spid="_x0000_s180229"/>
                </a:ext>
              </a:extLst>
            </xdr:cNvPicPr>
          </xdr:nvPicPr>
          <xdr:blipFill>
            <a:blip xmlns:r="http://schemas.openxmlformats.org/officeDocument/2006/relationships" r:embed="rId3"/>
            <a:srcRect/>
            <a:stretch>
              <a:fillRect/>
            </a:stretch>
          </xdr:blipFill>
          <xdr:spPr bwMode="auto">
            <a:xfrm>
              <a:off x="904874" y="13227367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294</xdr:row>
          <xdr:rowOff>400050</xdr:rowOff>
        </xdr:from>
        <xdr:to>
          <xdr:col>14</xdr:col>
          <xdr:colOff>509586</xdr:colOff>
          <xdr:row>304</xdr:row>
          <xdr:rowOff>400050</xdr:rowOff>
        </xdr:to>
        <xdr:pic>
          <xdr:nvPicPr>
            <xdr:cNvPr id="103" name="図 102">
              <a:extLst>
                <a:ext uri="{FF2B5EF4-FFF2-40B4-BE49-F238E27FC236}">
                  <a16:creationId xmlns:a16="http://schemas.microsoft.com/office/drawing/2014/main" id="{4F69B795-E5AE-48B4-9E61-0DA2D93514F3}"/>
                </a:ext>
              </a:extLst>
            </xdr:cNvPr>
            <xdr:cNvPicPr>
              <a:picLocks noChangeAspect="1" noChangeArrowheads="1"/>
              <a:extLst>
                <a:ext uri="{84589F7E-364E-4C9E-8A38-B11213B215E9}">
                  <a14:cameraTool cellRange="$T$296:$V$305" spid="_x0000_s180230"/>
                </a:ext>
              </a:extLst>
            </xdr:cNvPicPr>
          </xdr:nvPicPr>
          <xdr:blipFill>
            <a:blip xmlns:r="http://schemas.openxmlformats.org/officeDocument/2006/relationships" r:embed="rId3"/>
            <a:srcRect/>
            <a:stretch>
              <a:fillRect/>
            </a:stretch>
          </xdr:blipFill>
          <xdr:spPr bwMode="auto">
            <a:xfrm>
              <a:off x="904874" y="1404175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311</xdr:row>
          <xdr:rowOff>419100</xdr:rowOff>
        </xdr:from>
        <xdr:to>
          <xdr:col>14</xdr:col>
          <xdr:colOff>509586</xdr:colOff>
          <xdr:row>321</xdr:row>
          <xdr:rowOff>419100</xdr:rowOff>
        </xdr:to>
        <xdr:pic>
          <xdr:nvPicPr>
            <xdr:cNvPr id="104" name="図 103">
              <a:extLst>
                <a:ext uri="{FF2B5EF4-FFF2-40B4-BE49-F238E27FC236}">
                  <a16:creationId xmlns:a16="http://schemas.microsoft.com/office/drawing/2014/main" id="{7D144DCD-BF1A-44BD-A196-EC99A8AB58AA}"/>
                </a:ext>
              </a:extLst>
            </xdr:cNvPr>
            <xdr:cNvPicPr>
              <a:picLocks noChangeAspect="1" noChangeArrowheads="1"/>
              <a:extLst>
                <a:ext uri="{84589F7E-364E-4C9E-8A38-B11213B215E9}">
                  <a14:cameraTool cellRange="$T$313:$V$322" spid="_x0000_s180231"/>
                </a:ext>
              </a:extLst>
            </xdr:cNvPicPr>
          </xdr:nvPicPr>
          <xdr:blipFill>
            <a:blip xmlns:r="http://schemas.openxmlformats.org/officeDocument/2006/relationships" r:embed="rId3"/>
            <a:srcRect/>
            <a:stretch>
              <a:fillRect/>
            </a:stretch>
          </xdr:blipFill>
          <xdr:spPr bwMode="auto">
            <a:xfrm>
              <a:off x="904874" y="1485328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328</xdr:row>
          <xdr:rowOff>390525</xdr:rowOff>
        </xdr:from>
        <xdr:to>
          <xdr:col>14</xdr:col>
          <xdr:colOff>509586</xdr:colOff>
          <xdr:row>338</xdr:row>
          <xdr:rowOff>390525</xdr:rowOff>
        </xdr:to>
        <xdr:pic>
          <xdr:nvPicPr>
            <xdr:cNvPr id="106" name="図 105">
              <a:extLst>
                <a:ext uri="{FF2B5EF4-FFF2-40B4-BE49-F238E27FC236}">
                  <a16:creationId xmlns:a16="http://schemas.microsoft.com/office/drawing/2014/main" id="{684DDCF9-258C-4E1E-9352-D0398DEFD66D}"/>
                </a:ext>
              </a:extLst>
            </xdr:cNvPr>
            <xdr:cNvPicPr>
              <a:picLocks noChangeAspect="1" noChangeArrowheads="1"/>
              <a:extLst>
                <a:ext uri="{84589F7E-364E-4C9E-8A38-B11213B215E9}">
                  <a14:cameraTool cellRange="$T$330:$V$339" spid="_x0000_s180232"/>
                </a:ext>
              </a:extLst>
            </xdr:cNvPicPr>
          </xdr:nvPicPr>
          <xdr:blipFill>
            <a:blip xmlns:r="http://schemas.openxmlformats.org/officeDocument/2006/relationships" r:embed="rId3"/>
            <a:srcRect/>
            <a:stretch>
              <a:fillRect/>
            </a:stretch>
          </xdr:blipFill>
          <xdr:spPr bwMode="auto">
            <a:xfrm>
              <a:off x="904874" y="15660052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346</xdr:row>
          <xdr:rowOff>9525</xdr:rowOff>
        </xdr:from>
        <xdr:to>
          <xdr:col>14</xdr:col>
          <xdr:colOff>509586</xdr:colOff>
          <xdr:row>356</xdr:row>
          <xdr:rowOff>9525</xdr:rowOff>
        </xdr:to>
        <xdr:pic>
          <xdr:nvPicPr>
            <xdr:cNvPr id="107" name="図 106">
              <a:extLst>
                <a:ext uri="{FF2B5EF4-FFF2-40B4-BE49-F238E27FC236}">
                  <a16:creationId xmlns:a16="http://schemas.microsoft.com/office/drawing/2014/main" id="{4A0D36FF-DD42-4D10-8196-99AC713D121F}"/>
                </a:ext>
              </a:extLst>
            </xdr:cNvPr>
            <xdr:cNvPicPr>
              <a:picLocks noChangeAspect="1" noChangeArrowheads="1"/>
              <a:extLst>
                <a:ext uri="{84589F7E-364E-4C9E-8A38-B11213B215E9}">
                  <a14:cameraTool cellRange="$T$347:$V$356" spid="_x0000_s180233"/>
                </a:ext>
              </a:extLst>
            </xdr:cNvPicPr>
          </xdr:nvPicPr>
          <xdr:blipFill>
            <a:blip xmlns:r="http://schemas.openxmlformats.org/officeDocument/2006/relationships" r:embed="rId3"/>
            <a:srcRect/>
            <a:stretch>
              <a:fillRect/>
            </a:stretch>
          </xdr:blipFill>
          <xdr:spPr bwMode="auto">
            <a:xfrm>
              <a:off x="904874" y="16479202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362</xdr:row>
          <xdr:rowOff>352425</xdr:rowOff>
        </xdr:from>
        <xdr:to>
          <xdr:col>14</xdr:col>
          <xdr:colOff>509586</xdr:colOff>
          <xdr:row>372</xdr:row>
          <xdr:rowOff>352425</xdr:rowOff>
        </xdr:to>
        <xdr:pic>
          <xdr:nvPicPr>
            <xdr:cNvPr id="108" name="図 107">
              <a:extLst>
                <a:ext uri="{FF2B5EF4-FFF2-40B4-BE49-F238E27FC236}">
                  <a16:creationId xmlns:a16="http://schemas.microsoft.com/office/drawing/2014/main" id="{5A5780A6-D874-4F51-8CA1-B0DBC4DBC672}"/>
                </a:ext>
              </a:extLst>
            </xdr:cNvPr>
            <xdr:cNvPicPr>
              <a:picLocks noChangeAspect="1" noChangeArrowheads="1"/>
              <a:extLst>
                <a:ext uri="{84589F7E-364E-4C9E-8A38-B11213B215E9}">
                  <a14:cameraTool cellRange="$T$364:$V$373" spid="_x0000_s180234"/>
                </a:ext>
              </a:extLst>
            </xdr:cNvPicPr>
          </xdr:nvPicPr>
          <xdr:blipFill>
            <a:blip xmlns:r="http://schemas.openxmlformats.org/officeDocument/2006/relationships" r:embed="rId3"/>
            <a:srcRect/>
            <a:stretch>
              <a:fillRect/>
            </a:stretch>
          </xdr:blipFill>
          <xdr:spPr bwMode="auto">
            <a:xfrm>
              <a:off x="904874" y="172754925"/>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379</xdr:row>
          <xdr:rowOff>419100</xdr:rowOff>
        </xdr:from>
        <xdr:to>
          <xdr:col>14</xdr:col>
          <xdr:colOff>509586</xdr:colOff>
          <xdr:row>389</xdr:row>
          <xdr:rowOff>419100</xdr:rowOff>
        </xdr:to>
        <xdr:pic>
          <xdr:nvPicPr>
            <xdr:cNvPr id="109" name="図 108">
              <a:extLst>
                <a:ext uri="{FF2B5EF4-FFF2-40B4-BE49-F238E27FC236}">
                  <a16:creationId xmlns:a16="http://schemas.microsoft.com/office/drawing/2014/main" id="{9FC613BE-1FFC-41D2-8B58-4340B56D5F9B}"/>
                </a:ext>
              </a:extLst>
            </xdr:cNvPr>
            <xdr:cNvPicPr>
              <a:picLocks noChangeAspect="1" noChangeArrowheads="1"/>
              <a:extLst>
                <a:ext uri="{84589F7E-364E-4C9E-8A38-B11213B215E9}">
                  <a14:cameraTool cellRange="$T$381:$V$390" spid="_x0000_s180235"/>
                </a:ext>
              </a:extLst>
            </xdr:cNvPicPr>
          </xdr:nvPicPr>
          <xdr:blipFill>
            <a:blip xmlns:r="http://schemas.openxmlformats.org/officeDocument/2006/relationships" r:embed="rId3"/>
            <a:srcRect/>
            <a:stretch>
              <a:fillRect/>
            </a:stretch>
          </xdr:blipFill>
          <xdr:spPr bwMode="auto">
            <a:xfrm>
              <a:off x="904874" y="1809178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397</xdr:row>
          <xdr:rowOff>0</xdr:rowOff>
        </xdr:from>
        <xdr:to>
          <xdr:col>14</xdr:col>
          <xdr:colOff>509586</xdr:colOff>
          <xdr:row>407</xdr:row>
          <xdr:rowOff>0</xdr:rowOff>
        </xdr:to>
        <xdr:pic>
          <xdr:nvPicPr>
            <xdr:cNvPr id="110" name="図 109">
              <a:extLst>
                <a:ext uri="{FF2B5EF4-FFF2-40B4-BE49-F238E27FC236}">
                  <a16:creationId xmlns:a16="http://schemas.microsoft.com/office/drawing/2014/main" id="{2440DD54-1F61-4EF8-9CFC-38CA404F7E75}"/>
                </a:ext>
              </a:extLst>
            </xdr:cNvPr>
            <xdr:cNvPicPr>
              <a:picLocks noChangeAspect="1" noChangeArrowheads="1"/>
              <a:extLst>
                <a:ext uri="{84589F7E-364E-4C9E-8A38-B11213B215E9}">
                  <a14:cameraTool cellRange="$T$398:$V$407" spid="_x0000_s180236"/>
                </a:ext>
              </a:extLst>
            </xdr:cNvPicPr>
          </xdr:nvPicPr>
          <xdr:blipFill>
            <a:blip xmlns:r="http://schemas.openxmlformats.org/officeDocument/2006/relationships" r:embed="rId3"/>
            <a:srcRect/>
            <a:stretch>
              <a:fillRect/>
            </a:stretch>
          </xdr:blipFill>
          <xdr:spPr bwMode="auto">
            <a:xfrm>
              <a:off x="904874" y="1890712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413</xdr:row>
          <xdr:rowOff>438150</xdr:rowOff>
        </xdr:from>
        <xdr:to>
          <xdr:col>14</xdr:col>
          <xdr:colOff>509586</xdr:colOff>
          <xdr:row>423</xdr:row>
          <xdr:rowOff>438150</xdr:rowOff>
        </xdr:to>
        <xdr:pic>
          <xdr:nvPicPr>
            <xdr:cNvPr id="111" name="図 110">
              <a:extLst>
                <a:ext uri="{FF2B5EF4-FFF2-40B4-BE49-F238E27FC236}">
                  <a16:creationId xmlns:a16="http://schemas.microsoft.com/office/drawing/2014/main" id="{7248AD37-98D5-4ED9-AB81-7790BA82638A}"/>
                </a:ext>
              </a:extLst>
            </xdr:cNvPr>
            <xdr:cNvPicPr>
              <a:picLocks noChangeAspect="1" noChangeArrowheads="1"/>
              <a:extLst>
                <a:ext uri="{84589F7E-364E-4C9E-8A38-B11213B215E9}">
                  <a14:cameraTool cellRange="$T$415:$V$424" spid="_x0000_s180237"/>
                </a:ext>
              </a:extLst>
            </xdr:cNvPicPr>
          </xdr:nvPicPr>
          <xdr:blipFill>
            <a:blip xmlns:r="http://schemas.openxmlformats.org/officeDocument/2006/relationships" r:embed="rId3"/>
            <a:srcRect/>
            <a:stretch>
              <a:fillRect/>
            </a:stretch>
          </xdr:blipFill>
          <xdr:spPr bwMode="auto">
            <a:xfrm>
              <a:off x="904874" y="19712940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214311</xdr:colOff>
          <xdr:row>430</xdr:row>
          <xdr:rowOff>361950</xdr:rowOff>
        </xdr:from>
        <xdr:to>
          <xdr:col>14</xdr:col>
          <xdr:colOff>509586</xdr:colOff>
          <xdr:row>440</xdr:row>
          <xdr:rowOff>361950</xdr:rowOff>
        </xdr:to>
        <xdr:pic>
          <xdr:nvPicPr>
            <xdr:cNvPr id="112" name="図 111">
              <a:extLst>
                <a:ext uri="{FF2B5EF4-FFF2-40B4-BE49-F238E27FC236}">
                  <a16:creationId xmlns:a16="http://schemas.microsoft.com/office/drawing/2014/main" id="{0389C09F-75CD-4D2B-9600-CE69E0D74EAA}"/>
                </a:ext>
              </a:extLst>
            </xdr:cNvPr>
            <xdr:cNvPicPr>
              <a:picLocks noChangeAspect="1" noChangeArrowheads="1"/>
              <a:extLst>
                <a:ext uri="{84589F7E-364E-4C9E-8A38-B11213B215E9}">
                  <a14:cameraTool cellRange="$T$432:$V$441" spid="_x0000_s180238"/>
                </a:ext>
              </a:extLst>
            </xdr:cNvPicPr>
          </xdr:nvPicPr>
          <xdr:blipFill>
            <a:blip xmlns:r="http://schemas.openxmlformats.org/officeDocument/2006/relationships" r:embed="rId5"/>
            <a:srcRect/>
            <a:stretch>
              <a:fillRect/>
            </a:stretch>
          </xdr:blipFill>
          <xdr:spPr bwMode="auto">
            <a:xfrm>
              <a:off x="904874" y="205149450"/>
              <a:ext cx="9272587" cy="476250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北條亮一" refreshedDate="46100.761584143518" createdVersion="8" refreshedVersion="8" minRefreshableVersion="3" recordCount="240" xr:uid="{E76967C2-A53A-4E54-B814-16B43678A30E}">
  <cacheSource type="worksheet">
    <worksheetSource name="T_学生別進路"/>
  </cacheSource>
  <cacheFields count="15">
    <cacheField name="学籍番号" numFmtId="0">
      <sharedItems containsSemiMixedTypes="0" containsString="0" containsNumber="1" containsInteger="1" minValue="2404005" maxValue="2501003"/>
    </cacheField>
    <cacheField name="クラス" numFmtId="0">
      <sharedItems count="13">
        <s v="2-1"/>
        <s v="2-2"/>
        <s v="2-3"/>
        <s v="2-4"/>
        <s v="2-5"/>
        <s v="2-6"/>
        <s v="2-7"/>
        <s v="2-8"/>
        <s v="2-9"/>
        <s v="2-10"/>
        <s v="2-11"/>
        <s v="2-12"/>
        <s v="2-13"/>
      </sharedItems>
    </cacheField>
    <cacheField name="名前" numFmtId="0">
      <sharedItems/>
    </cacheField>
    <cacheField name="進学確定" numFmtId="0">
      <sharedItems/>
    </cacheField>
    <cacheField name="進路確定" numFmtId="0">
      <sharedItems containsBlank="1" count="3">
        <s v=""/>
        <s v="○"/>
        <m u="1"/>
      </sharedItems>
    </cacheField>
    <cacheField name="進路確定フラグ" numFmtId="0">
      <sharedItems containsMixedTypes="1" containsNumber="1" containsInteger="1" minValue="1" maxValue="1"/>
    </cacheField>
    <cacheField name="進学希望フラグ" numFmtId="0">
      <sharedItems containsSemiMixedTypes="0" containsString="0" containsNumber="1" containsInteger="1" minValue="0" maxValue="1"/>
    </cacheField>
    <cacheField name="合格校" numFmtId="0">
      <sharedItems/>
    </cacheField>
    <cacheField name="安心度" numFmtId="0">
      <sharedItems containsBlank="1"/>
    </cacheField>
    <cacheField name="合格時期" numFmtId="177">
      <sharedItems containsNonDate="0" containsDate="1" containsString="0" containsBlank="1" minDate="2025-06-01T00:00:00" maxDate="2026-02-02T00:00:00"/>
    </cacheField>
    <cacheField name="11月末時点合格" numFmtId="0">
      <sharedItems containsSemiMixedTypes="0" containsString="0" containsNumber="1" containsInteger="1" minValue="0" maxValue="1"/>
    </cacheField>
    <cacheField name="12月末時点合格" numFmtId="0">
      <sharedItems containsSemiMixedTypes="0" containsString="0" containsNumber="1" containsInteger="1" minValue="0" maxValue="1"/>
    </cacheField>
    <cacheField name="1月末時点合格" numFmtId="0">
      <sharedItems containsSemiMixedTypes="0" containsString="0" containsNumber="1" containsInteger="1" minValue="0" maxValue="1"/>
    </cacheField>
    <cacheField name="2月末時点合格" numFmtId="0">
      <sharedItems containsSemiMixedTypes="0" containsString="0" containsNumber="1" containsInteger="1" minValue="0" maxValue="1"/>
    </cacheField>
    <cacheField name="3月末時点合格"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2404012"/>
    <x v="0"/>
    <s v="KAUNG KHANT KYAW"/>
    <s v=""/>
    <x v="0"/>
    <s v=""/>
    <n v="0"/>
    <s v=""/>
    <m/>
    <m/>
    <n v="0"/>
    <n v="0"/>
    <n v="0"/>
    <n v="0"/>
    <n v="0"/>
  </r>
  <r>
    <n v="2404021"/>
    <x v="0"/>
    <s v="NANG PHWAY WADI OO"/>
    <s v="○"/>
    <x v="1"/>
    <n v="1"/>
    <n v="1"/>
    <s v="大阪モード学園"/>
    <s v="B"/>
    <d v="2025-11-01T00:00:00"/>
    <n v="1"/>
    <n v="1"/>
    <n v="1"/>
    <n v="1"/>
    <n v="1"/>
  </r>
  <r>
    <n v="2404022"/>
    <x v="0"/>
    <s v="THIRI MAY"/>
    <s v="○"/>
    <x v="1"/>
    <n v="1"/>
    <n v="1"/>
    <s v="神戸松蔭大学"/>
    <s v="A"/>
    <d v="2025-12-01T00:00:00"/>
    <n v="0"/>
    <n v="1"/>
    <n v="1"/>
    <n v="1"/>
    <n v="1"/>
  </r>
  <r>
    <n v="2404025"/>
    <x v="0"/>
    <s v="MIN THIHA"/>
    <s v="○"/>
    <x v="1"/>
    <n v="1"/>
    <n v="1"/>
    <s v="大阪産業大学"/>
    <s v="B"/>
    <d v="2025-12-01T00:00:00"/>
    <n v="0"/>
    <n v="1"/>
    <n v="1"/>
    <n v="1"/>
    <n v="1"/>
  </r>
  <r>
    <n v="2404027"/>
    <x v="0"/>
    <s v="PHYO SI THU"/>
    <s v="○"/>
    <x v="1"/>
    <n v="1"/>
    <n v="1"/>
    <s v="東京テクニカルカレッジ"/>
    <s v="A"/>
    <d v="2025-11-01T00:00:00"/>
    <n v="1"/>
    <n v="1"/>
    <n v="1"/>
    <n v="1"/>
    <n v="1"/>
  </r>
  <r>
    <n v="2404031"/>
    <x v="0"/>
    <s v="NWAY NWAY TUN"/>
    <s v="○"/>
    <x v="1"/>
    <n v="1"/>
    <n v="1"/>
    <s v="東京テクニカルカレッジ"/>
    <m/>
    <d v="2025-10-01T00:00:00"/>
    <n v="1"/>
    <n v="1"/>
    <n v="1"/>
    <n v="1"/>
    <n v="1"/>
  </r>
  <r>
    <n v="2404042"/>
    <x v="0"/>
    <s v="PHU PHU MYAT THU"/>
    <s v="○"/>
    <x v="1"/>
    <n v="1"/>
    <n v="1"/>
    <s v="ECC国際外語専門学校"/>
    <s v="A"/>
    <d v="2025-12-01T00:00:00"/>
    <n v="0"/>
    <n v="1"/>
    <n v="1"/>
    <n v="1"/>
    <n v="1"/>
  </r>
  <r>
    <n v="2404043"/>
    <x v="0"/>
    <s v="RITA HLA MOE"/>
    <s v="○"/>
    <x v="1"/>
    <n v="1"/>
    <n v="1"/>
    <s v="神戸国際大学"/>
    <m/>
    <d v="2025-11-01T00:00:00"/>
    <n v="1"/>
    <n v="1"/>
    <n v="1"/>
    <n v="1"/>
    <n v="1"/>
  </r>
  <r>
    <n v="2404046"/>
    <x v="0"/>
    <s v="KYAL SIN LIN"/>
    <s v="○"/>
    <x v="1"/>
    <n v="1"/>
    <n v="1"/>
    <s v="ECC国際外語専門学校"/>
    <s v="A"/>
    <d v="2025-12-01T00:00:00"/>
    <n v="0"/>
    <n v="1"/>
    <n v="1"/>
    <n v="1"/>
    <n v="1"/>
  </r>
  <r>
    <n v="2404047"/>
    <x v="0"/>
    <s v="KHIN YADANAR OO"/>
    <s v="○"/>
    <x v="1"/>
    <n v="1"/>
    <n v="1"/>
    <s v="エール学園"/>
    <s v="A"/>
    <d v="2025-11-01T00:00:00"/>
    <n v="1"/>
    <n v="1"/>
    <n v="1"/>
    <n v="1"/>
    <n v="1"/>
  </r>
  <r>
    <n v="2404050"/>
    <x v="0"/>
    <s v="THUTA ZAW"/>
    <s v="○"/>
    <x v="1"/>
    <n v="1"/>
    <n v="1"/>
    <s v="東京みらいIT&amp;AI専門学校"/>
    <s v="A"/>
    <d v="2025-12-01T00:00:00"/>
    <n v="0"/>
    <n v="1"/>
    <n v="1"/>
    <n v="1"/>
    <n v="1"/>
  </r>
  <r>
    <n v="2404051"/>
    <x v="0"/>
    <s v="KAUNG ZIN NYI"/>
    <s v="○"/>
    <x v="1"/>
    <n v="1"/>
    <n v="1"/>
    <s v="中央工学校"/>
    <s v="A"/>
    <d v="2025-11-01T00:00:00"/>
    <n v="1"/>
    <n v="1"/>
    <n v="1"/>
    <n v="1"/>
    <n v="1"/>
  </r>
  <r>
    <n v="2404058"/>
    <x v="0"/>
    <s v="HAN THU SAN"/>
    <s v="○"/>
    <x v="1"/>
    <n v="1"/>
    <n v="1"/>
    <s v="大手前大学"/>
    <s v="A"/>
    <d v="2025-11-01T00:00:00"/>
    <n v="1"/>
    <n v="1"/>
    <n v="1"/>
    <n v="1"/>
    <n v="1"/>
  </r>
  <r>
    <n v="2404073"/>
    <x v="0"/>
    <s v="FAKIR SHAKIB"/>
    <s v="○"/>
    <x v="1"/>
    <n v="1"/>
    <n v="1"/>
    <s v="東京国際ビジネスカレッジ神戸校"/>
    <s v="A"/>
    <d v="2025-11-01T00:00:00"/>
    <n v="1"/>
    <n v="1"/>
    <n v="1"/>
    <n v="1"/>
    <n v="1"/>
  </r>
  <r>
    <n v="2404084"/>
    <x v="0"/>
    <s v="MD. MATIUR RAHMAN"/>
    <s v="○"/>
    <x v="1"/>
    <n v="1"/>
    <n v="1"/>
    <s v="流通科学大学"/>
    <m/>
    <d v="2025-11-01T00:00:00"/>
    <n v="1"/>
    <n v="1"/>
    <n v="1"/>
    <n v="1"/>
    <n v="1"/>
  </r>
  <r>
    <n v="2404093"/>
    <x v="0"/>
    <s v="DELWAR HOSHEN SAYED"/>
    <s v="○"/>
    <x v="1"/>
    <n v="1"/>
    <n v="1"/>
    <s v="流通科学大学"/>
    <m/>
    <d v="2025-11-01T00:00:00"/>
    <n v="1"/>
    <n v="1"/>
    <n v="1"/>
    <n v="1"/>
    <n v="1"/>
  </r>
  <r>
    <n v="2407013"/>
    <x v="0"/>
    <s v="SOE NYI HTUT"/>
    <s v="○"/>
    <x v="1"/>
    <n v="1"/>
    <n v="1"/>
    <s v="大阪学院大学"/>
    <s v="A"/>
    <d v="2025-10-01T00:00:00"/>
    <n v="1"/>
    <n v="1"/>
    <n v="1"/>
    <n v="1"/>
    <n v="1"/>
  </r>
  <r>
    <n v="2407025"/>
    <x v="0"/>
    <s v="KHIN PYAE SONE"/>
    <s v="○"/>
    <x v="1"/>
    <n v="1"/>
    <n v="1"/>
    <s v="神戸電子専門学校"/>
    <m/>
    <d v="2025-11-01T00:00:00"/>
    <n v="1"/>
    <n v="1"/>
    <n v="1"/>
    <n v="1"/>
    <n v="1"/>
  </r>
  <r>
    <n v="2404011"/>
    <x v="1"/>
    <s v="BUI NGOC ANH THU"/>
    <s v="○"/>
    <x v="1"/>
    <n v="1"/>
    <n v="1"/>
    <s v="東京国際ビジネスカレッジ神戸校"/>
    <s v="B"/>
    <d v="2026-02-01T00:00:00"/>
    <n v="0"/>
    <n v="0"/>
    <n v="0"/>
    <n v="1"/>
    <n v="1"/>
  </r>
  <r>
    <n v="2404013"/>
    <x v="1"/>
    <s v="CHIT MAUNG MAUNG"/>
    <s v=""/>
    <x v="0"/>
    <s v=""/>
    <n v="0"/>
    <s v=""/>
    <s v="B"/>
    <m/>
    <n v="0"/>
    <n v="0"/>
    <n v="0"/>
    <n v="0"/>
    <n v="0"/>
  </r>
  <r>
    <n v="2404015"/>
    <x v="1"/>
    <s v="NAY LIN OO"/>
    <s v="○"/>
    <x v="1"/>
    <n v="1"/>
    <n v="1"/>
    <s v="神戸松蔭大学"/>
    <s v="B"/>
    <d v="2025-12-01T00:00:00"/>
    <n v="0"/>
    <n v="1"/>
    <n v="1"/>
    <n v="1"/>
    <n v="1"/>
  </r>
  <r>
    <n v="2404016"/>
    <x v="1"/>
    <s v="THAW ZIN HTUN"/>
    <s v="○"/>
    <x v="1"/>
    <n v="1"/>
    <n v="1"/>
    <s v="神戸電子専門学校"/>
    <s v="B"/>
    <d v="2025-12-01T00:00:00"/>
    <n v="0"/>
    <n v="1"/>
    <n v="1"/>
    <n v="1"/>
    <n v="1"/>
  </r>
  <r>
    <n v="2404017"/>
    <x v="1"/>
    <s v="HNIN HNIN WAI"/>
    <s v="○"/>
    <x v="1"/>
    <n v="1"/>
    <n v="1"/>
    <s v="神戸国際大学"/>
    <m/>
    <d v="2025-12-01T00:00:00"/>
    <n v="0"/>
    <n v="1"/>
    <n v="1"/>
    <n v="1"/>
    <n v="1"/>
  </r>
  <r>
    <n v="2404018"/>
    <x v="1"/>
    <s v="MAY PHOO THIT"/>
    <s v="○"/>
    <x v="1"/>
    <n v="1"/>
    <n v="1"/>
    <s v="大阪モード学園"/>
    <m/>
    <d v="2025-10-01T00:00:00"/>
    <n v="1"/>
    <n v="1"/>
    <n v="1"/>
    <n v="1"/>
    <n v="1"/>
  </r>
  <r>
    <n v="2404020"/>
    <x v="1"/>
    <s v="SAI KWAN PHA"/>
    <s v="○"/>
    <x v="1"/>
    <n v="1"/>
    <n v="1"/>
    <s v="ECC国際外語専門学校"/>
    <s v="B"/>
    <d v="2026-01-01T00:00:00"/>
    <n v="0"/>
    <n v="0"/>
    <n v="1"/>
    <n v="1"/>
    <n v="1"/>
  </r>
  <r>
    <n v="2404023"/>
    <x v="1"/>
    <s v="LAE YI HTUN"/>
    <s v="○"/>
    <x v="1"/>
    <n v="1"/>
    <n v="1"/>
    <s v="修成建設専門学校"/>
    <m/>
    <d v="2025-10-01T00:00:00"/>
    <n v="1"/>
    <n v="1"/>
    <n v="1"/>
    <n v="1"/>
    <n v="1"/>
  </r>
  <r>
    <n v="2404024"/>
    <x v="1"/>
    <s v="KHAY MON CHAN"/>
    <s v=""/>
    <x v="0"/>
    <s v=""/>
    <n v="0"/>
    <s v=""/>
    <m/>
    <m/>
    <n v="0"/>
    <n v="0"/>
    <n v="0"/>
    <n v="0"/>
    <n v="0"/>
  </r>
  <r>
    <n v="2404026"/>
    <x v="1"/>
    <s v="YE MIN HTET"/>
    <s v="○"/>
    <x v="1"/>
    <n v="1"/>
    <n v="1"/>
    <s v="神戸松蔭大学"/>
    <s v="B"/>
    <d v="2025-12-01T00:00:00"/>
    <n v="0"/>
    <n v="1"/>
    <n v="1"/>
    <n v="1"/>
    <n v="1"/>
  </r>
  <r>
    <n v="2404029"/>
    <x v="1"/>
    <s v="KAY ZIN OO"/>
    <s v="○"/>
    <x v="1"/>
    <n v="1"/>
    <n v="1"/>
    <s v="ECC国際外語専門学校"/>
    <s v="B"/>
    <d v="2025-11-01T00:00:00"/>
    <n v="1"/>
    <n v="1"/>
    <n v="1"/>
    <n v="1"/>
    <n v="1"/>
  </r>
  <r>
    <n v="2404030"/>
    <x v="1"/>
    <s v="MYAT PWINT WAI"/>
    <s v="○"/>
    <x v="1"/>
    <n v="1"/>
    <n v="1"/>
    <s v="中央工学校"/>
    <s v="B"/>
    <d v="2026-01-01T00:00:00"/>
    <n v="0"/>
    <n v="0"/>
    <n v="1"/>
    <n v="1"/>
    <n v="1"/>
  </r>
  <r>
    <n v="2404049"/>
    <x v="1"/>
    <s v="SAI KHANT SITHU"/>
    <s v="○"/>
    <x v="1"/>
    <n v="1"/>
    <n v="1"/>
    <s v="大阪モード学園"/>
    <m/>
    <d v="2025-10-01T00:00:00"/>
    <n v="1"/>
    <n v="1"/>
    <n v="1"/>
    <n v="1"/>
    <n v="1"/>
  </r>
  <r>
    <n v="2404110"/>
    <x v="1"/>
    <s v="MD. JONAYET"/>
    <s v="○"/>
    <x v="1"/>
    <n v="1"/>
    <n v="1"/>
    <s v="早稲田文理専門学校"/>
    <s v="A"/>
    <d v="2025-12-01T00:00:00"/>
    <n v="0"/>
    <n v="1"/>
    <n v="1"/>
    <n v="1"/>
    <n v="1"/>
  </r>
  <r>
    <n v="2404165"/>
    <x v="1"/>
    <s v="GIRI TAPENDRA RAJ"/>
    <s v="○"/>
    <x v="1"/>
    <n v="1"/>
    <n v="1"/>
    <s v="柏木実業専門学校"/>
    <m/>
    <d v="2025-11-01T00:00:00"/>
    <n v="1"/>
    <n v="1"/>
    <n v="1"/>
    <n v="1"/>
    <n v="1"/>
  </r>
  <r>
    <n v="2407029"/>
    <x v="1"/>
    <s v="EI EI THEIN"/>
    <s v=""/>
    <x v="0"/>
    <s v=""/>
    <n v="0"/>
    <s v=""/>
    <m/>
    <m/>
    <n v="0"/>
    <n v="0"/>
    <n v="0"/>
    <n v="0"/>
    <n v="0"/>
  </r>
  <r>
    <n v="2407068"/>
    <x v="1"/>
    <s v="TAMANG NIKITA"/>
    <s v="○"/>
    <x v="1"/>
    <n v="1"/>
    <n v="1"/>
    <s v="流通経済大学"/>
    <m/>
    <d v="2025-11-01T00:00:00"/>
    <n v="1"/>
    <n v="1"/>
    <n v="1"/>
    <n v="1"/>
    <n v="1"/>
  </r>
  <r>
    <n v="2407070"/>
    <x v="1"/>
    <s v="TAMANG ALISHA"/>
    <s v="○"/>
    <x v="1"/>
    <n v="1"/>
    <n v="1"/>
    <s v="東京テクニカルカレッジ"/>
    <s v="B"/>
    <d v="2025-11-01T00:00:00"/>
    <n v="1"/>
    <n v="1"/>
    <n v="1"/>
    <n v="1"/>
    <n v="1"/>
  </r>
  <r>
    <n v="2407077"/>
    <x v="1"/>
    <s v="SHRESTHA BHUWAN"/>
    <s v="○"/>
    <x v="1"/>
    <n v="1"/>
    <n v="1"/>
    <s v="東京国際ビジネスカレッジ神戸校"/>
    <m/>
    <d v="2025-10-01T00:00:00"/>
    <n v="1"/>
    <n v="1"/>
    <n v="1"/>
    <n v="1"/>
    <n v="1"/>
  </r>
  <r>
    <n v="2501002"/>
    <x v="1"/>
    <s v="NWAY KHET KHET PAN"/>
    <s v=""/>
    <x v="0"/>
    <s v=""/>
    <n v="0"/>
    <s v=""/>
    <s v="B"/>
    <m/>
    <n v="0"/>
    <n v="0"/>
    <n v="0"/>
    <n v="0"/>
    <n v="0"/>
  </r>
  <r>
    <n v="2404019"/>
    <x v="2"/>
    <s v="MIN THIHA"/>
    <s v="○"/>
    <x v="1"/>
    <n v="1"/>
    <n v="1"/>
    <s v="岩谷学園よこはまITビジネス専門学校"/>
    <s v="B"/>
    <d v="2025-12-01T00:00:00"/>
    <n v="0"/>
    <n v="1"/>
    <n v="1"/>
    <n v="1"/>
    <n v="1"/>
  </r>
  <r>
    <n v="2404044"/>
    <x v="2"/>
    <s v="THURA LINN"/>
    <s v="○"/>
    <x v="1"/>
    <n v="1"/>
    <n v="1"/>
    <s v="ECC国際外語専門学校"/>
    <m/>
    <d v="2026-01-01T00:00:00"/>
    <n v="0"/>
    <n v="0"/>
    <n v="1"/>
    <n v="1"/>
    <n v="1"/>
  </r>
  <r>
    <n v="2404048"/>
    <x v="2"/>
    <s v="MIN HTET PAING"/>
    <s v=""/>
    <x v="0"/>
    <s v=""/>
    <n v="0"/>
    <s v=""/>
    <m/>
    <m/>
    <n v="0"/>
    <n v="0"/>
    <n v="0"/>
    <n v="0"/>
    <n v="0"/>
  </r>
  <r>
    <n v="2404062"/>
    <x v="2"/>
    <s v="HOSSAIN MD YEASIN"/>
    <s v=""/>
    <x v="0"/>
    <s v=""/>
    <n v="0"/>
    <s v=""/>
    <m/>
    <m/>
    <n v="0"/>
    <n v="0"/>
    <n v="0"/>
    <n v="0"/>
    <n v="0"/>
  </r>
  <r>
    <n v="2404075"/>
    <x v="2"/>
    <s v="MD. RAKEBUL ISLAM RONY"/>
    <s v="○"/>
    <x v="1"/>
    <n v="1"/>
    <n v="1"/>
    <s v="神戸親和大学"/>
    <s v="A"/>
    <d v="2025-12-01T00:00:00"/>
    <n v="0"/>
    <n v="1"/>
    <n v="1"/>
    <n v="1"/>
    <n v="1"/>
  </r>
  <r>
    <n v="2404080"/>
    <x v="2"/>
    <s v="HASAN MD MEHEDI"/>
    <s v="○"/>
    <x v="1"/>
    <n v="1"/>
    <n v="1"/>
    <s v="CAD製図専門学校"/>
    <m/>
    <d v="2025-07-01T00:00:00"/>
    <n v="1"/>
    <n v="1"/>
    <n v="1"/>
    <n v="1"/>
    <n v="1"/>
  </r>
  <r>
    <n v="2404087"/>
    <x v="2"/>
    <s v="ABDUL KAIUM NAEEM"/>
    <s v="○"/>
    <x v="1"/>
    <n v="1"/>
    <n v="1"/>
    <s v="日商簿記三鷹福祉専門学校"/>
    <m/>
    <d v="2025-10-01T00:00:00"/>
    <n v="1"/>
    <n v="1"/>
    <n v="1"/>
    <n v="1"/>
    <n v="1"/>
  </r>
  <r>
    <n v="2404102"/>
    <x v="2"/>
    <s v="SHAMIM HOSSAIN"/>
    <s v="○"/>
    <x v="1"/>
    <n v="1"/>
    <n v="1"/>
    <s v="CAD製図専門学校"/>
    <m/>
    <d v="2025-08-01T00:00:00"/>
    <n v="1"/>
    <n v="1"/>
    <n v="1"/>
    <n v="1"/>
    <n v="1"/>
  </r>
  <r>
    <n v="2404129"/>
    <x v="2"/>
    <s v="AHMED MD JUBAYER"/>
    <s v="○"/>
    <x v="1"/>
    <n v="1"/>
    <n v="1"/>
    <s v="中部国際自動車大学校"/>
    <m/>
    <d v="2025-10-01T00:00:00"/>
    <n v="1"/>
    <n v="1"/>
    <n v="1"/>
    <n v="1"/>
    <n v="1"/>
  </r>
  <r>
    <n v="2404133"/>
    <x v="2"/>
    <s v="SHRESTHA YAM KUMAR"/>
    <s v="○"/>
    <x v="1"/>
    <n v="1"/>
    <n v="1"/>
    <s v="専門学校アートカレッジ神戸"/>
    <m/>
    <d v="2025-07-01T00:00:00"/>
    <n v="1"/>
    <n v="1"/>
    <n v="1"/>
    <n v="1"/>
    <n v="1"/>
  </r>
  <r>
    <n v="2404134"/>
    <x v="2"/>
    <s v="UPAHAR SEDAI"/>
    <s v="○"/>
    <x v="1"/>
    <n v="1"/>
    <n v="1"/>
    <s v="専門学校アートカレッジ神戸"/>
    <m/>
    <d v="2025-08-01T00:00:00"/>
    <n v="1"/>
    <n v="1"/>
    <n v="1"/>
    <n v="1"/>
    <n v="1"/>
  </r>
  <r>
    <n v="2404139"/>
    <x v="2"/>
    <s v="DURGA BAHADUR DARAI"/>
    <s v="○"/>
    <x v="1"/>
    <n v="1"/>
    <n v="1"/>
    <s v="関西国際旅行・ホテル専門学校"/>
    <m/>
    <d v="2025-07-01T00:00:00"/>
    <n v="1"/>
    <n v="1"/>
    <n v="1"/>
    <n v="1"/>
    <n v="1"/>
  </r>
  <r>
    <n v="2404140"/>
    <x v="2"/>
    <s v="SUSMA TAMANG"/>
    <s v="○"/>
    <x v="1"/>
    <n v="1"/>
    <n v="1"/>
    <s v="神戸親和大学"/>
    <s v="A"/>
    <d v="2025-12-01T00:00:00"/>
    <n v="0"/>
    <n v="1"/>
    <n v="1"/>
    <n v="1"/>
    <n v="1"/>
  </r>
  <r>
    <n v="2404146"/>
    <x v="2"/>
    <s v="RUPESH LAMICHHANE"/>
    <s v="○"/>
    <x v="1"/>
    <n v="1"/>
    <n v="1"/>
    <s v="神戸親和大学"/>
    <s v="A"/>
    <d v="2025-12-01T00:00:00"/>
    <n v="0"/>
    <n v="1"/>
    <n v="1"/>
    <n v="1"/>
    <n v="1"/>
  </r>
  <r>
    <n v="2404148"/>
    <x v="2"/>
    <s v="BISHNU PRASAD BHANDARI"/>
    <s v="○"/>
    <x v="1"/>
    <n v="1"/>
    <n v="1"/>
    <s v="専門学校花壇自動車大学校"/>
    <m/>
    <d v="2025-11-01T00:00:00"/>
    <n v="1"/>
    <n v="1"/>
    <n v="1"/>
    <n v="1"/>
    <n v="1"/>
  </r>
  <r>
    <n v="2404149"/>
    <x v="2"/>
    <s v="GITA KUMARI RANA"/>
    <s v="○"/>
    <x v="1"/>
    <n v="1"/>
    <n v="1"/>
    <s v="専門学校アートカレッジ神戸"/>
    <m/>
    <d v="2025-07-01T00:00:00"/>
    <n v="1"/>
    <n v="1"/>
    <n v="1"/>
    <n v="1"/>
    <n v="1"/>
  </r>
  <r>
    <n v="2404154"/>
    <x v="2"/>
    <s v="AADITYA KUMAR CHAUDHARY"/>
    <s v="○"/>
    <x v="1"/>
    <n v="1"/>
    <n v="1"/>
    <s v="専門学校花壇自動車大学校"/>
    <m/>
    <d v="2025-11-01T00:00:00"/>
    <n v="1"/>
    <n v="1"/>
    <n v="1"/>
    <n v="1"/>
    <n v="1"/>
  </r>
  <r>
    <n v="2404155"/>
    <x v="2"/>
    <s v="BUDDHI BAHADUR BUDHATHOKI"/>
    <s v="○"/>
    <x v="1"/>
    <n v="1"/>
    <n v="1"/>
    <s v="イーストウエスト外国語専門学校"/>
    <m/>
    <d v="2025-10-01T00:00:00"/>
    <n v="1"/>
    <n v="1"/>
    <n v="1"/>
    <n v="1"/>
    <n v="1"/>
  </r>
  <r>
    <n v="2404158"/>
    <x v="2"/>
    <s v="DAHAL MANISHA"/>
    <s v="○"/>
    <x v="1"/>
    <n v="1"/>
    <n v="1"/>
    <s v="専門学校アートカレッジ神戸"/>
    <m/>
    <d v="2025-07-01T00:00:00"/>
    <n v="1"/>
    <n v="1"/>
    <n v="1"/>
    <n v="1"/>
    <n v="1"/>
  </r>
  <r>
    <n v="2404177"/>
    <x v="2"/>
    <s v="KHADKA SARASWOTI"/>
    <s v="○"/>
    <x v="1"/>
    <n v="1"/>
    <n v="1"/>
    <s v="流通科学大学"/>
    <m/>
    <d v="2025-11-01T00:00:00"/>
    <n v="1"/>
    <n v="1"/>
    <n v="1"/>
    <n v="1"/>
    <n v="1"/>
  </r>
  <r>
    <n v="2404081"/>
    <x v="3"/>
    <s v="AL-AMIN-AL-SADI"/>
    <s v="○"/>
    <x v="1"/>
    <n v="1"/>
    <n v="1"/>
    <s v="関西国際大学"/>
    <s v="A"/>
    <d v="2025-11-01T00:00:00"/>
    <n v="1"/>
    <n v="1"/>
    <n v="1"/>
    <n v="1"/>
    <n v="1"/>
  </r>
  <r>
    <n v="2404091"/>
    <x v="3"/>
    <s v="SHIHAB MOTIUR RAHMAN"/>
    <s v="○"/>
    <x v="1"/>
    <n v="1"/>
    <n v="1"/>
    <s v="大阪電子専門学校"/>
    <s v="A"/>
    <d v="2025-12-01T00:00:00"/>
    <n v="0"/>
    <n v="1"/>
    <n v="1"/>
    <n v="1"/>
    <n v="1"/>
  </r>
  <r>
    <n v="2404159"/>
    <x v="3"/>
    <s v="RABIN THAPALIYA"/>
    <s v="○"/>
    <x v="1"/>
    <n v="1"/>
    <n v="1"/>
    <s v="岩谷学園よこはまITビジネス専門学校"/>
    <m/>
    <d v="2025-10-01T00:00:00"/>
    <n v="1"/>
    <n v="1"/>
    <n v="1"/>
    <n v="1"/>
    <n v="1"/>
  </r>
  <r>
    <n v="2404182"/>
    <x v="3"/>
    <s v="NABID TANJIM"/>
    <s v="○"/>
    <x v="1"/>
    <n v="1"/>
    <n v="1"/>
    <s v="流通科学大学"/>
    <m/>
    <d v="2025-11-01T00:00:00"/>
    <n v="1"/>
    <n v="1"/>
    <n v="1"/>
    <n v="1"/>
    <n v="1"/>
  </r>
  <r>
    <n v="2407003"/>
    <x v="3"/>
    <s v="劉 暁聡"/>
    <s v="○"/>
    <x v="1"/>
    <n v="1"/>
    <n v="1"/>
    <s v="福岡医健・スポーツ専門学校専門学校"/>
    <m/>
    <d v="2025-11-01T00:00:00"/>
    <n v="1"/>
    <n v="1"/>
    <n v="1"/>
    <n v="1"/>
    <n v="1"/>
  </r>
  <r>
    <n v="2407004"/>
    <x v="3"/>
    <s v="KAMURAN ADILI"/>
    <s v="○"/>
    <x v="1"/>
    <n v="1"/>
    <n v="1"/>
    <s v="東京大学大学院"/>
    <s v="A"/>
    <d v="2025-12-01T00:00:00"/>
    <n v="0"/>
    <n v="1"/>
    <n v="1"/>
    <n v="1"/>
    <n v="1"/>
  </r>
  <r>
    <n v="2407006"/>
    <x v="3"/>
    <s v="李 唯正"/>
    <s v="○"/>
    <x v="1"/>
    <n v="1"/>
    <n v="1"/>
    <s v="山形大学大学院"/>
    <s v="A"/>
    <d v="2026-01-01T00:00:00"/>
    <n v="0"/>
    <n v="0"/>
    <n v="1"/>
    <n v="1"/>
    <n v="1"/>
  </r>
  <r>
    <n v="2407010"/>
    <x v="3"/>
    <s v="YEE MON OO"/>
    <s v="○"/>
    <x v="1"/>
    <n v="1"/>
    <n v="1"/>
    <s v="神戸電子専門学校"/>
    <m/>
    <d v="2025-11-01T00:00:00"/>
    <n v="1"/>
    <n v="1"/>
    <n v="1"/>
    <n v="1"/>
    <n v="1"/>
  </r>
  <r>
    <n v="2407019"/>
    <x v="3"/>
    <s v="KHIN MYAT NOE AYE"/>
    <s v="○"/>
    <x v="1"/>
    <n v="1"/>
    <n v="1"/>
    <s v="大原学園東京校"/>
    <m/>
    <d v="2025-10-01T00:00:00"/>
    <n v="1"/>
    <n v="1"/>
    <n v="1"/>
    <n v="1"/>
    <n v="1"/>
  </r>
  <r>
    <n v="2410002"/>
    <x v="3"/>
    <s v="孔 維晨"/>
    <s v="○"/>
    <x v="1"/>
    <n v="1"/>
    <n v="1"/>
    <s v="大手前大学"/>
    <s v="A"/>
    <d v="2025-12-01T00:00:00"/>
    <n v="0"/>
    <n v="1"/>
    <n v="1"/>
    <n v="1"/>
    <n v="1"/>
  </r>
  <r>
    <n v="2404008"/>
    <x v="4"/>
    <s v="NGUYEN PHUONG LINH"/>
    <s v=""/>
    <x v="0"/>
    <s v=""/>
    <n v="0"/>
    <s v=""/>
    <s v="A"/>
    <m/>
    <n v="0"/>
    <n v="0"/>
    <n v="0"/>
    <n v="0"/>
    <n v="0"/>
  </r>
  <r>
    <n v="2404009"/>
    <x v="4"/>
    <s v="NGUYEN DINH HUYNH"/>
    <s v="○"/>
    <x v="1"/>
    <n v="1"/>
    <n v="1"/>
    <s v="日本デジタルカレッジ"/>
    <s v="C"/>
    <d v="2026-02-01T00:00:00"/>
    <n v="0"/>
    <n v="0"/>
    <n v="0"/>
    <n v="1"/>
    <n v="1"/>
  </r>
  <r>
    <n v="2404045"/>
    <x v="4"/>
    <s v="THEIN NAING WIN"/>
    <s v=""/>
    <x v="0"/>
    <s v=""/>
    <n v="0"/>
    <s v=""/>
    <m/>
    <m/>
    <n v="0"/>
    <n v="0"/>
    <n v="0"/>
    <n v="0"/>
    <n v="0"/>
  </r>
  <r>
    <n v="2404064"/>
    <x v="4"/>
    <s v="CHOWDHURY MD SABER AL BASAR"/>
    <s v="○"/>
    <x v="1"/>
    <n v="1"/>
    <n v="1"/>
    <s v="兵庫大学"/>
    <m/>
    <d v="2025-11-01T00:00:00"/>
    <n v="1"/>
    <n v="1"/>
    <n v="1"/>
    <n v="1"/>
    <n v="1"/>
  </r>
  <r>
    <n v="2404070"/>
    <x v="4"/>
    <s v="HAQUE MD NAJMUL"/>
    <s v="○"/>
    <x v="1"/>
    <n v="1"/>
    <n v="1"/>
    <s v="関西国際旅行・ホテル専門学校"/>
    <m/>
    <d v="2025-09-01T00:00:00"/>
    <n v="1"/>
    <n v="1"/>
    <n v="1"/>
    <n v="1"/>
    <n v="1"/>
  </r>
  <r>
    <n v="2404097"/>
    <x v="4"/>
    <s v="DEWAN SAIF"/>
    <s v="○"/>
    <x v="1"/>
    <n v="1"/>
    <n v="1"/>
    <s v="岡山情報ビジネス学院"/>
    <s v="A"/>
    <d v="2025-12-01T00:00:00"/>
    <n v="0"/>
    <n v="1"/>
    <n v="1"/>
    <n v="1"/>
    <n v="1"/>
  </r>
  <r>
    <n v="2404105"/>
    <x v="4"/>
    <s v="TAREK MD DAUDE IBRAHIM"/>
    <s v="○"/>
    <x v="1"/>
    <n v="1"/>
    <n v="1"/>
    <s v="兵庫大学"/>
    <s v="A"/>
    <d v="2025-12-01T00:00:00"/>
    <n v="0"/>
    <n v="1"/>
    <n v="1"/>
    <n v="1"/>
    <n v="1"/>
  </r>
  <r>
    <n v="2404108"/>
    <x v="4"/>
    <s v="SHEIKH MD SABBIR HOSEN"/>
    <s v="○"/>
    <x v="1"/>
    <n v="1"/>
    <n v="1"/>
    <s v="国際アニメーション専門学校"/>
    <s v="B"/>
    <d v="2025-12-01T00:00:00"/>
    <n v="0"/>
    <n v="1"/>
    <n v="1"/>
    <n v="1"/>
    <n v="1"/>
  </r>
  <r>
    <n v="2404111"/>
    <x v="4"/>
    <s v="HAYDER JAHIDUL ISLAM"/>
    <s v="○"/>
    <x v="1"/>
    <n v="1"/>
    <n v="1"/>
    <s v="国際アニメーション専門学校"/>
    <s v="A"/>
    <d v="2025-12-01T00:00:00"/>
    <n v="0"/>
    <n v="1"/>
    <n v="1"/>
    <n v="1"/>
    <n v="1"/>
  </r>
  <r>
    <n v="2404113"/>
    <x v="4"/>
    <s v="MD RASEDUL ISLAM"/>
    <s v="○"/>
    <x v="1"/>
    <n v="1"/>
    <n v="1"/>
    <s v="CAD製図専門学校"/>
    <m/>
    <d v="2025-08-01T00:00:00"/>
    <n v="1"/>
    <n v="1"/>
    <n v="1"/>
    <n v="1"/>
    <n v="1"/>
  </r>
  <r>
    <n v="2404119"/>
    <x v="4"/>
    <s v="PAUL JOY"/>
    <s v="○"/>
    <x v="1"/>
    <n v="1"/>
    <n v="1"/>
    <s v="国際アニメーション専門学校"/>
    <s v="A"/>
    <d v="2025-12-01T00:00:00"/>
    <n v="0"/>
    <n v="1"/>
    <n v="1"/>
    <n v="1"/>
    <n v="1"/>
  </r>
  <r>
    <n v="2404171"/>
    <x v="4"/>
    <s v="RAJ KUMAR CHAUDHARY"/>
    <s v="○"/>
    <x v="1"/>
    <n v="1"/>
    <n v="1"/>
    <s v="専門学校アートカレッジ神戸"/>
    <m/>
    <d v="2025-08-01T00:00:00"/>
    <n v="1"/>
    <n v="1"/>
    <n v="1"/>
    <n v="1"/>
    <n v="1"/>
  </r>
  <r>
    <n v="2404172"/>
    <x v="4"/>
    <s v="LIMBU SUSHIL"/>
    <s v="○"/>
    <x v="1"/>
    <n v="1"/>
    <n v="1"/>
    <s v="専門学校アートカレッジ神戸"/>
    <m/>
    <d v="2025-08-01T00:00:00"/>
    <n v="1"/>
    <n v="1"/>
    <n v="1"/>
    <n v="1"/>
    <n v="1"/>
  </r>
  <r>
    <n v="2407020"/>
    <x v="4"/>
    <s v="MAY KHIN OO"/>
    <s v="○"/>
    <x v="1"/>
    <n v="1"/>
    <n v="1"/>
    <s v="関西国際旅行・ホテル専門学校"/>
    <m/>
    <d v="2025-10-01T00:00:00"/>
    <n v="1"/>
    <n v="1"/>
    <n v="1"/>
    <n v="1"/>
    <n v="1"/>
  </r>
  <r>
    <n v="2407044"/>
    <x v="4"/>
    <s v="SUTA DHAR SHABAK"/>
    <s v="○"/>
    <x v="1"/>
    <n v="1"/>
    <n v="1"/>
    <s v="流通科学大学"/>
    <s v="B"/>
    <d v="2025-12-01T00:00:00"/>
    <n v="0"/>
    <n v="1"/>
    <n v="1"/>
    <n v="1"/>
    <n v="1"/>
  </r>
  <r>
    <n v="2407049"/>
    <x v="4"/>
    <s v="AHMAD SABBIR"/>
    <s v="○"/>
    <x v="1"/>
    <n v="1"/>
    <n v="1"/>
    <s v="流通科学大学"/>
    <s v="A"/>
    <d v="2025-12-01T00:00:00"/>
    <n v="0"/>
    <n v="1"/>
    <n v="1"/>
    <n v="1"/>
    <n v="1"/>
  </r>
  <r>
    <n v="2407060"/>
    <x v="4"/>
    <s v="RAHAMAN ABDUR"/>
    <s v="○"/>
    <x v="1"/>
    <n v="1"/>
    <n v="1"/>
    <s v="神戸電子専門学校"/>
    <s v="A"/>
    <d v="2025-12-01T00:00:00"/>
    <n v="0"/>
    <n v="1"/>
    <n v="1"/>
    <n v="1"/>
    <n v="1"/>
  </r>
  <r>
    <n v="2407064"/>
    <x v="4"/>
    <s v="BHUJEL YAMUNA"/>
    <s v="○"/>
    <x v="1"/>
    <n v="1"/>
    <n v="1"/>
    <s v="東京国際ビジネスカレッジ神戸校"/>
    <m/>
    <d v="2025-09-01T00:00:00"/>
    <n v="1"/>
    <n v="1"/>
    <n v="1"/>
    <n v="1"/>
    <n v="1"/>
  </r>
  <r>
    <n v="2410001"/>
    <x v="4"/>
    <s v="范 澤旭"/>
    <s v="○"/>
    <x v="1"/>
    <n v="1"/>
    <n v="1"/>
    <s v="流通科学大学"/>
    <m/>
    <d v="2025-12-01T00:00:00"/>
    <n v="0"/>
    <n v="1"/>
    <n v="1"/>
    <n v="1"/>
    <n v="1"/>
  </r>
  <r>
    <n v="2410004"/>
    <x v="4"/>
    <s v="于 騰傑"/>
    <s v="○"/>
    <x v="1"/>
    <n v="1"/>
    <n v="1"/>
    <s v="愛知工科大学"/>
    <s v="B"/>
    <d v="2026-02-01T00:00:00"/>
    <n v="0"/>
    <n v="0"/>
    <n v="0"/>
    <n v="1"/>
    <n v="1"/>
  </r>
  <r>
    <n v="2404040"/>
    <x v="5"/>
    <s v="AYE PWINT NAING"/>
    <s v="○"/>
    <x v="1"/>
    <n v="1"/>
    <n v="1"/>
    <s v="大阪モード学園"/>
    <m/>
    <d v="2025-09-01T00:00:00"/>
    <n v="1"/>
    <n v="1"/>
    <n v="1"/>
    <n v="1"/>
    <n v="1"/>
  </r>
  <r>
    <n v="2404088"/>
    <x v="5"/>
    <s v="MD.EMTEAZ HOSEN"/>
    <s v="○"/>
    <x v="1"/>
    <n v="1"/>
    <n v="1"/>
    <s v="流通科学大学"/>
    <s v="B"/>
    <d v="2025-11-01T00:00:00"/>
    <n v="1"/>
    <n v="1"/>
    <n v="1"/>
    <n v="1"/>
    <n v="1"/>
  </r>
  <r>
    <n v="2404127"/>
    <x v="5"/>
    <s v="UDOY MD."/>
    <s v="○"/>
    <x v="1"/>
    <n v="1"/>
    <n v="1"/>
    <s v="神戸親和大学"/>
    <s v="A"/>
    <d v="2025-12-01T00:00:00"/>
    <n v="0"/>
    <n v="1"/>
    <n v="1"/>
    <n v="1"/>
    <n v="1"/>
  </r>
  <r>
    <n v="2404163"/>
    <x v="5"/>
    <s v="SABITA GAMAL"/>
    <s v="○"/>
    <x v="1"/>
    <n v="1"/>
    <n v="1"/>
    <s v="東亜経理専門学校"/>
    <m/>
    <d v="2025-11-01T00:00:00"/>
    <n v="1"/>
    <n v="1"/>
    <n v="1"/>
    <n v="1"/>
    <n v="1"/>
  </r>
  <r>
    <n v="2407008"/>
    <x v="5"/>
    <s v="MYA MYA THIN"/>
    <s v="○"/>
    <x v="1"/>
    <n v="1"/>
    <n v="1"/>
    <s v="神戸電子専門学校"/>
    <m/>
    <d v="2025-11-01T00:00:00"/>
    <n v="1"/>
    <n v="1"/>
    <n v="1"/>
    <n v="1"/>
    <n v="1"/>
  </r>
  <r>
    <n v="2407009"/>
    <x v="5"/>
    <s v="NAING LIN KHANT"/>
    <s v="○"/>
    <x v="1"/>
    <n v="1"/>
    <n v="1"/>
    <s v="神戸親和大学"/>
    <s v="A"/>
    <d v="2025-12-01T00:00:00"/>
    <n v="0"/>
    <n v="1"/>
    <n v="1"/>
    <n v="1"/>
    <n v="1"/>
  </r>
  <r>
    <n v="2407014"/>
    <x v="5"/>
    <s v="ZIN LAY NWE"/>
    <s v="○"/>
    <x v="1"/>
    <n v="1"/>
    <n v="1"/>
    <s v="大阪女学院大学"/>
    <m/>
    <d v="2026-01-01T00:00:00"/>
    <n v="0"/>
    <n v="0"/>
    <n v="1"/>
    <n v="1"/>
    <n v="1"/>
  </r>
  <r>
    <n v="2407015"/>
    <x v="5"/>
    <s v="SHANE ARKAR"/>
    <s v="○"/>
    <x v="1"/>
    <n v="1"/>
    <n v="1"/>
    <s v="神戸親和大学"/>
    <s v="A"/>
    <d v="2025-12-01T00:00:00"/>
    <n v="0"/>
    <n v="1"/>
    <n v="1"/>
    <n v="1"/>
    <n v="1"/>
  </r>
  <r>
    <n v="2407016"/>
    <x v="5"/>
    <s v="KYAW ZIN MYINT"/>
    <s v=""/>
    <x v="0"/>
    <s v=""/>
    <n v="0"/>
    <s v=""/>
    <s v="C"/>
    <m/>
    <n v="0"/>
    <n v="0"/>
    <n v="0"/>
    <n v="0"/>
    <n v="0"/>
  </r>
  <r>
    <n v="2407017"/>
    <x v="5"/>
    <s v="THAN TOE AUNG"/>
    <s v="○"/>
    <x v="1"/>
    <n v="1"/>
    <n v="1"/>
    <s v="トヨタ神戸自動車大学校"/>
    <m/>
    <d v="2025-12-01T00:00:00"/>
    <n v="0"/>
    <n v="1"/>
    <n v="1"/>
    <n v="1"/>
    <n v="1"/>
  </r>
  <r>
    <n v="2407018"/>
    <x v="5"/>
    <s v="KHIN SANDI ZAW"/>
    <s v="○"/>
    <x v="1"/>
    <n v="1"/>
    <n v="1"/>
    <s v="神戸電子専門学校"/>
    <m/>
    <d v="2025-11-01T00:00:00"/>
    <n v="1"/>
    <n v="1"/>
    <n v="1"/>
    <n v="1"/>
    <n v="1"/>
  </r>
  <r>
    <n v="2407021"/>
    <x v="5"/>
    <s v="MYA MYA MOE"/>
    <s v="○"/>
    <x v="1"/>
    <n v="1"/>
    <n v="1"/>
    <s v="神戸親和大学"/>
    <s v="A"/>
    <d v="2025-12-01T00:00:00"/>
    <n v="0"/>
    <n v="1"/>
    <n v="1"/>
    <n v="1"/>
    <n v="1"/>
  </r>
  <r>
    <n v="2407024"/>
    <x v="5"/>
    <s v="NAY MYO HTET"/>
    <s v="○"/>
    <x v="1"/>
    <n v="1"/>
    <n v="1"/>
    <s v="東京国際ビジネスカレッジ神戸校"/>
    <s v="B"/>
    <d v="2025-11-01T00:00:00"/>
    <n v="1"/>
    <n v="1"/>
    <n v="1"/>
    <n v="1"/>
    <n v="1"/>
  </r>
  <r>
    <n v="2407028"/>
    <x v="5"/>
    <s v="KYAW BHONE LU"/>
    <s v=""/>
    <x v="0"/>
    <s v=""/>
    <n v="0"/>
    <s v=""/>
    <s v="B"/>
    <m/>
    <n v="0"/>
    <n v="0"/>
    <n v="0"/>
    <n v="0"/>
    <n v="0"/>
  </r>
  <r>
    <n v="2407037"/>
    <x v="5"/>
    <s v="SARKAR TUHIN"/>
    <s v="○"/>
    <x v="1"/>
    <n v="1"/>
    <n v="1"/>
    <s v="神戸松蔭大学"/>
    <s v="A"/>
    <d v="2025-12-01T00:00:00"/>
    <n v="0"/>
    <n v="1"/>
    <n v="1"/>
    <n v="1"/>
    <n v="1"/>
  </r>
  <r>
    <n v="2407038"/>
    <x v="5"/>
    <s v="HOSSEN KAMAL"/>
    <s v="○"/>
    <x v="1"/>
    <n v="1"/>
    <n v="1"/>
    <s v="関東自動車大学校"/>
    <m/>
    <d v="2025-11-01T00:00:00"/>
    <n v="1"/>
    <n v="1"/>
    <n v="1"/>
    <n v="1"/>
    <n v="1"/>
  </r>
  <r>
    <n v="2407041"/>
    <x v="5"/>
    <s v="MIA MD SABUZ"/>
    <s v="○"/>
    <x v="1"/>
    <n v="1"/>
    <n v="1"/>
    <s v="東京工科自動車大学校"/>
    <m/>
    <d v="2025-11-01T00:00:00"/>
    <n v="1"/>
    <n v="1"/>
    <n v="1"/>
    <n v="1"/>
    <n v="1"/>
  </r>
  <r>
    <n v="2407042"/>
    <x v="5"/>
    <s v="ABDULLAH K M"/>
    <s v="○"/>
    <x v="1"/>
    <n v="1"/>
    <n v="1"/>
    <s v="ICT専門学校"/>
    <m/>
    <d v="2025-11-01T00:00:00"/>
    <n v="1"/>
    <n v="1"/>
    <n v="1"/>
    <n v="1"/>
    <n v="1"/>
  </r>
  <r>
    <n v="2407067"/>
    <x v="5"/>
    <s v="BALAMI RACHINA"/>
    <s v="○"/>
    <x v="1"/>
    <n v="1"/>
    <n v="1"/>
    <s v="大阪観光ビジネス学院"/>
    <m/>
    <d v="2025-11-01T00:00:00"/>
    <n v="1"/>
    <n v="1"/>
    <n v="1"/>
    <n v="1"/>
    <n v="1"/>
  </r>
  <r>
    <n v="2407075"/>
    <x v="5"/>
    <s v="DONG TAMANG USHA KUMARI"/>
    <s v="○"/>
    <x v="1"/>
    <n v="1"/>
    <n v="1"/>
    <s v="東亜経理専門学校"/>
    <m/>
    <d v="2025-11-01T00:00:00"/>
    <n v="1"/>
    <n v="1"/>
    <n v="1"/>
    <n v="1"/>
    <n v="1"/>
  </r>
  <r>
    <n v="2404061"/>
    <x v="6"/>
    <s v="KABIR MD HOSSAIN"/>
    <s v="○"/>
    <x v="1"/>
    <n v="1"/>
    <n v="1"/>
    <s v="プロスペラ学院ビジネス専門学校"/>
    <s v="C"/>
    <d v="2026-01-01T00:00:00"/>
    <n v="0"/>
    <n v="0"/>
    <n v="1"/>
    <n v="1"/>
    <n v="1"/>
  </r>
  <r>
    <n v="2404063"/>
    <x v="6"/>
    <s v="FOYSAL MD ATIK"/>
    <s v="○"/>
    <x v="1"/>
    <n v="1"/>
    <n v="1"/>
    <s v="流通科学大学"/>
    <m/>
    <d v="2025-12-01T00:00:00"/>
    <n v="0"/>
    <n v="1"/>
    <n v="1"/>
    <n v="1"/>
    <n v="1"/>
  </r>
  <r>
    <n v="2404065"/>
    <x v="6"/>
    <s v="SHUVO MD"/>
    <s v="○"/>
    <x v="1"/>
    <n v="1"/>
    <n v="1"/>
    <s v="ICT専門学校高砂校"/>
    <m/>
    <d v="2025-12-01T00:00:00"/>
    <n v="0"/>
    <n v="1"/>
    <n v="1"/>
    <n v="1"/>
    <n v="1"/>
  </r>
  <r>
    <n v="2404078"/>
    <x v="6"/>
    <s v="MD. HASIBUL HASAN"/>
    <s v="○"/>
    <x v="1"/>
    <n v="1"/>
    <n v="1"/>
    <s v="中央美術学園"/>
    <m/>
    <d v="2025-12-01T00:00:00"/>
    <n v="0"/>
    <n v="1"/>
    <n v="1"/>
    <n v="1"/>
    <n v="1"/>
  </r>
  <r>
    <n v="2404090"/>
    <x v="6"/>
    <s v="EMON MD"/>
    <s v="○"/>
    <x v="1"/>
    <n v="1"/>
    <n v="1"/>
    <s v="ICT専門学校"/>
    <m/>
    <d v="2025-09-01T00:00:00"/>
    <n v="1"/>
    <n v="1"/>
    <n v="1"/>
    <n v="1"/>
    <n v="1"/>
  </r>
  <r>
    <n v="2404116"/>
    <x v="6"/>
    <s v="MD. ARIFUL ISLAM"/>
    <s v="○"/>
    <x v="1"/>
    <n v="1"/>
    <n v="1"/>
    <s v="ICT専門学校"/>
    <m/>
    <d v="2025-09-01T00:00:00"/>
    <n v="1"/>
    <n v="1"/>
    <n v="1"/>
    <n v="1"/>
    <n v="1"/>
  </r>
  <r>
    <n v="2404128"/>
    <x v="6"/>
    <s v="RAHMAN MD ANISOR"/>
    <s v="○"/>
    <x v="1"/>
    <n v="1"/>
    <n v="1"/>
    <s v="ICT専門学校"/>
    <m/>
    <d v="2025-11-01T00:00:00"/>
    <n v="1"/>
    <n v="1"/>
    <n v="1"/>
    <n v="1"/>
    <n v="1"/>
  </r>
  <r>
    <n v="2407005"/>
    <x v="6"/>
    <s v="AILIFEILA AIKEBAIER"/>
    <s v="○"/>
    <x v="1"/>
    <n v="1"/>
    <n v="1"/>
    <s v="千葉大学研究生"/>
    <s v="A"/>
    <d v="2026-02-01T00:00:00"/>
    <n v="0"/>
    <n v="0"/>
    <n v="0"/>
    <n v="1"/>
    <n v="1"/>
  </r>
  <r>
    <n v="2407030"/>
    <x v="6"/>
    <s v="KAY KHING LIN"/>
    <s v="○"/>
    <x v="1"/>
    <n v="1"/>
    <n v="1"/>
    <s v="ECC国際外語専門学校"/>
    <m/>
    <d v="2025-10-01T00:00:00"/>
    <n v="1"/>
    <n v="1"/>
    <n v="1"/>
    <n v="1"/>
    <n v="1"/>
  </r>
  <r>
    <n v="2407040"/>
    <x v="6"/>
    <s v="AKTER MST SAMIA"/>
    <s v="○"/>
    <x v="1"/>
    <n v="1"/>
    <n v="1"/>
    <s v="関西国際旅行・ホテル専門学校"/>
    <m/>
    <d v="2025-10-01T00:00:00"/>
    <n v="1"/>
    <n v="1"/>
    <n v="1"/>
    <n v="1"/>
    <n v="1"/>
  </r>
  <r>
    <n v="2407047"/>
    <x v="6"/>
    <s v="SAHA SARAN"/>
    <s v="○"/>
    <x v="1"/>
    <n v="1"/>
    <n v="1"/>
    <s v="神戸国際大学"/>
    <s v="A"/>
    <d v="2025-12-01T00:00:00"/>
    <n v="0"/>
    <n v="1"/>
    <n v="1"/>
    <n v="1"/>
    <n v="1"/>
  </r>
  <r>
    <n v="2407048"/>
    <x v="6"/>
    <s v="HASAN MD RAKIBUL"/>
    <s v="○"/>
    <x v="1"/>
    <n v="1"/>
    <n v="1"/>
    <s v="流通科学大学"/>
    <m/>
    <d v="2025-11-01T00:00:00"/>
    <n v="1"/>
    <n v="1"/>
    <n v="1"/>
    <n v="1"/>
    <n v="1"/>
  </r>
  <r>
    <n v="2407052"/>
    <x v="6"/>
    <s v="HAQUE MD ISMAIL"/>
    <s v="○"/>
    <x v="1"/>
    <n v="1"/>
    <n v="1"/>
    <s v="九州ビジネス専門学校"/>
    <s v="A"/>
    <d v="2025-12-01T00:00:00"/>
    <n v="0"/>
    <n v="1"/>
    <n v="1"/>
    <n v="1"/>
    <n v="1"/>
  </r>
  <r>
    <n v="2407053"/>
    <x v="6"/>
    <s v="ALI MD ABBAS"/>
    <s v="○"/>
    <x v="1"/>
    <n v="1"/>
    <n v="1"/>
    <s v="九州ビジネス専門学校"/>
    <s v="B"/>
    <d v="2026-01-01T00:00:00"/>
    <n v="0"/>
    <n v="0"/>
    <n v="1"/>
    <n v="1"/>
    <n v="1"/>
  </r>
  <r>
    <n v="2407055"/>
    <x v="6"/>
    <s v="ALI MD SAGOR"/>
    <s v="○"/>
    <x v="1"/>
    <n v="1"/>
    <n v="1"/>
    <s v="ICT専門学校"/>
    <s v="A"/>
    <d v="2025-12-01T00:00:00"/>
    <n v="0"/>
    <n v="1"/>
    <n v="1"/>
    <n v="1"/>
    <n v="1"/>
  </r>
  <r>
    <n v="2407056"/>
    <x v="6"/>
    <s v="MIYAJI JABED HOSEN SHISHIR"/>
    <s v="○"/>
    <x v="1"/>
    <n v="1"/>
    <n v="1"/>
    <s v="東京工科自動車大学校中野校"/>
    <m/>
    <d v="2025-08-01T00:00:00"/>
    <n v="1"/>
    <n v="1"/>
    <n v="1"/>
    <n v="1"/>
    <n v="1"/>
  </r>
  <r>
    <n v="2407062"/>
    <x v="6"/>
    <s v="CHAUDHARY SIRANJAN PRASAD"/>
    <s v="○"/>
    <x v="1"/>
    <n v="1"/>
    <n v="1"/>
    <s v="愛甲学院専門学校"/>
    <m/>
    <d v="2025-12-01T00:00:00"/>
    <n v="0"/>
    <n v="1"/>
    <n v="1"/>
    <n v="1"/>
    <n v="1"/>
  </r>
  <r>
    <n v="2407066"/>
    <x v="6"/>
    <s v="RAWAL RADHA"/>
    <s v="○"/>
    <x v="1"/>
    <n v="1"/>
    <n v="1"/>
    <s v="日本ウェルネスAIIT保育専門学校"/>
    <m/>
    <d v="2025-08-01T00:00:00"/>
    <n v="1"/>
    <n v="1"/>
    <n v="1"/>
    <n v="1"/>
    <n v="1"/>
  </r>
  <r>
    <n v="2410005"/>
    <x v="6"/>
    <s v="張 春輝"/>
    <s v="○"/>
    <x v="1"/>
    <n v="1"/>
    <n v="1"/>
    <s v="日本経済大学"/>
    <m/>
    <d v="2025-12-01T00:00:00"/>
    <n v="0"/>
    <n v="1"/>
    <n v="1"/>
    <n v="1"/>
    <n v="1"/>
  </r>
  <r>
    <n v="2410006"/>
    <x v="6"/>
    <s v="徐 張帥"/>
    <s v="○"/>
    <x v="1"/>
    <n v="1"/>
    <n v="1"/>
    <s v="流通科学大学"/>
    <s v="C"/>
    <d v="2026-01-01T00:00:00"/>
    <n v="0"/>
    <n v="0"/>
    <n v="1"/>
    <n v="1"/>
    <n v="1"/>
  </r>
  <r>
    <n v="2404028"/>
    <x v="7"/>
    <s v="THET WAI KYAW"/>
    <s v=""/>
    <x v="0"/>
    <s v=""/>
    <n v="0"/>
    <s v=""/>
    <m/>
    <m/>
    <n v="0"/>
    <n v="0"/>
    <n v="0"/>
    <n v="0"/>
    <n v="0"/>
  </r>
  <r>
    <n v="2404032"/>
    <x v="7"/>
    <s v="THU THU NYEIN"/>
    <s v="○"/>
    <x v="1"/>
    <n v="1"/>
    <n v="1"/>
    <s v="関西国際大学"/>
    <s v="A"/>
    <d v="2025-12-01T00:00:00"/>
    <n v="0"/>
    <n v="1"/>
    <n v="1"/>
    <n v="1"/>
    <n v="1"/>
  </r>
  <r>
    <n v="2404039"/>
    <x v="7"/>
    <s v="THURA PHYO"/>
    <s v="○"/>
    <x v="1"/>
    <n v="1"/>
    <n v="1"/>
    <s v="神戸国際大学"/>
    <s v="A"/>
    <d v="2026-01-01T00:00:00"/>
    <n v="0"/>
    <n v="0"/>
    <n v="1"/>
    <n v="1"/>
    <n v="1"/>
  </r>
  <r>
    <n v="2404052"/>
    <x v="7"/>
    <s v="SAW YU HNIN"/>
    <s v="○"/>
    <x v="1"/>
    <n v="1"/>
    <n v="1"/>
    <s v="流通科学大学"/>
    <s v="A"/>
    <d v="2025-12-01T00:00:00"/>
    <n v="0"/>
    <n v="1"/>
    <n v="1"/>
    <n v="1"/>
    <n v="1"/>
  </r>
  <r>
    <n v="2404053"/>
    <x v="7"/>
    <s v="HAN HAN HTWE"/>
    <s v="○"/>
    <x v="1"/>
    <n v="1"/>
    <n v="1"/>
    <s v="神戸電子専門学校"/>
    <s v="A"/>
    <d v="2025-12-01T00:00:00"/>
    <n v="0"/>
    <n v="1"/>
    <n v="1"/>
    <n v="1"/>
    <n v="1"/>
  </r>
  <r>
    <n v="2404083"/>
    <x v="7"/>
    <s v="RAGIB SHAHRIAR TUSAR"/>
    <s v="○"/>
    <x v="1"/>
    <n v="1"/>
    <n v="1"/>
    <s v="流通科学大学"/>
    <m/>
    <d v="2025-11-01T00:00:00"/>
    <n v="1"/>
    <n v="1"/>
    <n v="1"/>
    <n v="1"/>
    <n v="1"/>
  </r>
  <r>
    <n v="2404098"/>
    <x v="7"/>
    <s v="LIMON MD SAKIBUL HAQ"/>
    <s v="○"/>
    <x v="1"/>
    <n v="1"/>
    <n v="1"/>
    <s v="神戸電子専門学校"/>
    <m/>
    <d v="2025-11-01T00:00:00"/>
    <n v="1"/>
    <n v="1"/>
    <n v="1"/>
    <n v="1"/>
    <n v="1"/>
  </r>
  <r>
    <n v="2404100"/>
    <x v="7"/>
    <s v="HOSSAIN MD RAHIM"/>
    <s v="○"/>
    <x v="1"/>
    <n v="1"/>
    <n v="1"/>
    <s v="関西国際旅行・ホテル専門学校"/>
    <m/>
    <d v="2025-10-01T00:00:00"/>
    <n v="1"/>
    <n v="1"/>
    <n v="1"/>
    <n v="1"/>
    <n v="1"/>
  </r>
  <r>
    <n v="2404103"/>
    <x v="7"/>
    <s v="AKHAND MD RAJBIR"/>
    <s v="○"/>
    <x v="1"/>
    <n v="1"/>
    <n v="1"/>
    <s v="流通科学大学"/>
    <m/>
    <d v="2025-11-01T00:00:00"/>
    <n v="1"/>
    <n v="1"/>
    <n v="1"/>
    <n v="1"/>
    <n v="1"/>
  </r>
  <r>
    <n v="2404136"/>
    <x v="7"/>
    <s v="PYAKUREL ANKIT"/>
    <s v="○"/>
    <x v="1"/>
    <n v="1"/>
    <n v="1"/>
    <s v="関西国際旅行・ホテル専門学校"/>
    <m/>
    <d v="2025-08-01T00:00:00"/>
    <n v="1"/>
    <n v="1"/>
    <n v="1"/>
    <n v="1"/>
    <n v="1"/>
  </r>
  <r>
    <n v="2404141"/>
    <x v="7"/>
    <s v="BISHAL TAMANG"/>
    <s v="○"/>
    <x v="1"/>
    <n v="1"/>
    <n v="1"/>
    <s v="神戸電子専門学校"/>
    <m/>
    <d v="2025-12-01T00:00:00"/>
    <n v="0"/>
    <n v="1"/>
    <n v="1"/>
    <n v="1"/>
    <n v="1"/>
  </r>
  <r>
    <n v="2404143"/>
    <x v="7"/>
    <s v="GHARTI MAGAR ESTHER"/>
    <s v="○"/>
    <x v="1"/>
    <n v="1"/>
    <n v="1"/>
    <s v="流通科学大学"/>
    <m/>
    <d v="2025-11-01T00:00:00"/>
    <n v="1"/>
    <n v="1"/>
    <n v="1"/>
    <n v="1"/>
    <n v="1"/>
  </r>
  <r>
    <n v="2404162"/>
    <x v="7"/>
    <s v="DHENGA DEB BAHADUR"/>
    <s v="○"/>
    <x v="1"/>
    <n v="1"/>
    <n v="1"/>
    <s v="日本工科大学校"/>
    <m/>
    <d v="2025-06-01T00:00:00"/>
    <n v="1"/>
    <n v="1"/>
    <n v="1"/>
    <n v="1"/>
    <n v="1"/>
  </r>
  <r>
    <n v="2404173"/>
    <x v="7"/>
    <s v="DIPESH TAMANG"/>
    <s v="○"/>
    <x v="1"/>
    <n v="1"/>
    <n v="1"/>
    <s v="愛甲学院専門学校"/>
    <m/>
    <d v="2025-11-01T00:00:00"/>
    <n v="1"/>
    <n v="1"/>
    <n v="1"/>
    <n v="1"/>
    <n v="1"/>
  </r>
  <r>
    <n v="2404174"/>
    <x v="7"/>
    <s v="SANJOG SHAH"/>
    <s v="○"/>
    <x v="1"/>
    <n v="1"/>
    <n v="1"/>
    <s v="関西国際大学"/>
    <m/>
    <d v="2025-12-01T00:00:00"/>
    <n v="0"/>
    <n v="1"/>
    <n v="1"/>
    <n v="1"/>
    <n v="1"/>
  </r>
  <r>
    <n v="2404180"/>
    <x v="7"/>
    <s v="SITA PUDASAINI"/>
    <s v="○"/>
    <x v="1"/>
    <n v="1"/>
    <n v="1"/>
    <s v="福岡外語専門学校"/>
    <m/>
    <d v="2025-08-01T00:00:00"/>
    <n v="1"/>
    <n v="1"/>
    <n v="1"/>
    <n v="1"/>
    <n v="1"/>
  </r>
  <r>
    <n v="2407012"/>
    <x v="7"/>
    <s v="KYAL SIN NYEIN"/>
    <s v="○"/>
    <x v="1"/>
    <n v="1"/>
    <n v="1"/>
    <s v="関西国際旅行・ホテル専門学校"/>
    <m/>
    <d v="2025-12-01T00:00:00"/>
    <n v="0"/>
    <n v="1"/>
    <n v="1"/>
    <n v="1"/>
    <n v="1"/>
  </r>
  <r>
    <n v="2407027"/>
    <x v="7"/>
    <s v="MI MI ZIN"/>
    <s v="○"/>
    <x v="1"/>
    <n v="1"/>
    <n v="1"/>
    <s v="修成建設専門学校"/>
    <m/>
    <d v="2025-12-01T00:00:00"/>
    <n v="0"/>
    <n v="1"/>
    <n v="1"/>
    <n v="1"/>
    <n v="1"/>
  </r>
  <r>
    <n v="2407061"/>
    <x v="7"/>
    <s v="HASAN MEHEDI"/>
    <s v="○"/>
    <x v="1"/>
    <n v="1"/>
    <n v="1"/>
    <s v="大和大学"/>
    <s v="A"/>
    <d v="2026-01-01T00:00:00"/>
    <n v="0"/>
    <n v="0"/>
    <n v="1"/>
    <n v="1"/>
    <n v="1"/>
  </r>
  <r>
    <n v="2404007"/>
    <x v="8"/>
    <s v="于 国坤"/>
    <s v="○"/>
    <x v="1"/>
    <n v="1"/>
    <n v="1"/>
    <s v="神戸親和大学"/>
    <s v="A"/>
    <d v="2025-12-01T00:00:00"/>
    <n v="0"/>
    <n v="1"/>
    <n v="1"/>
    <n v="1"/>
    <n v="1"/>
  </r>
  <r>
    <n v="2404033"/>
    <x v="8"/>
    <s v="AUNG SATT PAING"/>
    <s v="○"/>
    <x v="1"/>
    <n v="1"/>
    <n v="1"/>
    <s v="関西国際旅行・ホテル専門学校"/>
    <s v="B"/>
    <d v="2025-11-01T00:00:00"/>
    <n v="1"/>
    <n v="1"/>
    <n v="1"/>
    <n v="1"/>
    <n v="1"/>
  </r>
  <r>
    <n v="2404034"/>
    <x v="8"/>
    <s v="SOE LIN TUN"/>
    <s v="○"/>
    <x v="1"/>
    <n v="1"/>
    <n v="1"/>
    <s v="専門学校広島国際ビジネスカレッジ"/>
    <s v="C"/>
    <d v="2025-11-01T00:00:00"/>
    <n v="1"/>
    <n v="1"/>
    <n v="1"/>
    <n v="1"/>
    <n v="1"/>
  </r>
  <r>
    <n v="2404037"/>
    <x v="8"/>
    <s v="MAUNG PHYU"/>
    <s v="○"/>
    <x v="1"/>
    <n v="1"/>
    <n v="1"/>
    <s v="専門学校広島国際ビジネスカレッジ"/>
    <s v="C"/>
    <d v="2025-11-01T00:00:00"/>
    <n v="1"/>
    <n v="1"/>
    <n v="1"/>
    <n v="1"/>
    <n v="1"/>
  </r>
  <r>
    <n v="2404082"/>
    <x v="8"/>
    <s v="SHAHIN AHOMMED"/>
    <s v="○"/>
    <x v="1"/>
    <n v="1"/>
    <n v="1"/>
    <s v="関西国際旅行・ホテル専門学校"/>
    <m/>
    <d v="2025-09-01T00:00:00"/>
    <n v="1"/>
    <n v="1"/>
    <n v="1"/>
    <n v="1"/>
    <n v="1"/>
  </r>
  <r>
    <n v="2404095"/>
    <x v="8"/>
    <s v="TANZIM AHMED AKASH"/>
    <s v="○"/>
    <x v="1"/>
    <n v="1"/>
    <n v="1"/>
    <s v="国際アニメーション専門学校"/>
    <s v="C"/>
    <d v="2025-11-01T00:00:00"/>
    <n v="1"/>
    <n v="1"/>
    <n v="1"/>
    <n v="1"/>
    <n v="1"/>
  </r>
  <r>
    <n v="2404109"/>
    <x v="8"/>
    <s v="MAHIBUR RAHMAN SANNY"/>
    <s v="○"/>
    <x v="1"/>
    <n v="1"/>
    <n v="1"/>
    <s v="大阪総合福祉専門学校"/>
    <m/>
    <d v="2025-09-01T00:00:00"/>
    <n v="1"/>
    <n v="1"/>
    <n v="1"/>
    <n v="1"/>
    <n v="1"/>
  </r>
  <r>
    <n v="2404115"/>
    <x v="8"/>
    <s v="MD. IFTEKHAR"/>
    <s v="○"/>
    <x v="1"/>
    <n v="1"/>
    <n v="1"/>
    <s v="国際アニメーション専門学校"/>
    <s v="B"/>
    <d v="2025-11-01T00:00:00"/>
    <n v="1"/>
    <n v="1"/>
    <n v="1"/>
    <n v="1"/>
    <n v="1"/>
  </r>
  <r>
    <n v="2404137"/>
    <x v="8"/>
    <s v="KHANAL SUSAN"/>
    <s v="○"/>
    <x v="1"/>
    <n v="1"/>
    <n v="1"/>
    <s v="兵庫大学"/>
    <s v="B"/>
    <d v="2025-12-01T00:00:00"/>
    <n v="0"/>
    <n v="1"/>
    <n v="1"/>
    <n v="1"/>
    <n v="1"/>
  </r>
  <r>
    <n v="2404138"/>
    <x v="8"/>
    <s v="THAPA MAGAR RAJ"/>
    <s v="○"/>
    <x v="1"/>
    <n v="1"/>
    <n v="1"/>
    <s v="日本経済大学"/>
    <s v="B"/>
    <d v="2025-11-01T00:00:00"/>
    <n v="1"/>
    <n v="1"/>
    <n v="1"/>
    <n v="1"/>
    <n v="1"/>
  </r>
  <r>
    <n v="2404142"/>
    <x v="8"/>
    <s v="SWASTIKA THAMI"/>
    <s v="○"/>
    <x v="1"/>
    <n v="1"/>
    <n v="1"/>
    <s v="専門学校アートカレッジ神戸"/>
    <m/>
    <d v="2025-08-01T00:00:00"/>
    <n v="1"/>
    <n v="1"/>
    <n v="1"/>
    <n v="1"/>
    <n v="1"/>
  </r>
  <r>
    <n v="2404153"/>
    <x v="8"/>
    <s v="KHADKA ROSHMA"/>
    <s v="○"/>
    <x v="1"/>
    <n v="1"/>
    <n v="1"/>
    <s v="関西国際旅行・ホテル専門学校"/>
    <m/>
    <d v="2025-10-01T00:00:00"/>
    <n v="1"/>
    <n v="1"/>
    <n v="1"/>
    <n v="1"/>
    <n v="1"/>
  </r>
  <r>
    <n v="2404164"/>
    <x v="8"/>
    <s v="RAI ARATI"/>
    <s v="○"/>
    <x v="1"/>
    <n v="1"/>
    <n v="1"/>
    <s v="関西国際旅行・ホテル専門学校"/>
    <m/>
    <d v="2025-08-01T00:00:00"/>
    <n v="1"/>
    <n v="1"/>
    <n v="1"/>
    <n v="1"/>
    <n v="1"/>
  </r>
  <r>
    <n v="2404175"/>
    <x v="8"/>
    <s v="JYOTI PANDEY"/>
    <s v="○"/>
    <x v="1"/>
    <n v="1"/>
    <n v="1"/>
    <s v="専門学校アートカレッジ神戸"/>
    <m/>
    <d v="2025-09-01T00:00:00"/>
    <n v="1"/>
    <n v="1"/>
    <n v="1"/>
    <n v="1"/>
    <n v="1"/>
  </r>
  <r>
    <n v="2404176"/>
    <x v="8"/>
    <s v="SHRESTHA GYANU"/>
    <s v="○"/>
    <x v="1"/>
    <n v="1"/>
    <n v="1"/>
    <s v="国際工科専門学校"/>
    <m/>
    <d v="2025-08-01T00:00:00"/>
    <n v="1"/>
    <n v="1"/>
    <n v="1"/>
    <n v="1"/>
    <n v="1"/>
  </r>
  <r>
    <n v="2404179"/>
    <x v="8"/>
    <s v="KARKI ARUNA"/>
    <s v="○"/>
    <x v="1"/>
    <n v="1"/>
    <n v="1"/>
    <s v="専門学校アートカレッジ神戸"/>
    <m/>
    <d v="2025-09-01T00:00:00"/>
    <n v="1"/>
    <n v="1"/>
    <n v="1"/>
    <n v="1"/>
    <n v="1"/>
  </r>
  <r>
    <n v="2407023"/>
    <x v="8"/>
    <s v="HNIN YU HLAING"/>
    <s v="○"/>
    <x v="1"/>
    <n v="1"/>
    <n v="1"/>
    <s v="神戸親和大学"/>
    <s v="A"/>
    <d v="2025-12-01T00:00:00"/>
    <n v="0"/>
    <n v="1"/>
    <n v="1"/>
    <n v="1"/>
    <n v="1"/>
  </r>
  <r>
    <n v="2407035"/>
    <x v="8"/>
    <s v="MD OBAYED BIN ANWAR ZIHAD"/>
    <s v="○"/>
    <x v="1"/>
    <n v="1"/>
    <n v="1"/>
    <s v="東京工科自動車大学校"/>
    <m/>
    <d v="2025-08-01T00:00:00"/>
    <n v="1"/>
    <n v="1"/>
    <n v="1"/>
    <n v="1"/>
    <n v="1"/>
  </r>
  <r>
    <n v="2407036"/>
    <x v="8"/>
    <s v="MD ASIKUZZAMAN"/>
    <s v="○"/>
    <x v="1"/>
    <n v="1"/>
    <n v="1"/>
    <s v="神戸親和大学"/>
    <s v="A"/>
    <d v="2025-12-01T00:00:00"/>
    <n v="0"/>
    <n v="1"/>
    <n v="1"/>
    <n v="1"/>
    <n v="1"/>
  </r>
  <r>
    <n v="2407039"/>
    <x v="8"/>
    <s v="PARVEZ AHMED"/>
    <s v="○"/>
    <x v="1"/>
    <n v="1"/>
    <n v="1"/>
    <s v="神戸親和大学"/>
    <s v="A"/>
    <d v="2025-12-01T00:00:00"/>
    <n v="0"/>
    <n v="1"/>
    <n v="1"/>
    <n v="1"/>
    <n v="1"/>
  </r>
  <r>
    <n v="2404010"/>
    <x v="9"/>
    <s v="DUONG THANH TUNG"/>
    <s v="○"/>
    <x v="1"/>
    <n v="1"/>
    <n v="1"/>
    <s v="東亜経理専門学校"/>
    <m/>
    <d v="2025-09-01T00:00:00"/>
    <n v="1"/>
    <n v="1"/>
    <n v="1"/>
    <n v="1"/>
    <n v="1"/>
  </r>
  <r>
    <n v="2404074"/>
    <x v="9"/>
    <s v="MD. OMAR BHUIYAN"/>
    <s v="○"/>
    <x v="1"/>
    <n v="1"/>
    <n v="1"/>
    <s v="九州ビジネス専門学校"/>
    <s v="A"/>
    <d v="2026-01-01T00:00:00"/>
    <n v="0"/>
    <n v="0"/>
    <n v="1"/>
    <n v="1"/>
    <n v="1"/>
  </r>
  <r>
    <n v="2404076"/>
    <x v="9"/>
    <s v="MD. RAYHAN PRODHAN"/>
    <s v="○"/>
    <x v="1"/>
    <n v="1"/>
    <n v="1"/>
    <s v="流通科学大学"/>
    <m/>
    <d v="2025-11-01T00:00:00"/>
    <n v="1"/>
    <n v="1"/>
    <n v="1"/>
    <n v="1"/>
    <n v="1"/>
  </r>
  <r>
    <n v="2404086"/>
    <x v="9"/>
    <s v="S.M.JONAYET"/>
    <s v="○"/>
    <x v="1"/>
    <n v="1"/>
    <n v="1"/>
    <s v="専門学校アートカレッジ神戸"/>
    <m/>
    <d v="2025-08-01T00:00:00"/>
    <n v="1"/>
    <n v="1"/>
    <n v="1"/>
    <n v="1"/>
    <n v="1"/>
  </r>
  <r>
    <n v="2404089"/>
    <x v="9"/>
    <s v="MAHIM AHAD BHUIYAN"/>
    <s v="○"/>
    <x v="1"/>
    <n v="1"/>
    <n v="1"/>
    <s v="東京日建工科専門学校"/>
    <m/>
    <d v="2025-06-01T00:00:00"/>
    <n v="1"/>
    <n v="1"/>
    <n v="1"/>
    <n v="1"/>
    <n v="1"/>
  </r>
  <r>
    <n v="2404092"/>
    <x v="9"/>
    <s v="ZISAN MD. RAIHAN SARIF"/>
    <s v="○"/>
    <x v="1"/>
    <n v="1"/>
    <n v="1"/>
    <s v="四国大学短期大学部"/>
    <m/>
    <d v="2025-11-01T00:00:00"/>
    <n v="1"/>
    <n v="1"/>
    <n v="1"/>
    <n v="1"/>
    <n v="1"/>
  </r>
  <r>
    <n v="2404117"/>
    <x v="9"/>
    <s v="BULBUL AHMED"/>
    <s v="○"/>
    <x v="1"/>
    <n v="1"/>
    <n v="1"/>
    <s v="東大阪短期大学"/>
    <m/>
    <d v="2025-09-01T00:00:00"/>
    <n v="1"/>
    <n v="1"/>
    <n v="1"/>
    <n v="1"/>
    <n v="1"/>
  </r>
  <r>
    <n v="2404118"/>
    <x v="9"/>
    <s v="ARNOB JAHIN SHAHRIAR"/>
    <s v="○"/>
    <x v="1"/>
    <n v="1"/>
    <n v="1"/>
    <s v="流通科学大学"/>
    <m/>
    <d v="2025-11-01T00:00:00"/>
    <n v="1"/>
    <n v="1"/>
    <n v="1"/>
    <n v="1"/>
    <n v="1"/>
  </r>
  <r>
    <n v="2404123"/>
    <x v="9"/>
    <s v="KHAN MD EMON"/>
    <s v="○"/>
    <x v="1"/>
    <n v="1"/>
    <n v="1"/>
    <s v="トヨタ神戸自動車大学校"/>
    <m/>
    <d v="2025-10-01T00:00:00"/>
    <n v="1"/>
    <n v="1"/>
    <n v="1"/>
    <n v="1"/>
    <n v="1"/>
  </r>
  <r>
    <n v="2404124"/>
    <x v="9"/>
    <s v="MIRAZ MD SAIKAT ISLAM"/>
    <s v="○"/>
    <x v="1"/>
    <n v="1"/>
    <n v="1"/>
    <s v="東京国際学園外語専門学校"/>
    <s v="A"/>
    <d v="2026-01-01T00:00:00"/>
    <n v="0"/>
    <n v="0"/>
    <n v="1"/>
    <n v="1"/>
    <n v="1"/>
  </r>
  <r>
    <n v="2404131"/>
    <x v="9"/>
    <s v="SAGAR NUR UDDIN"/>
    <s v="○"/>
    <x v="1"/>
    <n v="1"/>
    <n v="1"/>
    <s v="四国大学短期大学部"/>
    <m/>
    <d v="2025-11-01T00:00:00"/>
    <n v="1"/>
    <n v="1"/>
    <n v="1"/>
    <n v="1"/>
    <n v="1"/>
  </r>
  <r>
    <n v="2404132"/>
    <x v="9"/>
    <s v="SHOVA MD ARAFAT HOSSAIN"/>
    <s v="○"/>
    <x v="1"/>
    <n v="1"/>
    <n v="1"/>
    <s v="トヨタ神戸自動車大学校"/>
    <m/>
    <d v="2025-10-01T00:00:00"/>
    <n v="1"/>
    <n v="1"/>
    <n v="1"/>
    <n v="1"/>
    <n v="1"/>
  </r>
  <r>
    <n v="2404145"/>
    <x v="9"/>
    <s v="TILSARA MAHARA"/>
    <s v="○"/>
    <x v="1"/>
    <n v="1"/>
    <n v="1"/>
    <s v="専門学校アートカレッジ神戸"/>
    <m/>
    <d v="2025-08-01T00:00:00"/>
    <n v="1"/>
    <n v="1"/>
    <n v="1"/>
    <n v="1"/>
    <n v="1"/>
  </r>
  <r>
    <n v="2404150"/>
    <x v="9"/>
    <s v="LOKENDRA SAUD"/>
    <s v="○"/>
    <x v="1"/>
    <n v="1"/>
    <n v="1"/>
    <s v="ICT専門学校高砂校"/>
    <s v="B"/>
    <d v="2026-01-01T00:00:00"/>
    <n v="0"/>
    <n v="0"/>
    <n v="1"/>
    <n v="1"/>
    <n v="1"/>
  </r>
  <r>
    <n v="2404151"/>
    <x v="9"/>
    <s v="RAJ KUMAR GIRI"/>
    <s v="○"/>
    <x v="1"/>
    <n v="1"/>
    <n v="1"/>
    <s v="愛甲学院専門学校"/>
    <m/>
    <d v="2025-09-01T00:00:00"/>
    <n v="1"/>
    <n v="1"/>
    <n v="1"/>
    <n v="1"/>
    <n v="1"/>
  </r>
  <r>
    <n v="2404156"/>
    <x v="9"/>
    <s v="HIMAL MALLA"/>
    <s v="○"/>
    <x v="1"/>
    <n v="1"/>
    <n v="1"/>
    <s v="東亜経理専門学校"/>
    <m/>
    <d v="2025-10-01T00:00:00"/>
    <n v="1"/>
    <n v="1"/>
    <n v="1"/>
    <n v="1"/>
    <n v="1"/>
  </r>
  <r>
    <n v="2404166"/>
    <x v="9"/>
    <s v="SHERPA AAYUSHA"/>
    <s v="○"/>
    <x v="1"/>
    <n v="1"/>
    <n v="1"/>
    <s v="大阪観光大学"/>
    <m/>
    <d v="2025-11-01T00:00:00"/>
    <n v="1"/>
    <n v="1"/>
    <n v="1"/>
    <n v="1"/>
    <n v="1"/>
  </r>
  <r>
    <n v="2404169"/>
    <x v="9"/>
    <s v="MAHATO SALINA KUMARI"/>
    <s v="○"/>
    <x v="1"/>
    <n v="1"/>
    <n v="1"/>
    <s v="岡山服飾ビジネス専門学校"/>
    <s v="B"/>
    <d v="2026-02-01T00:00:00"/>
    <n v="0"/>
    <n v="0"/>
    <n v="0"/>
    <n v="1"/>
    <n v="1"/>
  </r>
  <r>
    <n v="2404178"/>
    <x v="9"/>
    <s v="JOGI MILAN KUMAR"/>
    <s v="○"/>
    <x v="1"/>
    <n v="1"/>
    <n v="1"/>
    <s v="専門学校アートカレッジ神戸"/>
    <m/>
    <d v="2025-08-01T00:00:00"/>
    <n v="1"/>
    <n v="1"/>
    <n v="1"/>
    <n v="1"/>
    <n v="1"/>
  </r>
  <r>
    <n v="2404181"/>
    <x v="9"/>
    <s v="BHARAT B.K."/>
    <s v="○"/>
    <x v="1"/>
    <n v="1"/>
    <n v="1"/>
    <s v="東亜経理専門学校"/>
    <m/>
    <d v="2025-10-01T00:00:00"/>
    <n v="1"/>
    <n v="1"/>
    <n v="1"/>
    <n v="1"/>
    <n v="1"/>
  </r>
  <r>
    <n v="2404035"/>
    <x v="10"/>
    <s v="MI AYE SOE MOE"/>
    <s v="○"/>
    <x v="1"/>
    <n v="1"/>
    <n v="1"/>
    <s v="関西国際旅行・ホテル専門学校"/>
    <m/>
    <d v="2025-10-01T00:00:00"/>
    <n v="1"/>
    <n v="1"/>
    <n v="1"/>
    <n v="1"/>
    <n v="1"/>
  </r>
  <r>
    <n v="2404056"/>
    <x v="10"/>
    <s v="MIN KYAW"/>
    <s v="○"/>
    <x v="1"/>
    <n v="1"/>
    <n v="1"/>
    <s v="トヨタ神戸自動車大学校"/>
    <m/>
    <d v="2025-10-01T00:00:00"/>
    <n v="1"/>
    <n v="1"/>
    <n v="1"/>
    <n v="1"/>
    <n v="1"/>
  </r>
  <r>
    <n v="2404077"/>
    <x v="10"/>
    <s v="MD. ATIKUL ISLAM"/>
    <s v="○"/>
    <x v="1"/>
    <n v="1"/>
    <n v="1"/>
    <s v="新潟国際自動車大学校"/>
    <m/>
    <d v="2025-07-01T00:00:00"/>
    <n v="1"/>
    <n v="1"/>
    <n v="1"/>
    <n v="1"/>
    <n v="1"/>
  </r>
  <r>
    <n v="2404096"/>
    <x v="10"/>
    <s v="MD MASHAYEL KHAN ANID"/>
    <s v="○"/>
    <x v="1"/>
    <n v="1"/>
    <n v="1"/>
    <s v="新潟国際自動車大学校"/>
    <m/>
    <d v="2025-07-01T00:00:00"/>
    <n v="1"/>
    <n v="1"/>
    <n v="1"/>
    <n v="1"/>
    <n v="1"/>
  </r>
  <r>
    <n v="2404099"/>
    <x v="10"/>
    <s v="HOSAIN ARIF"/>
    <s v="○"/>
    <x v="1"/>
    <n v="1"/>
    <n v="1"/>
    <s v="京都コンピュータ学院"/>
    <s v="A"/>
    <d v="2025-12-01T00:00:00"/>
    <n v="0"/>
    <n v="1"/>
    <n v="1"/>
    <n v="1"/>
    <n v="1"/>
  </r>
  <r>
    <n v="2404112"/>
    <x v="10"/>
    <s v="HOSSEN JABER"/>
    <s v="○"/>
    <x v="1"/>
    <n v="1"/>
    <n v="1"/>
    <s v="大阪キリスト教短期大学"/>
    <m/>
    <d v="2025-09-01T00:00:00"/>
    <n v="1"/>
    <n v="1"/>
    <n v="1"/>
    <n v="1"/>
    <n v="1"/>
  </r>
  <r>
    <n v="2404120"/>
    <x v="10"/>
    <s v="MAHBUB"/>
    <s v="○"/>
    <x v="1"/>
    <n v="1"/>
    <n v="1"/>
    <s v="流通科学大学"/>
    <m/>
    <d v="2025-11-01T00:00:00"/>
    <n v="1"/>
    <n v="1"/>
    <n v="1"/>
    <n v="1"/>
    <n v="1"/>
  </r>
  <r>
    <n v="2404121"/>
    <x v="10"/>
    <s v="AKASH MD"/>
    <s v="○"/>
    <x v="1"/>
    <n v="1"/>
    <n v="1"/>
    <s v="流通科学大学"/>
    <m/>
    <d v="2025-11-01T00:00:00"/>
    <n v="1"/>
    <n v="1"/>
    <n v="1"/>
    <n v="1"/>
    <n v="1"/>
  </r>
  <r>
    <n v="2404122"/>
    <x v="10"/>
    <s v="SHANTO MD MEHEDI HASAN"/>
    <s v="○"/>
    <x v="1"/>
    <n v="1"/>
    <n v="1"/>
    <s v="関東工業自動車大学校"/>
    <m/>
    <d v="2025-09-01T00:00:00"/>
    <n v="1"/>
    <n v="1"/>
    <n v="1"/>
    <n v="1"/>
    <n v="1"/>
  </r>
  <r>
    <n v="2404125"/>
    <x v="10"/>
    <s v="MD. EMRAN HOSSAIN"/>
    <s v="○"/>
    <x v="1"/>
    <n v="1"/>
    <n v="1"/>
    <s v="流通科学大学"/>
    <m/>
    <d v="2025-11-01T00:00:00"/>
    <n v="1"/>
    <n v="1"/>
    <n v="1"/>
    <n v="1"/>
    <n v="1"/>
  </r>
  <r>
    <n v="2404144"/>
    <x v="10"/>
    <s v="GURUNG MANISH"/>
    <s v="○"/>
    <x v="1"/>
    <n v="1"/>
    <n v="1"/>
    <s v="神戸電子専門学校"/>
    <m/>
    <d v="2025-09-01T00:00:00"/>
    <n v="1"/>
    <n v="1"/>
    <n v="1"/>
    <n v="1"/>
    <n v="1"/>
  </r>
  <r>
    <n v="2404160"/>
    <x v="10"/>
    <s v="AAKRITI THAPA"/>
    <s v="○"/>
    <x v="1"/>
    <n v="1"/>
    <n v="1"/>
    <s v="岩谷学園よこはまITビジネス専門学校"/>
    <m/>
    <d v="2025-10-01T00:00:00"/>
    <n v="1"/>
    <n v="1"/>
    <n v="1"/>
    <n v="1"/>
    <n v="1"/>
  </r>
  <r>
    <n v="2410003"/>
    <x v="10"/>
    <s v="高 興"/>
    <s v="○"/>
    <x v="1"/>
    <n v="1"/>
    <n v="1"/>
    <s v="神戸国際大学"/>
    <s v="A"/>
    <d v="2025-12-01T00:00:00"/>
    <n v="0"/>
    <n v="1"/>
    <n v="1"/>
    <n v="1"/>
    <n v="1"/>
  </r>
  <r>
    <n v="2404038"/>
    <x v="11"/>
    <s v="LIN LIN TUN"/>
    <s v=""/>
    <x v="0"/>
    <s v=""/>
    <n v="0"/>
    <s v=""/>
    <m/>
    <m/>
    <n v="0"/>
    <n v="0"/>
    <n v="0"/>
    <n v="0"/>
    <n v="0"/>
  </r>
  <r>
    <n v="2404057"/>
    <x v="11"/>
    <s v="NAN DAR HTAY"/>
    <s v=""/>
    <x v="0"/>
    <s v=""/>
    <n v="0"/>
    <s v=""/>
    <m/>
    <m/>
    <n v="0"/>
    <n v="0"/>
    <n v="0"/>
    <n v="0"/>
    <n v="0"/>
  </r>
  <r>
    <n v="2404152"/>
    <x v="11"/>
    <s v="NIRAJ POKHAREL"/>
    <s v="○"/>
    <x v="1"/>
    <n v="1"/>
    <n v="1"/>
    <s v="プロスペラ学院ビジネス専門学校"/>
    <m/>
    <d v="2025-10-01T00:00:00"/>
    <n v="1"/>
    <n v="1"/>
    <n v="1"/>
    <n v="1"/>
    <n v="1"/>
  </r>
  <r>
    <n v="2404157"/>
    <x v="11"/>
    <s v="BOHARA NISHA"/>
    <s v="○"/>
    <x v="1"/>
    <n v="1"/>
    <n v="1"/>
    <s v="関西国際旅行・ホテル専門学校"/>
    <m/>
    <d v="2025-07-01T00:00:00"/>
    <n v="1"/>
    <n v="1"/>
    <n v="1"/>
    <n v="1"/>
    <n v="1"/>
  </r>
  <r>
    <n v="2407001"/>
    <x v="11"/>
    <s v="陳 佳楽"/>
    <s v="○"/>
    <x v="1"/>
    <n v="1"/>
    <n v="1"/>
    <s v="神戸国際大学"/>
    <m/>
    <d v="2025-11-01T00:00:00"/>
    <n v="1"/>
    <n v="1"/>
    <n v="1"/>
    <n v="1"/>
    <n v="1"/>
  </r>
  <r>
    <n v="2407011"/>
    <x v="11"/>
    <s v="MIN AUNG HTET OO"/>
    <s v=""/>
    <x v="0"/>
    <s v=""/>
    <n v="0"/>
    <s v=""/>
    <m/>
    <m/>
    <n v="0"/>
    <n v="0"/>
    <n v="0"/>
    <n v="0"/>
    <n v="0"/>
  </r>
  <r>
    <n v="2407022"/>
    <x v="11"/>
    <s v="SHWE SIN PHYOE"/>
    <s v="○"/>
    <x v="1"/>
    <n v="1"/>
    <n v="1"/>
    <s v="流通科学大学"/>
    <m/>
    <d v="2025-11-01T00:00:00"/>
    <n v="1"/>
    <n v="1"/>
    <n v="1"/>
    <n v="1"/>
    <n v="1"/>
  </r>
  <r>
    <n v="2407026"/>
    <x v="11"/>
    <s v="SU SU WIN"/>
    <s v="○"/>
    <x v="1"/>
    <n v="1"/>
    <n v="1"/>
    <s v="愛甲学院専門学校"/>
    <m/>
    <d v="2025-11-01T00:00:00"/>
    <n v="1"/>
    <n v="1"/>
    <n v="1"/>
    <n v="1"/>
    <n v="1"/>
  </r>
  <r>
    <n v="2407031"/>
    <x v="11"/>
    <s v="AYE YADANAR MOE"/>
    <s v=""/>
    <x v="0"/>
    <s v=""/>
    <n v="0"/>
    <s v=""/>
    <m/>
    <m/>
    <n v="0"/>
    <n v="0"/>
    <n v="0"/>
    <n v="0"/>
    <n v="0"/>
  </r>
  <r>
    <n v="2407032"/>
    <x v="11"/>
    <s v="HEIN HTET ZAW"/>
    <s v="○"/>
    <x v="1"/>
    <n v="1"/>
    <n v="1"/>
    <s v="ECC国際外語専門学校"/>
    <s v="B"/>
    <d v="2025-12-01T00:00:00"/>
    <n v="0"/>
    <n v="1"/>
    <n v="1"/>
    <n v="1"/>
    <n v="1"/>
  </r>
  <r>
    <n v="2407033"/>
    <x v="11"/>
    <s v="SABBIR SAJID AHMED"/>
    <s v="○"/>
    <x v="1"/>
    <n v="1"/>
    <n v="1"/>
    <s v="東京工科自動車大学校世田谷校"/>
    <m/>
    <d v="2025-09-01T00:00:00"/>
    <n v="1"/>
    <n v="1"/>
    <n v="1"/>
    <n v="1"/>
    <n v="1"/>
  </r>
  <r>
    <n v="2407050"/>
    <x v="11"/>
    <s v="MIA ROMAN"/>
    <s v="○"/>
    <x v="1"/>
    <n v="1"/>
    <n v="1"/>
    <s v="ECC国際外語専門学校"/>
    <m/>
    <d v="2025-12-01T00:00:00"/>
    <n v="0"/>
    <n v="1"/>
    <n v="1"/>
    <n v="1"/>
    <n v="1"/>
  </r>
  <r>
    <n v="2407057"/>
    <x v="11"/>
    <s v="MIZAN MD"/>
    <s v="○"/>
    <x v="1"/>
    <n v="1"/>
    <n v="1"/>
    <s v="東京工科自動車大学校世田谷校"/>
    <m/>
    <d v="2025-09-01T00:00:00"/>
    <n v="1"/>
    <n v="1"/>
    <n v="1"/>
    <n v="1"/>
    <n v="1"/>
  </r>
  <r>
    <n v="2407058"/>
    <x v="11"/>
    <s v="ISLAM SAIFUL"/>
    <s v="○"/>
    <x v="1"/>
    <n v="1"/>
    <n v="1"/>
    <s v="東京工科自動車大学校世田谷校"/>
    <m/>
    <d v="2025-09-01T00:00:00"/>
    <n v="1"/>
    <n v="1"/>
    <n v="1"/>
    <n v="1"/>
    <n v="1"/>
  </r>
  <r>
    <n v="2407063"/>
    <x v="11"/>
    <s v="SUSMITA ARYAL"/>
    <s v="○"/>
    <x v="1"/>
    <n v="1"/>
    <n v="1"/>
    <s v="愛甲学院専門学校"/>
    <m/>
    <d v="2025-10-01T00:00:00"/>
    <n v="1"/>
    <n v="1"/>
    <n v="1"/>
    <n v="1"/>
    <n v="1"/>
  </r>
  <r>
    <n v="2407065"/>
    <x v="11"/>
    <s v="MAGAR SANDESH SAMAL"/>
    <s v="○"/>
    <x v="1"/>
    <n v="1"/>
    <n v="1"/>
    <s v="日本経済大学"/>
    <s v="B"/>
    <d v="2025-12-01T00:00:00"/>
    <n v="0"/>
    <n v="1"/>
    <n v="1"/>
    <n v="1"/>
    <n v="1"/>
  </r>
  <r>
    <n v="2407069"/>
    <x v="11"/>
    <s v="OLI REKHA"/>
    <s v="○"/>
    <x v="1"/>
    <n v="1"/>
    <n v="1"/>
    <s v="東京豊島IT医療福祉専門学校"/>
    <m/>
    <d v="2025-07-01T00:00:00"/>
    <n v="1"/>
    <n v="1"/>
    <n v="1"/>
    <n v="1"/>
    <n v="1"/>
  </r>
  <r>
    <n v="2407071"/>
    <x v="11"/>
    <s v="SHRESTHA ASMITA"/>
    <s v="○"/>
    <x v="1"/>
    <n v="1"/>
    <n v="1"/>
    <s v="愛甲学院専門学校"/>
    <m/>
    <d v="2025-10-01T00:00:00"/>
    <n v="1"/>
    <n v="1"/>
    <n v="1"/>
    <n v="1"/>
    <n v="1"/>
  </r>
  <r>
    <n v="2407072"/>
    <x v="11"/>
    <s v="GURUNG YUG"/>
    <s v="○"/>
    <x v="1"/>
    <n v="1"/>
    <n v="1"/>
    <s v="神戸親和大学"/>
    <s v="A"/>
    <d v="2025-11-01T00:00:00"/>
    <n v="1"/>
    <n v="1"/>
    <n v="1"/>
    <n v="1"/>
    <n v="1"/>
  </r>
  <r>
    <n v="2407076"/>
    <x v="11"/>
    <s v="RAI SUSMITA"/>
    <s v=""/>
    <x v="0"/>
    <s v=""/>
    <n v="0"/>
    <s v=""/>
    <m/>
    <m/>
    <n v="0"/>
    <n v="0"/>
    <n v="0"/>
    <n v="0"/>
    <n v="0"/>
  </r>
  <r>
    <n v="2404005"/>
    <x v="12"/>
    <s v="林 衛健"/>
    <s v="○"/>
    <x v="1"/>
    <n v="1"/>
    <n v="1"/>
    <s v="大阪産業大学"/>
    <m/>
    <d v="2026-01-01T00:00:00"/>
    <n v="0"/>
    <n v="0"/>
    <n v="1"/>
    <n v="1"/>
    <n v="1"/>
  </r>
  <r>
    <n v="2404036"/>
    <x v="12"/>
    <s v="KAUNG WAI YAN"/>
    <s v=""/>
    <x v="0"/>
    <s v=""/>
    <n v="0"/>
    <s v=""/>
    <m/>
    <m/>
    <n v="0"/>
    <n v="0"/>
    <n v="0"/>
    <n v="0"/>
    <n v="0"/>
  </r>
  <r>
    <n v="2404041"/>
    <x v="12"/>
    <s v="SAI KAUNG KHANT AUNG"/>
    <s v=""/>
    <x v="0"/>
    <s v=""/>
    <n v="0"/>
    <s v=""/>
    <s v="B"/>
    <m/>
    <n v="0"/>
    <n v="0"/>
    <n v="0"/>
    <n v="0"/>
    <n v="0"/>
  </r>
  <r>
    <n v="2404055"/>
    <x v="12"/>
    <s v="HAN ZIN PHYO"/>
    <s v=""/>
    <x v="0"/>
    <s v=""/>
    <n v="0"/>
    <s v=""/>
    <m/>
    <m/>
    <n v="0"/>
    <n v="0"/>
    <n v="0"/>
    <n v="0"/>
    <n v="0"/>
  </r>
  <r>
    <n v="2404066"/>
    <x v="12"/>
    <s v="SIFAT"/>
    <s v="○"/>
    <x v="1"/>
    <n v="1"/>
    <n v="1"/>
    <s v="東京国際ビジネスカレッジ神戸校"/>
    <m/>
    <d v="2025-09-01T00:00:00"/>
    <n v="1"/>
    <n v="1"/>
    <n v="1"/>
    <n v="1"/>
    <n v="1"/>
  </r>
  <r>
    <n v="2404071"/>
    <x v="12"/>
    <s v="RAIHAN INTISHAR BIN"/>
    <s v="○"/>
    <x v="1"/>
    <n v="1"/>
    <n v="1"/>
    <s v="兵庫大学"/>
    <m/>
    <d v="2025-11-01T00:00:00"/>
    <n v="1"/>
    <n v="1"/>
    <n v="1"/>
    <n v="1"/>
    <n v="1"/>
  </r>
  <r>
    <n v="2404072"/>
    <x v="12"/>
    <s v="FAHAD TAZNUR AHAMED"/>
    <s v="○"/>
    <x v="1"/>
    <n v="1"/>
    <n v="1"/>
    <s v="新潟国際自動車大学校"/>
    <m/>
    <d v="2025-07-01T00:00:00"/>
    <n v="1"/>
    <n v="1"/>
    <n v="1"/>
    <n v="1"/>
    <n v="1"/>
  </r>
  <r>
    <n v="2404079"/>
    <x v="12"/>
    <s v="JESMIN AKTER"/>
    <s v="○"/>
    <x v="1"/>
    <n v="1"/>
    <n v="1"/>
    <s v="中央情報専門学校"/>
    <m/>
    <d v="2025-08-01T00:00:00"/>
    <n v="1"/>
    <n v="1"/>
    <n v="1"/>
    <n v="1"/>
    <n v="1"/>
  </r>
  <r>
    <n v="2404101"/>
    <x v="12"/>
    <s v="SAEM MD"/>
    <s v="○"/>
    <x v="1"/>
    <n v="1"/>
    <n v="1"/>
    <s v="新潟国際自動車大学校"/>
    <m/>
    <d v="2025-09-01T00:00:00"/>
    <n v="1"/>
    <n v="1"/>
    <n v="1"/>
    <n v="1"/>
    <n v="1"/>
  </r>
  <r>
    <n v="2404135"/>
    <x v="12"/>
    <s v="ROSHAN GAUTAM"/>
    <s v="○"/>
    <x v="1"/>
    <n v="1"/>
    <n v="1"/>
    <s v="中央美術学園"/>
    <m/>
    <d v="2025-08-01T00:00:00"/>
    <n v="1"/>
    <n v="1"/>
    <n v="1"/>
    <n v="1"/>
    <n v="1"/>
  </r>
  <r>
    <n v="2404147"/>
    <x v="12"/>
    <s v="TARA KUMARI BOHARA"/>
    <s v="○"/>
    <x v="1"/>
    <n v="1"/>
    <n v="1"/>
    <s v="専門学校アートカレッジ神戸"/>
    <m/>
    <d v="2025-08-01T00:00:00"/>
    <n v="1"/>
    <n v="1"/>
    <n v="1"/>
    <n v="1"/>
    <n v="1"/>
  </r>
  <r>
    <n v="2404161"/>
    <x v="12"/>
    <s v="SHRESTHA ROJINA"/>
    <s v="○"/>
    <x v="1"/>
    <n v="1"/>
    <n v="1"/>
    <s v="専門学校アートカレッジ神戸"/>
    <m/>
    <d v="2025-07-01T00:00:00"/>
    <n v="1"/>
    <n v="1"/>
    <n v="1"/>
    <n v="1"/>
    <n v="1"/>
  </r>
  <r>
    <n v="2404167"/>
    <x v="12"/>
    <s v="ANUSHA PURI"/>
    <s v="○"/>
    <x v="1"/>
    <n v="1"/>
    <n v="1"/>
    <s v="中央美術学園"/>
    <m/>
    <d v="2025-08-01T00:00:00"/>
    <n v="1"/>
    <n v="1"/>
    <n v="1"/>
    <n v="1"/>
    <n v="1"/>
  </r>
  <r>
    <n v="2404168"/>
    <x v="12"/>
    <s v="LAMICHHANE BHUWANESHOWARI"/>
    <s v="○"/>
    <x v="1"/>
    <n v="1"/>
    <n v="1"/>
    <s v="専門学校アートカレッジ神戸"/>
    <m/>
    <d v="2025-08-01T00:00:00"/>
    <n v="1"/>
    <n v="1"/>
    <n v="1"/>
    <n v="1"/>
    <n v="1"/>
  </r>
  <r>
    <n v="2407034"/>
    <x v="12"/>
    <s v="MD JAHID PRODHANIA"/>
    <s v="○"/>
    <x v="1"/>
    <n v="1"/>
    <n v="1"/>
    <s v="エール学園"/>
    <m/>
    <d v="2025-11-01T00:00:00"/>
    <n v="1"/>
    <n v="1"/>
    <n v="1"/>
    <n v="1"/>
    <n v="1"/>
  </r>
  <r>
    <n v="2407045"/>
    <x v="12"/>
    <s v="RATUL TANVIR HASAN"/>
    <s v="○"/>
    <x v="1"/>
    <n v="1"/>
    <n v="1"/>
    <s v="東京テクニカルカレッジ中野校"/>
    <m/>
    <d v="2025-08-01T00:00:00"/>
    <n v="1"/>
    <n v="1"/>
    <n v="1"/>
    <n v="1"/>
    <n v="1"/>
  </r>
  <r>
    <n v="2407046"/>
    <x v="12"/>
    <s v="DEBNATH EMON"/>
    <s v="○"/>
    <x v="1"/>
    <n v="1"/>
    <n v="1"/>
    <s v="名古屋経済大学"/>
    <m/>
    <d v="2025-11-01T00:00:00"/>
    <n v="1"/>
    <n v="1"/>
    <n v="1"/>
    <n v="1"/>
    <n v="1"/>
  </r>
  <r>
    <n v="2407059"/>
    <x v="12"/>
    <s v="MIA MD RAHIM"/>
    <s v="○"/>
    <x v="1"/>
    <n v="1"/>
    <n v="1"/>
    <s v="日本経済大学"/>
    <m/>
    <d v="2025-10-01T00:00:00"/>
    <n v="1"/>
    <n v="1"/>
    <n v="1"/>
    <n v="1"/>
    <n v="1"/>
  </r>
  <r>
    <n v="2407073"/>
    <x v="12"/>
    <s v="HIMAL THAPA"/>
    <s v="○"/>
    <x v="1"/>
    <n v="1"/>
    <n v="1"/>
    <s v="専門学校アートカレッジ神戸"/>
    <m/>
    <d v="2025-07-01T00:00:00"/>
    <n v="1"/>
    <n v="1"/>
    <n v="1"/>
    <n v="1"/>
    <n v="1"/>
  </r>
  <r>
    <n v="2501003"/>
    <x v="12"/>
    <s v="DANG PHI HUNG"/>
    <s v=""/>
    <x v="0"/>
    <s v=""/>
    <n v="0"/>
    <s v=""/>
    <m/>
    <m/>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D1827-C09C-444D-87BF-AC6102998222}" name="ピボットテーブル1" cacheId="35"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B1:P5" firstHeaderRow="1" firstDataRow="2" firstDataCol="1"/>
  <pivotFields count="15">
    <pivotField showAll="0"/>
    <pivotField axis="axisCol" showAll="0">
      <items count="14">
        <item x="0"/>
        <item x="9"/>
        <item x="10"/>
        <item x="11"/>
        <item x="12"/>
        <item x="1"/>
        <item x="2"/>
        <item x="3"/>
        <item x="4"/>
        <item x="5"/>
        <item x="6"/>
        <item x="7"/>
        <item x="8"/>
        <item t="default"/>
      </items>
    </pivotField>
    <pivotField showAll="0"/>
    <pivotField showAll="0"/>
    <pivotField axis="axisRow" dataField="1"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1"/>
  </colFields>
  <colItems count="14">
    <i>
      <x/>
    </i>
    <i>
      <x v="1"/>
    </i>
    <i>
      <x v="2"/>
    </i>
    <i>
      <x v="3"/>
    </i>
    <i>
      <x v="4"/>
    </i>
    <i>
      <x v="5"/>
    </i>
    <i>
      <x v="6"/>
    </i>
    <i>
      <x v="7"/>
    </i>
    <i>
      <x v="8"/>
    </i>
    <i>
      <x v="9"/>
    </i>
    <i>
      <x v="10"/>
    </i>
    <i>
      <x v="11"/>
    </i>
    <i>
      <x v="12"/>
    </i>
    <i t="grand">
      <x/>
    </i>
  </colItems>
  <dataFields count="1">
    <dataField name="個数 / 進路確定" fld="4" subtotal="count" baseField="0" baseItem="0"/>
  </dataFields>
  <formats count="12">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fieldPosition="0">
        <references count="1">
          <reference field="1" count="0"/>
        </references>
      </pivotArea>
    </format>
    <format dxfId="24">
      <pivotArea dataOnly="0" labelOnly="1" grandCol="1" outline="0" fieldPosition="0"/>
    </format>
    <format dxfId="23">
      <pivotArea dataOnly="0" labelOnly="1" fieldPosition="0">
        <references count="1">
          <reference field="1" count="1">
            <x v="0"/>
          </reference>
        </references>
      </pivotArea>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fieldPosition="0">
        <references count="1">
          <reference field="1" count="0"/>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EDE80A-B0FC-43A3-9B8B-DF4612F3EC0D}" name="ピボットテーブル6" cacheId="35"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chartFormat="3" rowHeaderCaption="クラス">
  <location ref="A3:J17" firstHeaderRow="0" firstDataRow="1" firstDataCol="1"/>
  <pivotFields count="15">
    <pivotField dataField="1" showAll="0"/>
    <pivotField axis="axisRow" showAll="0">
      <items count="14">
        <item x="0"/>
        <item x="9"/>
        <item x="10"/>
        <item x="11"/>
        <item x="12"/>
        <item x="1"/>
        <item x="2"/>
        <item x="3"/>
        <item x="4"/>
        <item x="5"/>
        <item x="6"/>
        <item x="7"/>
        <item x="8"/>
        <item t="default"/>
      </items>
    </pivotField>
    <pivotField showAll="0"/>
    <pivotField showAll="0"/>
    <pivotField showAll="0"/>
    <pivotField dataField="1" showAll="0"/>
    <pivotField dataField="1" showAll="0"/>
    <pivotField showAll="0"/>
    <pivotField showAll="0"/>
    <pivotField showAll="0"/>
    <pivotField dataField="1" showAll="0"/>
    <pivotField dataField="1" showAll="0"/>
    <pivotField dataField="1" showAll="0"/>
    <pivotField dataField="1" showAll="0"/>
    <pivotField dataField="1" showAll="0"/>
  </pivotFields>
  <rowFields count="1">
    <field x="1"/>
  </rowFields>
  <rowItems count="14">
    <i>
      <x/>
    </i>
    <i>
      <x v="1"/>
    </i>
    <i>
      <x v="2"/>
    </i>
    <i>
      <x v="3"/>
    </i>
    <i>
      <x v="4"/>
    </i>
    <i>
      <x v="5"/>
    </i>
    <i>
      <x v="6"/>
    </i>
    <i>
      <x v="7"/>
    </i>
    <i>
      <x v="8"/>
    </i>
    <i>
      <x v="9"/>
    </i>
    <i>
      <x v="10"/>
    </i>
    <i>
      <x v="11"/>
    </i>
    <i>
      <x v="12"/>
    </i>
    <i t="grand">
      <x/>
    </i>
  </rowItems>
  <colFields count="1">
    <field x="-2"/>
  </colFields>
  <colItems count="9">
    <i>
      <x/>
    </i>
    <i i="1">
      <x v="1"/>
    </i>
    <i i="2">
      <x v="2"/>
    </i>
    <i i="3">
      <x v="3"/>
    </i>
    <i i="4">
      <x v="4"/>
    </i>
    <i i="5">
      <x v="5"/>
    </i>
    <i i="6">
      <x v="6"/>
    </i>
    <i i="7">
      <x v="7"/>
    </i>
    <i i="8">
      <x v="8"/>
    </i>
  </colItems>
  <dataFields count="9">
    <dataField name="クラス人数" fld="0" subtotal="count" baseField="1" baseItem="12"/>
    <dataField name="進学希望者数" fld="6" baseField="1" baseItem="2"/>
    <dataField name="合格者数" fld="5" baseField="1" baseItem="6"/>
    <dataField name="進路確定者率" fld="5" subtotal="average" baseField="1" baseItem="5" numFmtId="178"/>
    <dataField name="11月末" fld="10" baseField="1" baseItem="0"/>
    <dataField name="12月末" fld="11" baseField="1" baseItem="0"/>
    <dataField name="1月末" fld="12" baseField="1" baseItem="0"/>
    <dataField name="2月末" fld="13" baseField="1" baseItem="0"/>
    <dataField name="3月末" fld="14" baseField="1" baseItem="0"/>
  </dataFields>
  <formats count="9">
    <format dxfId="17">
      <pivotArea dataOnly="0" labelOnly="1" outline="0" fieldPosition="0">
        <references count="1">
          <reference field="4294967294" count="5">
            <x v="4"/>
            <x v="5"/>
            <x v="6"/>
            <x v="7"/>
            <x v="8"/>
          </reference>
        </references>
      </pivotArea>
    </format>
    <format dxfId="16">
      <pivotArea field="1" type="button" dataOnly="0" labelOnly="1" outline="0" axis="axisRow" fieldPosition="0"/>
    </format>
    <format dxfId="15">
      <pivotArea dataOnly="0" labelOnly="1" outline="0" fieldPosition="0">
        <references count="1">
          <reference field="4294967294" count="1">
            <x v="0"/>
          </reference>
        </references>
      </pivotArea>
    </format>
    <format dxfId="14">
      <pivotArea dataOnly="0" labelOnly="1" outline="0" fieldPosition="0">
        <references count="1">
          <reference field="4294967294" count="1">
            <x v="2"/>
          </reference>
        </references>
      </pivotArea>
    </format>
    <format dxfId="13">
      <pivotArea dataOnly="0" labelOnly="1" outline="0" fieldPosition="0">
        <references count="1">
          <reference field="4294967294" count="1">
            <x v="1"/>
          </reference>
        </references>
      </pivotArea>
    </format>
    <format dxfId="12">
      <pivotArea outline="0" collapsedLevelsAreSubtotals="1" fieldPosition="0">
        <references count="1">
          <reference field="4294967294" count="1" selected="0">
            <x v="3"/>
          </reference>
        </references>
      </pivotArea>
    </format>
    <format dxfId="11">
      <pivotArea dataOnly="0" labelOnly="1" outline="0" fieldPosition="0">
        <references count="1">
          <reference field="4294967294" count="1">
            <x v="3"/>
          </reference>
        </references>
      </pivotArea>
    </format>
    <format dxfId="10">
      <pivotArea outline="0" collapsedLevelsAreSubtotals="1" fieldPosition="0">
        <references count="1">
          <reference field="4294967294" count="2" selected="0">
            <x v="2"/>
            <x v="3"/>
          </reference>
        </references>
      </pivotArea>
    </format>
    <format dxfId="9">
      <pivotArea dataOnly="0" labelOnly="1" outline="0" fieldPosition="0">
        <references count="1">
          <reference field="4294967294" count="2">
            <x v="2"/>
            <x v="3"/>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7</v>
    <v>8</v>
    <v>215</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74F7E23-68A6-403A-9D52-92357B238A6D}" name="T_進路入力" displayName="T_進路入力" ref="A6:L389" totalsRowShown="0">
  <autoFilter ref="A6:L389" xr:uid="{174F7E23-68A6-403A-9D52-92357B238A6D}"/>
  <tableColumns count="12">
    <tableColumn id="1" xr3:uid="{AC9EDEEE-AD4B-4163-887D-B3DA4CDE34F3}" name="学籍番号"/>
    <tableColumn id="2" xr3:uid="{9A8526BA-0873-4496-B88A-650DE71D1345}" name="クラス"/>
    <tableColumn id="3" xr3:uid="{01B27F19-A807-4590-9158-9B13EA05D6C3}" name="氏名"/>
    <tableColumn id="5" xr3:uid="{DA1242AF-A9D0-48BA-8FD0-0ED910EA6F67}" name="学校名"/>
    <tableColumn id="12" xr3:uid="{9B30F84A-1301-4432-8B0C-D033AEDE3769}" name="学部、学科、試験区分、備考"/>
    <tableColumn id="6" xr3:uid="{E025D261-F95C-4917-8A9C-AA0C050A6F27}" name="状況"/>
    <tableColumn id="8" xr3:uid="{2A88DF06-CFBE-4ECE-98AF-9363ACDF33A3}" name="試験日"/>
    <tableColumn id="4" xr3:uid="{3FEEE0F9-1538-43C9-B2DE-817EDF23BC75}" name="合格発表日" dataDxfId="32"/>
    <tableColumn id="9" xr3:uid="{EA93C401-6679-4872-B800-3B025FCB16D3}" name="進学以外"/>
    <tableColumn id="11" xr3:uid="{28F614F5-E9D9-433F-B9DE-A6A740B5700E}" name="進路決定"/>
    <tableColumn id="7" xr3:uid="{E837663F-8B63-4B16-8507-A889C8B6C9FC}" name="進路決定確認ワーク" dataDxfId="31">
      <calculatedColumnFormula>T_進路入力[[#This Row],[学籍番号]]&amp;T_進路入力[[#This Row],[進路決定]]</calculatedColumnFormula>
    </tableColumn>
    <tableColumn id="10" xr3:uid="{5D550D9B-96A5-4E95-B484-D09B149E31B7}" name="進路決定者フラグ" dataDxfId="30">
      <calculatedColumnFormula>_xlfn.IFNA(RIGHT(VLOOKUP(T_進路入力[[#This Row],[学籍番号]]&amp;"○",T_進路入力[進路決定確認ワーク],1,FALSE),1),"")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5A3544B-25C2-4D14-86BD-2B34F3C38BFC}" name="T_学生別進路" displayName="T_学生別進路" ref="A6:P246" totalsRowShown="0" headerRowDxfId="51" dataDxfId="50" tableBorderDxfId="49">
  <autoFilter ref="A6:P246" xr:uid="{B5A3544B-25C2-4D14-86BD-2B34F3C38BFC}">
    <filterColumn colId="4">
      <filters blank="1"/>
    </filterColumn>
  </autoFilter>
  <tableColumns count="16">
    <tableColumn id="1" xr3:uid="{92F13FB2-0E9C-4491-B5CE-7966FFBA7E69}" name="学籍番号" dataDxfId="48"/>
    <tableColumn id="3" xr3:uid="{A5FE9DC7-3FA6-4BAA-8B57-179BF84F11F6}" name="クラス" dataDxfId="47">
      <calculatedColumnFormula>VLOOKUP(T_学生別進路[[#This Row],[学籍番号]],進路状況入力シート!A:B,2,FALSE)</calculatedColumnFormula>
    </tableColumn>
    <tableColumn id="2" xr3:uid="{4C38B669-5109-4B49-9990-19CEB8850B6C}" name="名前" dataDxfId="46">
      <calculatedColumnFormula>VLOOKUP(T_学生別進路[[#This Row],[学籍番号]],進路状況入力シート!A:C,3,FALSE)</calculatedColumnFormula>
    </tableColumn>
    <tableColumn id="15" xr3:uid="{757E9DDA-0207-4E25-BC32-DE68453160E0}" name="進学確定" dataDxfId="45">
      <calculatedColumnFormula>IF(AND(T_学生別進路[[#This Row],[進路確定]]="○",T_学生別進路[[#This Row],[進学希望フラグ]]=1),"○","")</calculatedColumnFormula>
    </tableColumn>
    <tableColumn id="4" xr3:uid="{D19E3F4C-3A5B-4FF6-BCB4-D777FF068BBC}" name="進路確定" dataDxfId="44">
      <calculatedColumnFormula>_xlfn.IFNA(RIGHT(VLOOKUP(T_学生別進路[[#This Row],[学籍番号]]&amp;"○",進路状況入力シート!K:K,1,FALSE),1),"")</calculatedColumnFormula>
    </tableColumn>
    <tableColumn id="12" xr3:uid="{D4F91FB2-BCDC-4430-B25E-9280D7CE068C}" name="進路確定フラグ" dataDxfId="43">
      <calculatedColumnFormula>IF(T_学生別進路[[#This Row],[進学希望フラグ]]=0,"",IF(T_学生別進路[[#This Row],[進路確定]]="○",1,0))</calculatedColumnFormula>
    </tableColumn>
    <tableColumn id="13" xr3:uid="{66990597-D870-4B52-BD95-374C2BCC3D0A}" name="進学希望フラグ" dataDxfId="42">
      <calculatedColumnFormula>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calculatedColumnFormula>
    </tableColumn>
    <tableColumn id="6" xr3:uid="{719AB1A3-9708-4311-B809-7CF74B80ACDD}" name="合格校" dataDxfId="41">
      <calculatedColumnFormula>_xlfn.XLOOKUP(T_学生別進路[[#This Row],[学籍番号]]&amp;"○",進路状況入力シート!K:K,進路状況入力シート!D:D,"",0,1)</calculatedColumnFormula>
    </tableColumn>
    <tableColumn id="14" xr3:uid="{18C783A3-F5C6-4110-B672-AB539735B657}" name="安心度" dataDxfId="40"/>
    <tableColumn id="5" xr3:uid="{57ECAFC4-E93C-41BE-81B5-A3341C11D703}" name="合格時期" dataDxfId="39"/>
    <tableColumn id="7" xr3:uid="{B37023D7-9122-445D-8EC5-91635BB1B33E}" name="11月末時点合格" dataDxfId="38">
      <calculatedColumnFormula>IF(T_学生別進路[[#This Row],[合格時期]]="",0,IF(T_学生別進路[[#This Row],[合格時期]]&lt;K$5,1,0))</calculatedColumnFormula>
    </tableColumn>
    <tableColumn id="8" xr3:uid="{1909B673-244E-4862-8590-4C4625232DA5}" name="12月末時点合格" dataDxfId="37">
      <calculatedColumnFormula>IF(T_学生別進路[[#This Row],[合格時期]]="",0,IF(T_学生別進路[[#This Row],[合格時期]]&lt;L$5,1,0))</calculatedColumnFormula>
    </tableColumn>
    <tableColumn id="9" xr3:uid="{BD984F6A-61C8-4E24-A61F-DAD6F34BCBA3}" name="1月末時点合格" dataDxfId="36">
      <calculatedColumnFormula>IF(T_学生別進路[[#This Row],[合格時期]]="",0,IF(T_学生別進路[[#This Row],[合格時期]]&lt;M$5,1,0))</calculatedColumnFormula>
    </tableColumn>
    <tableColumn id="10" xr3:uid="{651BF0DD-B4E8-44D0-8CF8-215E2FE5AB82}" name="2月末時点合格" dataDxfId="35">
      <calculatedColumnFormula>IF(T_学生別進路[[#This Row],[合格時期]]="",0,IF(T_学生別進路[[#This Row],[合格時期]]&lt;N$5,1,0))</calculatedColumnFormula>
    </tableColumn>
    <tableColumn id="11" xr3:uid="{39F04D43-22D6-4C4A-8169-DAAB4C2EA610}" name="3月末時点合格" dataDxfId="34">
      <calculatedColumnFormula>IF(T_学生別進路[[#This Row],[合格時期]]="",0,IF(T_学生別進路[[#This Row],[合格時期]]&lt;O$5,1,0))</calculatedColumnFormula>
    </tableColumn>
    <tableColumn id="16" xr3:uid="{F4EC0A67-92EC-4792-B1D9-B4F8140B38A1}" name="4月末時点合格"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BC1D1-A5B7-41A3-AC9B-17B2F241E2CB}" name="テーブル1" displayName="テーブル1" ref="A1:D38" totalsRowShown="0">
  <autoFilter ref="A1:D38" xr:uid="{98FBC1D1-A5B7-41A3-AC9B-17B2F241E2CB}"/>
  <tableColumns count="4">
    <tableColumn id="1" xr3:uid="{9F94BADD-DD6B-44C3-B642-AEC0A0508BB7}" name="学校名"/>
    <tableColumn id="2" xr3:uid="{F743F91A-B10E-44B3-9814-C6267A1BF005}" name="入試情報" dataDxfId="8"/>
    <tableColumn id="3" xr3:uid="{D1333BC9-082D-4965-AA87-DC48D983AF6E}" name="情報を取得した日" dataDxfId="7"/>
    <tableColumn id="4" xr3:uid="{84DDE161-CA4D-418F-B9FE-DF3406F168C1}" name="情報を聞いた人"/>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1560-C6C7-4C2A-936E-893D900FA180}">
  <dimension ref="A1:N389"/>
  <sheetViews>
    <sheetView tabSelected="1" zoomScale="90" zoomScaleNormal="90" zoomScaleSheetLayoutView="100" workbookViewId="0">
      <pane ySplit="6" topLeftCell="A156" activePane="bottomLeft" state="frozen"/>
      <selection activeCell="I9" sqref="I9"/>
      <selection pane="bottomLeft" activeCell="I171" sqref="I171"/>
    </sheetView>
  </sheetViews>
  <sheetFormatPr defaultRowHeight="13.5" x14ac:dyDescent="0.15"/>
  <cols>
    <col min="1" max="1" width="10.75" customWidth="1"/>
    <col min="2" max="2" width="6.375" customWidth="1"/>
    <col min="3" max="3" width="28.375" customWidth="1"/>
    <col min="4" max="4" width="48.625" customWidth="1"/>
    <col min="5" max="5" width="25.75" customWidth="1"/>
    <col min="7" max="7" width="11.625" bestFit="1" customWidth="1"/>
    <col min="8" max="8" width="9.25" customWidth="1"/>
    <col min="11" max="11" width="13.125" hidden="1" customWidth="1"/>
    <col min="12" max="12" width="15.75" customWidth="1"/>
  </cols>
  <sheetData>
    <row r="1" spans="1:12" x14ac:dyDescent="0.15">
      <c r="A1" t="str">
        <f>"卒業予定人数："&amp;COUNT(T_学生別進路[学籍番号])&amp;"名"</f>
        <v>卒業予定人数：240名</v>
      </c>
    </row>
    <row r="2" spans="1:12" x14ac:dyDescent="0.15">
      <c r="A2" t="str">
        <f>"進学確定人数："&amp;COUNTIF(T_学生別進路[進学確定],"○")&amp;"／"&amp;COUNT(T_学生別進路[学籍番号])-COUNTIF(T_進路入力[状況],"進学以外")&amp;"名（"&amp;TEXT(COUNTIF(T_学生別進路[進学確定],"○")/(COUNT(T_学生別進路[学籍番号])-COUNTIF(T_進路入力[状況],"進学以外")),"0.0"&amp;"％）")</f>
        <v>進学確定人数：216／217名（99.5%)</v>
      </c>
    </row>
    <row r="3" spans="1:12" x14ac:dyDescent="0.15">
      <c r="A3" t="str">
        <f>"進学以外の人数："&amp;COUNTIF(T_進路入力[状況],"進学以外")&amp;"名"</f>
        <v>進学以外の人数：23名</v>
      </c>
    </row>
    <row r="6" spans="1:12" ht="85.5" customHeight="1" x14ac:dyDescent="0.15">
      <c r="A6" t="s">
        <v>0</v>
      </c>
      <c r="B6" t="s">
        <v>26</v>
      </c>
      <c r="C6" t="s">
        <v>1</v>
      </c>
      <c r="D6" t="s">
        <v>309</v>
      </c>
      <c r="E6" t="s">
        <v>343</v>
      </c>
      <c r="F6" t="s">
        <v>294</v>
      </c>
      <c r="G6" t="s">
        <v>292</v>
      </c>
      <c r="H6" s="8" t="s">
        <v>395</v>
      </c>
      <c r="I6" t="s">
        <v>296</v>
      </c>
      <c r="J6" t="s">
        <v>358</v>
      </c>
      <c r="K6" t="s">
        <v>432</v>
      </c>
      <c r="L6" t="s">
        <v>434</v>
      </c>
    </row>
    <row r="7" spans="1:12" ht="13.5" customHeight="1" x14ac:dyDescent="0.15">
      <c r="A7">
        <v>2404012</v>
      </c>
      <c r="B7" t="s">
        <v>3</v>
      </c>
      <c r="C7" t="s">
        <v>50</v>
      </c>
      <c r="E7" t="s">
        <v>288</v>
      </c>
      <c r="F7" t="s">
        <v>295</v>
      </c>
      <c r="H7" s="11"/>
      <c r="I7" t="s">
        <v>281</v>
      </c>
      <c r="K7" t="str">
        <f>T_進路入力[[#This Row],[学籍番号]]&amp;T_進路入力[[#This Row],[進路決定]]</f>
        <v>2404012</v>
      </c>
      <c r="L7" s="36" t="str">
        <f>_xlfn.IFNA(RIGHT(VLOOKUP(T_進路入力[[#This Row],[学籍番号]]&amp;"○",T_進路入力[進路決定確認ワーク],1,FALSE),1),"")</f>
        <v/>
      </c>
    </row>
    <row r="8" spans="1:12" ht="13.5" customHeight="1" x14ac:dyDescent="0.15">
      <c r="A8">
        <v>2404021</v>
      </c>
      <c r="B8" t="s">
        <v>3</v>
      </c>
      <c r="C8" t="s">
        <v>51</v>
      </c>
      <c r="D8" t="s">
        <v>298</v>
      </c>
      <c r="F8" t="s">
        <v>325</v>
      </c>
      <c r="G8" s="10">
        <v>45967</v>
      </c>
      <c r="H8" s="11">
        <v>45981</v>
      </c>
      <c r="K8" t="str">
        <f>T_進路入力[[#This Row],[学籍番号]]&amp;T_進路入力[[#This Row],[進路決定]]</f>
        <v>2404021</v>
      </c>
      <c r="L8" s="36" t="str">
        <f>_xlfn.IFNA(RIGHT(VLOOKUP(T_進路入力[[#This Row],[学籍番号]]&amp;"○",T_進路入力[進路決定確認ワーク],1,FALSE),1),"")</f>
        <v>○</v>
      </c>
    </row>
    <row r="9" spans="1:12" ht="13.5" customHeight="1" x14ac:dyDescent="0.15">
      <c r="A9">
        <v>2404021</v>
      </c>
      <c r="B9" t="s">
        <v>3</v>
      </c>
      <c r="C9" t="s">
        <v>51</v>
      </c>
      <c r="D9" t="s">
        <v>314</v>
      </c>
      <c r="F9" t="s">
        <v>304</v>
      </c>
      <c r="G9" s="10"/>
      <c r="H9" s="11">
        <v>45992</v>
      </c>
      <c r="J9" t="s">
        <v>47</v>
      </c>
      <c r="K9" t="str">
        <f>T_進路入力[[#This Row],[学籍番号]]&amp;T_進路入力[[#This Row],[進路決定]]</f>
        <v>2404021○</v>
      </c>
      <c r="L9" s="36" t="str">
        <f>_xlfn.IFNA(RIGHT(VLOOKUP(T_進路入力[[#This Row],[学籍番号]]&amp;"○",T_進路入力[進路決定確認ワーク],1,FALSE),1),"")</f>
        <v>○</v>
      </c>
    </row>
    <row r="10" spans="1:12" ht="13.5" customHeight="1" x14ac:dyDescent="0.15">
      <c r="A10">
        <v>2404022</v>
      </c>
      <c r="B10" t="s">
        <v>3</v>
      </c>
      <c r="C10" t="s">
        <v>52</v>
      </c>
      <c r="D10" t="s">
        <v>597</v>
      </c>
      <c r="E10" t="s">
        <v>404</v>
      </c>
      <c r="F10" t="s">
        <v>304</v>
      </c>
      <c r="G10" s="10"/>
      <c r="H10" s="11"/>
      <c r="J10" t="s">
        <v>47</v>
      </c>
      <c r="K10" t="str">
        <f>T_進路入力[[#This Row],[学籍番号]]&amp;T_進路入力[[#This Row],[進路決定]]</f>
        <v>2404022○</v>
      </c>
      <c r="L10" s="36" t="str">
        <f>_xlfn.IFNA(RIGHT(VLOOKUP(T_進路入力[[#This Row],[学籍番号]]&amp;"○",T_進路入力[進路決定確認ワーク],1,FALSE),1),"")</f>
        <v>○</v>
      </c>
    </row>
    <row r="11" spans="1:12" ht="13.5" customHeight="1" x14ac:dyDescent="0.15">
      <c r="A11">
        <v>2404025</v>
      </c>
      <c r="B11" t="s">
        <v>3</v>
      </c>
      <c r="C11" t="s">
        <v>53</v>
      </c>
      <c r="D11" t="s">
        <v>410</v>
      </c>
      <c r="E11" t="s">
        <v>648</v>
      </c>
      <c r="F11" t="s">
        <v>291</v>
      </c>
      <c r="G11" s="10"/>
      <c r="H11" s="11"/>
      <c r="K11" t="str">
        <f>T_進路入力[[#This Row],[学籍番号]]&amp;T_進路入力[[#This Row],[進路決定]]</f>
        <v>2404025</v>
      </c>
      <c r="L11" s="36" t="str">
        <f>_xlfn.IFNA(RIGHT(VLOOKUP(T_進路入力[[#This Row],[学籍番号]]&amp;"○",T_進路入力[進路決定確認ワーク],1,FALSE),1),"")</f>
        <v>○</v>
      </c>
    </row>
    <row r="12" spans="1:12" ht="13.5" customHeight="1" x14ac:dyDescent="0.15">
      <c r="A12">
        <v>2404025</v>
      </c>
      <c r="B12" t="s">
        <v>3</v>
      </c>
      <c r="C12" t="s">
        <v>53</v>
      </c>
      <c r="D12" t="s">
        <v>647</v>
      </c>
      <c r="E12" t="s">
        <v>648</v>
      </c>
      <c r="F12" t="s">
        <v>304</v>
      </c>
      <c r="G12" s="10">
        <v>46081</v>
      </c>
      <c r="H12" s="11">
        <v>46092</v>
      </c>
      <c r="J12" t="s">
        <v>47</v>
      </c>
      <c r="K12" t="str">
        <f>T_進路入力[[#This Row],[学籍番号]]&amp;T_進路入力[[#This Row],[進路決定]]</f>
        <v>2404025○</v>
      </c>
      <c r="L12" s="36" t="str">
        <f>_xlfn.IFNA(RIGHT(VLOOKUP(T_進路入力[[#This Row],[学籍番号]]&amp;"○",T_進路入力[進路決定確認ワーク],1,FALSE),1),"")</f>
        <v>○</v>
      </c>
    </row>
    <row r="13" spans="1:12" ht="13.5" customHeight="1" x14ac:dyDescent="0.15">
      <c r="A13">
        <v>2404025</v>
      </c>
      <c r="B13" t="s">
        <v>3</v>
      </c>
      <c r="C13" t="s">
        <v>53</v>
      </c>
      <c r="D13" t="s">
        <v>314</v>
      </c>
      <c r="E13" t="s">
        <v>648</v>
      </c>
      <c r="F13" t="s">
        <v>317</v>
      </c>
      <c r="G13" s="10">
        <v>46074</v>
      </c>
      <c r="H13" s="11">
        <v>46079</v>
      </c>
      <c r="K13" t="str">
        <f>T_進路入力[[#This Row],[学籍番号]]&amp;T_進路入力[[#This Row],[進路決定]]</f>
        <v>2404025</v>
      </c>
      <c r="L13" s="36" t="str">
        <f>_xlfn.IFNA(RIGHT(VLOOKUP(T_進路入力[[#This Row],[学籍番号]]&amp;"○",T_進路入力[進路決定確認ワーク],1,FALSE),1),"")</f>
        <v>○</v>
      </c>
    </row>
    <row r="14" spans="1:12" ht="13.5" customHeight="1" x14ac:dyDescent="0.15">
      <c r="A14">
        <v>2404025</v>
      </c>
      <c r="B14" t="s">
        <v>3</v>
      </c>
      <c r="C14" t="s">
        <v>53</v>
      </c>
      <c r="D14" t="s">
        <v>312</v>
      </c>
      <c r="F14" t="s">
        <v>325</v>
      </c>
      <c r="G14" s="10">
        <v>45986</v>
      </c>
      <c r="H14" s="11"/>
      <c r="K14" t="str">
        <f>T_進路入力[[#This Row],[学籍番号]]&amp;T_進路入力[[#This Row],[進路決定]]</f>
        <v>2404025</v>
      </c>
      <c r="L14" s="36" t="str">
        <f>_xlfn.IFNA(RIGHT(VLOOKUP(T_進路入力[[#This Row],[学籍番号]]&amp;"○",T_進路入力[進路決定確認ワーク],1,FALSE),1),"")</f>
        <v>○</v>
      </c>
    </row>
    <row r="15" spans="1:12" ht="13.5" customHeight="1" x14ac:dyDescent="0.15">
      <c r="A15">
        <v>2404027</v>
      </c>
      <c r="B15" t="s">
        <v>3</v>
      </c>
      <c r="C15" t="s">
        <v>54</v>
      </c>
      <c r="D15" t="s">
        <v>300</v>
      </c>
      <c r="E15" t="s">
        <v>657</v>
      </c>
      <c r="F15" t="s">
        <v>325</v>
      </c>
      <c r="G15" s="10">
        <v>45960</v>
      </c>
      <c r="H15" s="11"/>
      <c r="K15" t="str">
        <f>T_進路入力[[#This Row],[学籍番号]]&amp;T_進路入力[[#This Row],[進路決定]]</f>
        <v>2404027</v>
      </c>
      <c r="L15" s="36" t="str">
        <f>_xlfn.IFNA(RIGHT(VLOOKUP(T_進路入力[[#This Row],[学籍番号]]&amp;"○",T_進路入力[進路決定確認ワーク],1,FALSE),1),"")</f>
        <v>○</v>
      </c>
    </row>
    <row r="16" spans="1:12" ht="13.5" customHeight="1" x14ac:dyDescent="0.15">
      <c r="A16">
        <v>2404027</v>
      </c>
      <c r="B16" t="s">
        <v>3</v>
      </c>
      <c r="C16" t="s">
        <v>54</v>
      </c>
      <c r="D16" t="s">
        <v>300</v>
      </c>
      <c r="E16" t="s">
        <v>656</v>
      </c>
      <c r="F16" t="s">
        <v>304</v>
      </c>
      <c r="G16" s="10">
        <v>45991</v>
      </c>
      <c r="H16" s="11">
        <v>46001</v>
      </c>
      <c r="J16" t="s">
        <v>47</v>
      </c>
      <c r="K16" t="str">
        <f>T_進路入力[[#This Row],[学籍番号]]&amp;T_進路入力[[#This Row],[進路決定]]</f>
        <v>2404027○</v>
      </c>
      <c r="L16" s="36" t="str">
        <f>_xlfn.IFNA(RIGHT(VLOOKUP(T_進路入力[[#This Row],[学籍番号]]&amp;"○",T_進路入力[進路決定確認ワーク],1,FALSE),1),"")</f>
        <v>○</v>
      </c>
    </row>
    <row r="17" spans="1:12" ht="13.5" customHeight="1" x14ac:dyDescent="0.15">
      <c r="A17">
        <v>2404027</v>
      </c>
      <c r="B17" t="s">
        <v>3</v>
      </c>
      <c r="C17" t="s">
        <v>54</v>
      </c>
      <c r="D17" t="s">
        <v>600</v>
      </c>
      <c r="F17" t="s">
        <v>297</v>
      </c>
      <c r="G17" s="10">
        <v>46002</v>
      </c>
      <c r="H17" s="11"/>
      <c r="K17" t="str">
        <f>T_進路入力[[#This Row],[学籍番号]]&amp;T_進路入力[[#This Row],[進路決定]]</f>
        <v>2404027</v>
      </c>
      <c r="L17" s="36" t="str">
        <f>_xlfn.IFNA(RIGHT(VLOOKUP(T_進路入力[[#This Row],[学籍番号]]&amp;"○",T_進路入力[進路決定確認ワーク],1,FALSE),1),"")</f>
        <v>○</v>
      </c>
    </row>
    <row r="18" spans="1:12" ht="13.5" customHeight="1" x14ac:dyDescent="0.15">
      <c r="A18">
        <v>2404031</v>
      </c>
      <c r="B18" t="s">
        <v>3</v>
      </c>
      <c r="C18" t="s">
        <v>55</v>
      </c>
      <c r="D18" t="s">
        <v>300</v>
      </c>
      <c r="F18" t="s">
        <v>304</v>
      </c>
      <c r="G18" s="10">
        <v>45937</v>
      </c>
      <c r="H18" s="11"/>
      <c r="J18" t="s">
        <v>47</v>
      </c>
      <c r="K18" t="str">
        <f>T_進路入力[[#This Row],[学籍番号]]&amp;T_進路入力[[#This Row],[進路決定]]</f>
        <v>2404031○</v>
      </c>
      <c r="L18" s="36" t="str">
        <f>_xlfn.IFNA(RIGHT(VLOOKUP(T_進路入力[[#This Row],[学籍番号]]&amp;"○",T_進路入力[進路決定確認ワーク],1,FALSE),1),"")</f>
        <v>○</v>
      </c>
    </row>
    <row r="19" spans="1:12" ht="13.5" customHeight="1" x14ac:dyDescent="0.15">
      <c r="A19">
        <v>2404042</v>
      </c>
      <c r="B19" t="s">
        <v>3</v>
      </c>
      <c r="C19" t="s">
        <v>56</v>
      </c>
      <c r="D19" t="s">
        <v>312</v>
      </c>
      <c r="F19" t="s">
        <v>304</v>
      </c>
      <c r="G19" s="10">
        <v>45986</v>
      </c>
      <c r="H19" s="11">
        <v>45993</v>
      </c>
      <c r="J19" t="s">
        <v>47</v>
      </c>
      <c r="K19" t="str">
        <f>T_進路入力[[#This Row],[学籍番号]]&amp;T_進路入力[[#This Row],[進路決定]]</f>
        <v>2404042○</v>
      </c>
      <c r="L19" s="36" t="str">
        <f>_xlfn.IFNA(RIGHT(VLOOKUP(T_進路入力[[#This Row],[学籍番号]]&amp;"○",T_進路入力[進路決定確認ワーク],1,FALSE),1),"")</f>
        <v>○</v>
      </c>
    </row>
    <row r="20" spans="1:12" ht="13.5" customHeight="1" x14ac:dyDescent="0.15">
      <c r="A20">
        <v>2404043</v>
      </c>
      <c r="B20" t="s">
        <v>3</v>
      </c>
      <c r="C20" t="s">
        <v>57</v>
      </c>
      <c r="D20" t="s">
        <v>301</v>
      </c>
      <c r="F20" t="s">
        <v>304</v>
      </c>
      <c r="G20" s="10">
        <v>45933</v>
      </c>
      <c r="H20" s="11"/>
      <c r="J20" t="s">
        <v>47</v>
      </c>
      <c r="K20" t="str">
        <f>T_進路入力[[#This Row],[学籍番号]]&amp;T_進路入力[[#This Row],[進路決定]]</f>
        <v>2404043○</v>
      </c>
      <c r="L20" s="36" t="str">
        <f>_xlfn.IFNA(RIGHT(VLOOKUP(T_進路入力[[#This Row],[学籍番号]]&amp;"○",T_進路入力[進路決定確認ワーク],1,FALSE),1),"")</f>
        <v>○</v>
      </c>
    </row>
    <row r="21" spans="1:12" ht="13.5" customHeight="1" x14ac:dyDescent="0.15">
      <c r="A21">
        <v>2404025</v>
      </c>
      <c r="B21" t="s">
        <v>3</v>
      </c>
      <c r="C21" t="s">
        <v>53</v>
      </c>
      <c r="D21" t="s">
        <v>674</v>
      </c>
      <c r="F21" t="s">
        <v>325</v>
      </c>
      <c r="G21" s="10"/>
      <c r="H21" s="11"/>
      <c r="K21" t="str">
        <f>T_進路入力[[#This Row],[学籍番号]]&amp;T_進路入力[[#This Row],[進路決定]]</f>
        <v>2404025</v>
      </c>
      <c r="L21" s="36" t="str">
        <f>_xlfn.IFNA(RIGHT(VLOOKUP(T_進路入力[[#This Row],[学籍番号]]&amp;"○",T_進路入力[進路決定確認ワーク],1,FALSE),1),"")</f>
        <v>○</v>
      </c>
    </row>
    <row r="22" spans="1:12" ht="13.5" customHeight="1" x14ac:dyDescent="0.15">
      <c r="A22">
        <v>2404046</v>
      </c>
      <c r="B22" t="s">
        <v>3</v>
      </c>
      <c r="C22" t="s">
        <v>58</v>
      </c>
      <c r="D22" t="s">
        <v>312</v>
      </c>
      <c r="F22" t="s">
        <v>304</v>
      </c>
      <c r="G22" s="10">
        <v>46004</v>
      </c>
      <c r="H22" s="11">
        <v>46007</v>
      </c>
      <c r="J22" t="s">
        <v>47</v>
      </c>
      <c r="K22" t="str">
        <f>T_進路入力[[#This Row],[学籍番号]]&amp;T_進路入力[[#This Row],[進路決定]]</f>
        <v>2404046○</v>
      </c>
      <c r="L22" s="36" t="str">
        <f>_xlfn.IFNA(RIGHT(VLOOKUP(T_進路入力[[#This Row],[学籍番号]]&amp;"○",T_進路入力[進路決定確認ワーク],1,FALSE),1),"")</f>
        <v>○</v>
      </c>
    </row>
    <row r="23" spans="1:12" ht="13.5" customHeight="1" x14ac:dyDescent="0.15">
      <c r="A23">
        <v>2404047</v>
      </c>
      <c r="B23" t="s">
        <v>3</v>
      </c>
      <c r="C23" t="s">
        <v>59</v>
      </c>
      <c r="D23" t="s">
        <v>313</v>
      </c>
      <c r="F23" t="s">
        <v>304</v>
      </c>
      <c r="G23" s="10">
        <v>46039</v>
      </c>
      <c r="H23" s="11">
        <v>46048</v>
      </c>
      <c r="J23" t="s">
        <v>47</v>
      </c>
      <c r="K23" t="str">
        <f>T_進路入力[[#This Row],[学籍番号]]&amp;T_進路入力[[#This Row],[進路決定]]</f>
        <v>2404047○</v>
      </c>
      <c r="L23" s="36" t="str">
        <f>_xlfn.IFNA(RIGHT(VLOOKUP(T_進路入力[[#This Row],[学籍番号]]&amp;"○",T_進路入力[進路決定確認ワーク],1,FALSE),1),"")</f>
        <v>○</v>
      </c>
    </row>
    <row r="24" spans="1:12" ht="13.5" customHeight="1" x14ac:dyDescent="0.15">
      <c r="A24">
        <v>2404047</v>
      </c>
      <c r="B24" t="s">
        <v>3</v>
      </c>
      <c r="C24" t="s">
        <v>59</v>
      </c>
      <c r="D24" t="s">
        <v>605</v>
      </c>
      <c r="F24" t="s">
        <v>325</v>
      </c>
      <c r="G24" s="10">
        <v>46001</v>
      </c>
      <c r="H24" s="11">
        <v>46008</v>
      </c>
      <c r="K24" t="str">
        <f>T_進路入力[[#This Row],[学籍番号]]&amp;T_進路入力[[#This Row],[進路決定]]</f>
        <v>2404047</v>
      </c>
      <c r="L24" s="36" t="str">
        <f>_xlfn.IFNA(RIGHT(VLOOKUP(T_進路入力[[#This Row],[学籍番号]]&amp;"○",T_進路入力[進路決定確認ワーク],1,FALSE),1),"")</f>
        <v>○</v>
      </c>
    </row>
    <row r="25" spans="1:12" ht="13.5" customHeight="1" x14ac:dyDescent="0.15">
      <c r="A25">
        <v>2404050</v>
      </c>
      <c r="B25" t="s">
        <v>3</v>
      </c>
      <c r="C25" t="s">
        <v>60</v>
      </c>
      <c r="D25" t="s">
        <v>302</v>
      </c>
      <c r="F25" t="s">
        <v>304</v>
      </c>
      <c r="G25" s="10">
        <v>45983</v>
      </c>
      <c r="H25" s="11">
        <v>45989</v>
      </c>
      <c r="J25" t="s">
        <v>47</v>
      </c>
      <c r="K25" t="str">
        <f>T_進路入力[[#This Row],[学籍番号]]&amp;T_進路入力[[#This Row],[進路決定]]</f>
        <v>2404050○</v>
      </c>
      <c r="L25" s="36" t="str">
        <f>_xlfn.IFNA(RIGHT(VLOOKUP(T_進路入力[[#This Row],[学籍番号]]&amp;"○",T_進路入力[進路決定確認ワーク],1,FALSE),1),"")</f>
        <v>○</v>
      </c>
    </row>
    <row r="26" spans="1:12" ht="13.5" customHeight="1" x14ac:dyDescent="0.15">
      <c r="A26">
        <v>2404051</v>
      </c>
      <c r="B26" t="s">
        <v>3</v>
      </c>
      <c r="C26" t="s">
        <v>61</v>
      </c>
      <c r="D26" t="s">
        <v>606</v>
      </c>
      <c r="E26" t="s">
        <v>303</v>
      </c>
      <c r="F26" t="s">
        <v>304</v>
      </c>
      <c r="G26" s="10">
        <v>46001</v>
      </c>
      <c r="H26" s="11">
        <v>46008</v>
      </c>
      <c r="J26" t="s">
        <v>47</v>
      </c>
      <c r="K26" t="str">
        <f>T_進路入力[[#This Row],[学籍番号]]&amp;T_進路入力[[#This Row],[進路決定]]</f>
        <v>2404051○</v>
      </c>
      <c r="L26" s="36" t="str">
        <f>_xlfn.IFNA(RIGHT(VLOOKUP(T_進路入力[[#This Row],[学籍番号]]&amp;"○",T_進路入力[進路決定確認ワーク],1,FALSE),1),"")</f>
        <v>○</v>
      </c>
    </row>
    <row r="27" spans="1:12" ht="13.5" customHeight="1" x14ac:dyDescent="0.15">
      <c r="A27">
        <v>2404058</v>
      </c>
      <c r="B27" t="s">
        <v>3</v>
      </c>
      <c r="C27" t="s">
        <v>62</v>
      </c>
      <c r="D27" t="s">
        <v>298</v>
      </c>
      <c r="F27" t="s">
        <v>304</v>
      </c>
      <c r="G27" s="10">
        <v>45966</v>
      </c>
      <c r="H27" s="11">
        <v>45981</v>
      </c>
      <c r="J27" t="s">
        <v>47</v>
      </c>
      <c r="K27" t="str">
        <f>T_進路入力[[#This Row],[学籍番号]]&amp;T_進路入力[[#This Row],[進路決定]]</f>
        <v>2404058○</v>
      </c>
      <c r="L27" s="36" t="str">
        <f>_xlfn.IFNA(RIGHT(VLOOKUP(T_進路入力[[#This Row],[学籍番号]]&amp;"○",T_進路入力[進路決定確認ワーク],1,FALSE),1),"")</f>
        <v>○</v>
      </c>
    </row>
    <row r="28" spans="1:12" ht="13.5" customHeight="1" x14ac:dyDescent="0.15">
      <c r="A28">
        <v>2404073</v>
      </c>
      <c r="B28" t="s">
        <v>3</v>
      </c>
      <c r="C28" t="s">
        <v>63</v>
      </c>
      <c r="D28" t="s">
        <v>463</v>
      </c>
      <c r="F28" t="s">
        <v>304</v>
      </c>
      <c r="G28" s="10">
        <v>45997</v>
      </c>
      <c r="H28" s="11">
        <v>46001</v>
      </c>
      <c r="J28" t="s">
        <v>47</v>
      </c>
      <c r="K28" t="str">
        <f>T_進路入力[[#This Row],[学籍番号]]&amp;T_進路入力[[#This Row],[進路決定]]</f>
        <v>2404073○</v>
      </c>
      <c r="L28" s="36" t="str">
        <f>_xlfn.IFNA(RIGHT(VLOOKUP(T_進路入力[[#This Row],[学籍番号]]&amp;"○",T_進路入力[進路決定確認ワーク],1,FALSE),1),"")</f>
        <v>○</v>
      </c>
    </row>
    <row r="29" spans="1:12" ht="13.5" customHeight="1" x14ac:dyDescent="0.15">
      <c r="A29">
        <v>2404084</v>
      </c>
      <c r="B29" t="s">
        <v>3</v>
      </c>
      <c r="C29" t="s">
        <v>64</v>
      </c>
      <c r="D29" t="s">
        <v>285</v>
      </c>
      <c r="F29" t="s">
        <v>304</v>
      </c>
      <c r="G29" s="10">
        <v>45948</v>
      </c>
      <c r="H29" s="11">
        <v>45965</v>
      </c>
      <c r="J29" t="s">
        <v>47</v>
      </c>
      <c r="K29" t="str">
        <f>T_進路入力[[#This Row],[学籍番号]]&amp;T_進路入力[[#This Row],[進路決定]]</f>
        <v>2404084○</v>
      </c>
      <c r="L29" s="36" t="str">
        <f>_xlfn.IFNA(RIGHT(VLOOKUP(T_進路入力[[#This Row],[学籍番号]]&amp;"○",T_進路入力[進路決定確認ワーク],1,FALSE),1),"")</f>
        <v>○</v>
      </c>
    </row>
    <row r="30" spans="1:12" ht="13.5" customHeight="1" x14ac:dyDescent="0.15">
      <c r="A30">
        <v>2404093</v>
      </c>
      <c r="B30" t="s">
        <v>3</v>
      </c>
      <c r="C30" t="s">
        <v>65</v>
      </c>
      <c r="D30" t="s">
        <v>285</v>
      </c>
      <c r="F30" t="s">
        <v>304</v>
      </c>
      <c r="G30" s="10">
        <v>45948</v>
      </c>
      <c r="H30" s="11">
        <v>45965</v>
      </c>
      <c r="J30" t="s">
        <v>47</v>
      </c>
      <c r="K30" t="str">
        <f>T_進路入力[[#This Row],[学籍番号]]&amp;T_進路入力[[#This Row],[進路決定]]</f>
        <v>2404093○</v>
      </c>
      <c r="L30" s="36" t="str">
        <f>_xlfn.IFNA(RIGHT(VLOOKUP(T_進路入力[[#This Row],[学籍番号]]&amp;"○",T_進路入力[進路決定確認ワーク],1,FALSE),1),"")</f>
        <v>○</v>
      </c>
    </row>
    <row r="31" spans="1:12" ht="13.5" customHeight="1" x14ac:dyDescent="0.15">
      <c r="A31">
        <v>2407013</v>
      </c>
      <c r="B31" t="s">
        <v>3</v>
      </c>
      <c r="C31" t="s">
        <v>66</v>
      </c>
      <c r="D31" t="s">
        <v>306</v>
      </c>
      <c r="F31" t="s">
        <v>325</v>
      </c>
      <c r="G31" s="10">
        <v>46068</v>
      </c>
      <c r="H31" s="11">
        <v>45961</v>
      </c>
      <c r="K31" t="str">
        <f>T_進路入力[[#This Row],[学籍番号]]&amp;T_進路入力[[#This Row],[進路決定]]</f>
        <v>2407013</v>
      </c>
      <c r="L31" s="36" t="str">
        <f>_xlfn.IFNA(RIGHT(VLOOKUP(T_進路入力[[#This Row],[学籍番号]]&amp;"○",T_進路入力[進路決定確認ワーク],1,FALSE),1),"")</f>
        <v>○</v>
      </c>
    </row>
    <row r="32" spans="1:12" ht="13.5" customHeight="1" x14ac:dyDescent="0.15">
      <c r="A32">
        <v>2407013</v>
      </c>
      <c r="B32" t="s">
        <v>3</v>
      </c>
      <c r="C32" t="s">
        <v>66</v>
      </c>
      <c r="D32" t="s">
        <v>598</v>
      </c>
      <c r="E32" t="s">
        <v>599</v>
      </c>
      <c r="F32" t="s">
        <v>291</v>
      </c>
      <c r="G32" s="10">
        <v>45977</v>
      </c>
      <c r="H32" s="11">
        <v>45964</v>
      </c>
      <c r="K32" t="str">
        <f>T_進路入力[[#This Row],[学籍番号]]&amp;T_進路入力[[#This Row],[進路決定]]</f>
        <v>2407013</v>
      </c>
      <c r="L32" s="36" t="str">
        <f>_xlfn.IFNA(RIGHT(VLOOKUP(T_進路入力[[#This Row],[学籍番号]]&amp;"○",T_進路入力[進路決定確認ワーク],1,FALSE),1),"")</f>
        <v>○</v>
      </c>
    </row>
    <row r="33" spans="1:12" ht="13.5" customHeight="1" x14ac:dyDescent="0.15">
      <c r="A33">
        <v>2407013</v>
      </c>
      <c r="B33" t="s">
        <v>3</v>
      </c>
      <c r="C33" t="s">
        <v>66</v>
      </c>
      <c r="D33" t="s">
        <v>723</v>
      </c>
      <c r="F33" t="s">
        <v>304</v>
      </c>
      <c r="G33" s="10"/>
      <c r="H33" s="11">
        <v>46080</v>
      </c>
      <c r="J33" t="s">
        <v>47</v>
      </c>
      <c r="K33" t="str">
        <f>T_進路入力[[#This Row],[学籍番号]]&amp;T_進路入力[[#This Row],[進路決定]]</f>
        <v>2407013○</v>
      </c>
      <c r="L33" s="36" t="str">
        <f>_xlfn.IFNA(RIGHT(VLOOKUP(T_進路入力[[#This Row],[学籍番号]]&amp;"○",T_進路入力[進路決定確認ワーク],1,FALSE),1),"")</f>
        <v>○</v>
      </c>
    </row>
    <row r="34" spans="1:12" ht="13.5" customHeight="1" x14ac:dyDescent="0.15">
      <c r="A34">
        <v>2407025</v>
      </c>
      <c r="B34" t="s">
        <v>3</v>
      </c>
      <c r="C34" t="s">
        <v>67</v>
      </c>
      <c r="D34" t="s">
        <v>307</v>
      </c>
      <c r="F34" t="s">
        <v>304</v>
      </c>
      <c r="G34" s="10">
        <v>45958</v>
      </c>
      <c r="H34" s="11"/>
      <c r="J34" t="s">
        <v>47</v>
      </c>
      <c r="K34" t="str">
        <f>T_進路入力[[#This Row],[学籍番号]]&amp;T_進路入力[[#This Row],[進路決定]]</f>
        <v>2407025○</v>
      </c>
      <c r="L34" s="36" t="str">
        <f>_xlfn.IFNA(RIGHT(VLOOKUP(T_進路入力[[#This Row],[学籍番号]]&amp;"○",T_進路入力[進路決定確認ワーク],1,FALSE),1),"")</f>
        <v>○</v>
      </c>
    </row>
    <row r="35" spans="1:12" ht="13.5" customHeight="1" x14ac:dyDescent="0.15">
      <c r="A35">
        <v>2407013</v>
      </c>
      <c r="B35" t="s">
        <v>3</v>
      </c>
      <c r="C35" t="s">
        <v>66</v>
      </c>
      <c r="D35" t="s">
        <v>712</v>
      </c>
      <c r="E35" t="s">
        <v>713</v>
      </c>
      <c r="F35" t="s">
        <v>305</v>
      </c>
      <c r="G35" s="10">
        <v>46074</v>
      </c>
      <c r="H35" s="11">
        <v>46080</v>
      </c>
      <c r="K35" t="str">
        <f>T_進路入力[[#This Row],[学籍番号]]&amp;T_進路入力[[#This Row],[進路決定]]</f>
        <v>2407013</v>
      </c>
      <c r="L35" s="36" t="str">
        <f>_xlfn.IFNA(RIGHT(VLOOKUP(T_進路入力[[#This Row],[学籍番号]]&amp;"○",T_進路入力[進路決定確認ワーク],1,FALSE),1),"")</f>
        <v>○</v>
      </c>
    </row>
    <row r="36" spans="1:12" ht="13.5" customHeight="1" x14ac:dyDescent="0.15">
      <c r="A36">
        <v>2404011</v>
      </c>
      <c r="B36" t="s">
        <v>8</v>
      </c>
      <c r="C36" t="s">
        <v>68</v>
      </c>
      <c r="D36" t="s">
        <v>463</v>
      </c>
      <c r="E36" t="s">
        <v>702</v>
      </c>
      <c r="F36" t="s">
        <v>304</v>
      </c>
      <c r="G36" s="10">
        <v>46067</v>
      </c>
      <c r="H36" s="11"/>
      <c r="J36" t="s">
        <v>47</v>
      </c>
      <c r="K36" t="str">
        <f>T_進路入力[[#This Row],[学籍番号]]&amp;T_進路入力[[#This Row],[進路決定]]</f>
        <v>2404011○</v>
      </c>
      <c r="L36" s="36" t="str">
        <f>_xlfn.IFNA(RIGHT(VLOOKUP(T_進路入力[[#This Row],[学籍番号]]&amp;"○",T_進路入力[進路決定確認ワーク],1,FALSE),1),"")</f>
        <v>○</v>
      </c>
    </row>
    <row r="37" spans="1:12" ht="13.5" customHeight="1" x14ac:dyDescent="0.15">
      <c r="A37">
        <v>2404013</v>
      </c>
      <c r="B37" t="s">
        <v>8</v>
      </c>
      <c r="C37" t="s">
        <v>724</v>
      </c>
      <c r="F37" t="s">
        <v>295</v>
      </c>
      <c r="G37" s="10"/>
      <c r="H37" s="11"/>
      <c r="I37" t="s">
        <v>707</v>
      </c>
      <c r="K37" t="str">
        <f>T_進路入力[[#This Row],[学籍番号]]&amp;T_進路入力[[#This Row],[進路決定]]</f>
        <v>2404013</v>
      </c>
      <c r="L37" s="36" t="str">
        <f>_xlfn.IFNA(RIGHT(VLOOKUP(T_進路入力[[#This Row],[学籍番号]]&amp;"○",T_進路入力[進路決定確認ワーク],1,FALSE),1),"")</f>
        <v/>
      </c>
    </row>
    <row r="38" spans="1:12" ht="13.5" customHeight="1" x14ac:dyDescent="0.15">
      <c r="A38">
        <v>2404013</v>
      </c>
      <c r="B38" t="s">
        <v>8</v>
      </c>
      <c r="C38" t="s">
        <v>658</v>
      </c>
      <c r="D38" t="s">
        <v>530</v>
      </c>
      <c r="F38" t="s">
        <v>325</v>
      </c>
      <c r="G38" s="10">
        <v>45974</v>
      </c>
      <c r="H38" s="11">
        <v>45989</v>
      </c>
      <c r="K38" t="str">
        <f>T_進路入力[[#This Row],[学籍番号]]&amp;T_進路入力[[#This Row],[進路決定]]</f>
        <v>2404013</v>
      </c>
      <c r="L38" s="36" t="str">
        <f>_xlfn.IFNA(RIGHT(VLOOKUP(T_進路入力[[#This Row],[学籍番号]]&amp;"○",T_進路入力[進路決定確認ワーク],1,FALSE),1),"")</f>
        <v/>
      </c>
    </row>
    <row r="39" spans="1:12" ht="13.5" customHeight="1" x14ac:dyDescent="0.15">
      <c r="A39">
        <v>2404013</v>
      </c>
      <c r="B39" t="s">
        <v>8</v>
      </c>
      <c r="C39" t="s">
        <v>658</v>
      </c>
      <c r="D39" t="s">
        <v>675</v>
      </c>
      <c r="E39" t="s">
        <v>659</v>
      </c>
      <c r="F39" t="s">
        <v>317</v>
      </c>
      <c r="G39" s="10">
        <v>46044</v>
      </c>
      <c r="H39" s="11">
        <v>46056</v>
      </c>
      <c r="K39" t="str">
        <f>T_進路入力[[#This Row],[学籍番号]]&amp;T_進路入力[[#This Row],[進路決定]]</f>
        <v>2404013</v>
      </c>
      <c r="L39" s="36" t="str">
        <f>_xlfn.IFNA(RIGHT(VLOOKUP(T_進路入力[[#This Row],[学籍番号]]&amp;"○",T_進路入力[進路決定確認ワーク],1,FALSE),1),"")</f>
        <v/>
      </c>
    </row>
    <row r="40" spans="1:12" ht="13.5" customHeight="1" x14ac:dyDescent="0.15">
      <c r="A40">
        <v>2404015</v>
      </c>
      <c r="B40" t="s">
        <v>8</v>
      </c>
      <c r="C40" t="s">
        <v>69</v>
      </c>
      <c r="D40" t="s">
        <v>308</v>
      </c>
      <c r="F40" t="s">
        <v>317</v>
      </c>
      <c r="H40" s="11"/>
      <c r="K40" t="str">
        <f>T_進路入力[[#This Row],[学籍番号]]&amp;T_進路入力[[#This Row],[進路決定]]</f>
        <v>2404015</v>
      </c>
      <c r="L40" s="36" t="str">
        <f>_xlfn.IFNA(RIGHT(VLOOKUP(T_進路入力[[#This Row],[学籍番号]]&amp;"○",T_進路入力[進路決定確認ワーク],1,FALSE),1),"")</f>
        <v>○</v>
      </c>
    </row>
    <row r="41" spans="1:12" ht="13.5" customHeight="1" x14ac:dyDescent="0.15">
      <c r="A41">
        <v>2404015</v>
      </c>
      <c r="B41" t="s">
        <v>8</v>
      </c>
      <c r="C41" t="s">
        <v>69</v>
      </c>
      <c r="D41" t="s">
        <v>727</v>
      </c>
      <c r="E41" t="s">
        <v>728</v>
      </c>
      <c r="F41" t="s">
        <v>304</v>
      </c>
      <c r="G41" s="10">
        <v>46056</v>
      </c>
      <c r="H41" s="11">
        <v>46069</v>
      </c>
      <c r="J41" t="s">
        <v>47</v>
      </c>
      <c r="K41" t="str">
        <f>T_進路入力[[#This Row],[学籍番号]]&amp;T_進路入力[[#This Row],[進路決定]]</f>
        <v>2404015○</v>
      </c>
      <c r="L41" s="36" t="str">
        <f>_xlfn.IFNA(RIGHT(VLOOKUP(T_進路入力[[#This Row],[学籍番号]]&amp;"○",T_進路入力[進路決定確認ワーク],1,FALSE),1),"")</f>
        <v>○</v>
      </c>
    </row>
    <row r="42" spans="1:12" ht="13.5" customHeight="1" x14ac:dyDescent="0.15">
      <c r="A42">
        <v>2404016</v>
      </c>
      <c r="B42" t="s">
        <v>8</v>
      </c>
      <c r="C42" t="s">
        <v>70</v>
      </c>
      <c r="D42" t="s">
        <v>531</v>
      </c>
      <c r="E42" t="s">
        <v>596</v>
      </c>
      <c r="F42" t="s">
        <v>304</v>
      </c>
      <c r="G42" s="10">
        <v>46003</v>
      </c>
      <c r="H42" s="11">
        <v>46009</v>
      </c>
      <c r="J42" t="s">
        <v>47</v>
      </c>
      <c r="K42" t="str">
        <f>T_進路入力[[#This Row],[学籍番号]]&amp;T_進路入力[[#This Row],[進路決定]]</f>
        <v>2404016○</v>
      </c>
      <c r="L42" s="36" t="str">
        <f>_xlfn.IFNA(RIGHT(VLOOKUP(T_進路入力[[#This Row],[学籍番号]]&amp;"○",T_進路入力[進路決定確認ワーク],1,FALSE),1),"")</f>
        <v>○</v>
      </c>
    </row>
    <row r="43" spans="1:12" ht="13.5" customHeight="1" x14ac:dyDescent="0.15">
      <c r="A43">
        <v>2404017</v>
      </c>
      <c r="B43" t="s">
        <v>8</v>
      </c>
      <c r="C43" t="s">
        <v>71</v>
      </c>
      <c r="D43" t="s">
        <v>301</v>
      </c>
      <c r="E43" t="s">
        <v>539</v>
      </c>
      <c r="F43" t="s">
        <v>304</v>
      </c>
      <c r="G43" s="10">
        <v>45942</v>
      </c>
      <c r="H43" s="11">
        <v>45965</v>
      </c>
      <c r="J43" t="s">
        <v>47</v>
      </c>
      <c r="K43" t="str">
        <f>T_進路入力[[#This Row],[学籍番号]]&amp;T_進路入力[[#This Row],[進路決定]]</f>
        <v>2404017○</v>
      </c>
      <c r="L43" s="36" t="str">
        <f>_xlfn.IFNA(RIGHT(VLOOKUP(T_進路入力[[#This Row],[学籍番号]]&amp;"○",T_進路入力[進路決定確認ワーク],1,FALSE),1),"")</f>
        <v>○</v>
      </c>
    </row>
    <row r="44" spans="1:12" ht="13.5" customHeight="1" x14ac:dyDescent="0.15">
      <c r="A44">
        <v>2404018</v>
      </c>
      <c r="B44" t="s">
        <v>8</v>
      </c>
      <c r="C44" t="s">
        <v>72</v>
      </c>
      <c r="D44" t="s">
        <v>310</v>
      </c>
      <c r="E44" t="s">
        <v>578</v>
      </c>
      <c r="F44" t="s">
        <v>304</v>
      </c>
      <c r="G44" s="10">
        <v>45888</v>
      </c>
      <c r="H44" s="11">
        <v>45957</v>
      </c>
      <c r="J44" t="s">
        <v>47</v>
      </c>
      <c r="K44" t="str">
        <f>T_進路入力[[#This Row],[学籍番号]]&amp;T_進路入力[[#This Row],[進路決定]]</f>
        <v>2404018○</v>
      </c>
      <c r="L44" s="36" t="str">
        <f>_xlfn.IFNA(RIGHT(VLOOKUP(T_進路入力[[#This Row],[学籍番号]]&amp;"○",T_進路入力[進路決定確認ワーク],1,FALSE),1),"")</f>
        <v>○</v>
      </c>
    </row>
    <row r="45" spans="1:12" ht="13.5" customHeight="1" x14ac:dyDescent="0.15">
      <c r="A45">
        <v>2404020</v>
      </c>
      <c r="B45" t="s">
        <v>8</v>
      </c>
      <c r="C45" t="s">
        <v>73</v>
      </c>
      <c r="D45" t="s">
        <v>451</v>
      </c>
      <c r="E45" t="s">
        <v>624</v>
      </c>
      <c r="F45" t="s">
        <v>304</v>
      </c>
      <c r="G45" s="10">
        <v>45990</v>
      </c>
      <c r="H45" s="11">
        <v>45992</v>
      </c>
      <c r="J45" t="s">
        <v>47</v>
      </c>
      <c r="K45" t="str">
        <f>T_進路入力[[#This Row],[学籍番号]]&amp;T_進路入力[[#This Row],[進路決定]]</f>
        <v>2404020○</v>
      </c>
      <c r="L45" s="36" t="str">
        <f>_xlfn.IFNA(RIGHT(VLOOKUP(T_進路入力[[#This Row],[学籍番号]]&amp;"○",T_進路入力[進路決定確認ワーク],1,FALSE),1),"")</f>
        <v>○</v>
      </c>
    </row>
    <row r="46" spans="1:12" ht="13.5" customHeight="1" x14ac:dyDescent="0.15">
      <c r="A46">
        <v>2404023</v>
      </c>
      <c r="B46" t="s">
        <v>8</v>
      </c>
      <c r="C46" t="s">
        <v>74</v>
      </c>
      <c r="D46" t="s">
        <v>311</v>
      </c>
      <c r="E46" t="s">
        <v>535</v>
      </c>
      <c r="F46" t="s">
        <v>304</v>
      </c>
      <c r="G46" s="10">
        <v>45955</v>
      </c>
      <c r="H46" s="11">
        <v>45959</v>
      </c>
      <c r="J46" t="s">
        <v>47</v>
      </c>
      <c r="K46" t="str">
        <f>T_進路入力[[#This Row],[学籍番号]]&amp;T_進路入力[[#This Row],[進路決定]]</f>
        <v>2404023○</v>
      </c>
      <c r="L46" s="36" t="str">
        <f>_xlfn.IFNA(RIGHT(VLOOKUP(T_進路入力[[#This Row],[学籍番号]]&amp;"○",T_進路入力[進路決定確認ワーク],1,FALSE),1),"")</f>
        <v>○</v>
      </c>
    </row>
    <row r="47" spans="1:12" ht="13.5" customHeight="1" x14ac:dyDescent="0.15">
      <c r="A47">
        <v>2404024</v>
      </c>
      <c r="B47" t="s">
        <v>8</v>
      </c>
      <c r="C47" t="s">
        <v>75</v>
      </c>
      <c r="D47" t="s">
        <v>312</v>
      </c>
      <c r="E47" t="s">
        <v>538</v>
      </c>
      <c r="F47" t="s">
        <v>325</v>
      </c>
      <c r="G47" s="10">
        <v>45969</v>
      </c>
      <c r="H47" s="11">
        <v>45978</v>
      </c>
      <c r="K47" t="str">
        <f>T_進路入力[[#This Row],[学籍番号]]&amp;T_進路入力[[#This Row],[進路決定]]</f>
        <v>2404024</v>
      </c>
      <c r="L47" s="36" t="str">
        <f>_xlfn.IFNA(RIGHT(VLOOKUP(T_進路入力[[#This Row],[学籍番号]]&amp;"○",T_進路入力[進路決定確認ワーク],1,FALSE),1),"")</f>
        <v/>
      </c>
    </row>
    <row r="48" spans="1:12" ht="13.5" customHeight="1" x14ac:dyDescent="0.15">
      <c r="A48">
        <v>2404024</v>
      </c>
      <c r="B48" t="s">
        <v>8</v>
      </c>
      <c r="C48" t="s">
        <v>75</v>
      </c>
      <c r="E48" t="s">
        <v>281</v>
      </c>
      <c r="F48" t="s">
        <v>295</v>
      </c>
      <c r="G48" s="10"/>
      <c r="H48" s="11"/>
      <c r="I48" t="s">
        <v>281</v>
      </c>
      <c r="K48" t="str">
        <f>T_進路入力[[#This Row],[学籍番号]]&amp;T_進路入力[[#This Row],[進路決定]]</f>
        <v>2404024</v>
      </c>
      <c r="L48" s="36" t="str">
        <f>_xlfn.IFNA(RIGHT(VLOOKUP(T_進路入力[[#This Row],[学籍番号]]&amp;"○",T_進路入力[進路決定確認ワーク],1,FALSE),1),"")</f>
        <v/>
      </c>
    </row>
    <row r="49" spans="1:12" ht="13.5" customHeight="1" x14ac:dyDescent="0.15">
      <c r="A49">
        <v>2404026</v>
      </c>
      <c r="B49" t="s">
        <v>8</v>
      </c>
      <c r="C49" t="s">
        <v>76</v>
      </c>
      <c r="D49" t="s">
        <v>289</v>
      </c>
      <c r="E49" t="s">
        <v>595</v>
      </c>
      <c r="F49" t="s">
        <v>317</v>
      </c>
      <c r="G49" s="10">
        <v>46005</v>
      </c>
      <c r="H49" s="11">
        <v>46016</v>
      </c>
      <c r="K49" t="str">
        <f>T_進路入力[[#This Row],[学籍番号]]&amp;T_進路入力[[#This Row],[進路決定]]</f>
        <v>2404026</v>
      </c>
      <c r="L49" s="36" t="str">
        <f>_xlfn.IFNA(RIGHT(VLOOKUP(T_進路入力[[#This Row],[学籍番号]]&amp;"○",T_進路入力[進路決定確認ワーク],1,FALSE),1),"")</f>
        <v>○</v>
      </c>
    </row>
    <row r="50" spans="1:12" ht="13.5" customHeight="1" x14ac:dyDescent="0.15">
      <c r="A50">
        <v>2404026</v>
      </c>
      <c r="B50" t="s">
        <v>8</v>
      </c>
      <c r="C50" t="s">
        <v>76</v>
      </c>
      <c r="D50" t="s">
        <v>727</v>
      </c>
      <c r="E50" t="s">
        <v>729</v>
      </c>
      <c r="F50" t="s">
        <v>304</v>
      </c>
      <c r="G50" s="10">
        <v>46056</v>
      </c>
      <c r="H50" s="11">
        <v>46069</v>
      </c>
      <c r="J50" t="s">
        <v>47</v>
      </c>
      <c r="K50" t="str">
        <f>T_進路入力[[#This Row],[学籍番号]]&amp;T_進路入力[[#This Row],[進路決定]]</f>
        <v>2404026○</v>
      </c>
      <c r="L50" s="36" t="str">
        <f>_xlfn.IFNA(RIGHT(VLOOKUP(T_進路入力[[#This Row],[学籍番号]]&amp;"○",T_進路入力[進路決定確認ワーク],1,FALSE),1),"")</f>
        <v>○</v>
      </c>
    </row>
    <row r="51" spans="1:12" ht="13.5" customHeight="1" x14ac:dyDescent="0.15">
      <c r="A51">
        <v>2404029</v>
      </c>
      <c r="B51" t="s">
        <v>8</v>
      </c>
      <c r="C51" t="s">
        <v>77</v>
      </c>
      <c r="D51" t="s">
        <v>312</v>
      </c>
      <c r="E51" t="s">
        <v>538</v>
      </c>
      <c r="F51" t="s">
        <v>304</v>
      </c>
      <c r="G51" s="10">
        <v>45969</v>
      </c>
      <c r="H51" s="11">
        <v>45992</v>
      </c>
      <c r="J51" t="s">
        <v>47</v>
      </c>
      <c r="K51" t="str">
        <f>T_進路入力[[#This Row],[学籍番号]]&amp;T_進路入力[[#This Row],[進路決定]]</f>
        <v>2404029○</v>
      </c>
      <c r="L51" s="36" t="str">
        <f>_xlfn.IFNA(RIGHT(VLOOKUP(T_進路入力[[#This Row],[学籍番号]]&amp;"○",T_進路入力[進路決定確認ワーク],1,FALSE),1),"")</f>
        <v>○</v>
      </c>
    </row>
    <row r="52" spans="1:12" ht="13.5" customHeight="1" x14ac:dyDescent="0.15">
      <c r="A52">
        <v>2404030</v>
      </c>
      <c r="B52" t="s">
        <v>8</v>
      </c>
      <c r="C52" t="s">
        <v>78</v>
      </c>
      <c r="D52" t="s">
        <v>606</v>
      </c>
      <c r="F52" t="s">
        <v>304</v>
      </c>
      <c r="G52" s="10">
        <v>46001</v>
      </c>
      <c r="H52" s="11">
        <v>46001</v>
      </c>
      <c r="J52" t="s">
        <v>47</v>
      </c>
      <c r="K52" t="str">
        <f>T_進路入力[[#This Row],[学籍番号]]&amp;T_進路入力[[#This Row],[進路決定]]</f>
        <v>2404030○</v>
      </c>
      <c r="L52" s="36" t="str">
        <f>_xlfn.IFNA(RIGHT(VLOOKUP(T_進路入力[[#This Row],[学籍番号]]&amp;"○",T_進路入力[進路決定確認ワーク],1,FALSE),1),"")</f>
        <v>○</v>
      </c>
    </row>
    <row r="53" spans="1:12" ht="13.5" customHeight="1" x14ac:dyDescent="0.15">
      <c r="A53">
        <v>2404049</v>
      </c>
      <c r="B53" t="s">
        <v>8</v>
      </c>
      <c r="C53" t="s">
        <v>79</v>
      </c>
      <c r="D53" t="s">
        <v>314</v>
      </c>
      <c r="E53" t="s">
        <v>579</v>
      </c>
      <c r="F53" t="s">
        <v>304</v>
      </c>
      <c r="G53" s="10">
        <v>45888</v>
      </c>
      <c r="H53" s="11">
        <v>45957</v>
      </c>
      <c r="J53" t="s">
        <v>47</v>
      </c>
      <c r="K53" t="str">
        <f>T_進路入力[[#This Row],[学籍番号]]&amp;T_進路入力[[#This Row],[進路決定]]</f>
        <v>2404049○</v>
      </c>
      <c r="L53" s="36" t="str">
        <f>_xlfn.IFNA(RIGHT(VLOOKUP(T_進路入力[[#This Row],[学籍番号]]&amp;"○",T_進路入力[進路決定確認ワーク],1,FALSE),1),"")</f>
        <v>○</v>
      </c>
    </row>
    <row r="54" spans="1:12" ht="13.5" customHeight="1" x14ac:dyDescent="0.15">
      <c r="A54">
        <v>2404110</v>
      </c>
      <c r="B54" t="s">
        <v>8</v>
      </c>
      <c r="C54" t="s">
        <v>533</v>
      </c>
      <c r="D54" t="s">
        <v>315</v>
      </c>
      <c r="E54" t="s">
        <v>543</v>
      </c>
      <c r="F54" t="s">
        <v>304</v>
      </c>
      <c r="G54" s="10">
        <v>45966</v>
      </c>
      <c r="H54" s="11">
        <v>45973</v>
      </c>
      <c r="J54" t="s">
        <v>47</v>
      </c>
      <c r="K54" t="str">
        <f>T_進路入力[[#This Row],[学籍番号]]&amp;T_進路入力[[#This Row],[進路決定]]</f>
        <v>2404110○</v>
      </c>
      <c r="L54" s="36" t="str">
        <f>_xlfn.IFNA(RIGHT(VLOOKUP(T_進路入力[[#This Row],[学籍番号]]&amp;"○",T_進路入力[進路決定確認ワーク],1,FALSE),1),"")</f>
        <v>○</v>
      </c>
    </row>
    <row r="55" spans="1:12" ht="13.5" customHeight="1" x14ac:dyDescent="0.15">
      <c r="A55">
        <v>2404110</v>
      </c>
      <c r="B55" t="s">
        <v>8</v>
      </c>
      <c r="C55" t="s">
        <v>80</v>
      </c>
      <c r="D55" t="s">
        <v>534</v>
      </c>
      <c r="E55" t="s">
        <v>544</v>
      </c>
      <c r="F55" t="s">
        <v>317</v>
      </c>
      <c r="G55" s="10"/>
      <c r="H55" s="11"/>
      <c r="K55" t="str">
        <f>T_進路入力[[#This Row],[学籍番号]]&amp;T_進路入力[[#This Row],[進路決定]]</f>
        <v>2404110</v>
      </c>
      <c r="L55" s="36" t="str">
        <f>_xlfn.IFNA(RIGHT(VLOOKUP(T_進路入力[[#This Row],[学籍番号]]&amp;"○",T_進路入力[進路決定確認ワーク],1,FALSE),1),"")</f>
        <v>○</v>
      </c>
    </row>
    <row r="56" spans="1:12" ht="13.5" customHeight="1" x14ac:dyDescent="0.15">
      <c r="A56">
        <v>2404165</v>
      </c>
      <c r="B56" t="s">
        <v>8</v>
      </c>
      <c r="C56" t="s">
        <v>81</v>
      </c>
      <c r="D56" t="s">
        <v>313</v>
      </c>
      <c r="E56" t="s">
        <v>448</v>
      </c>
      <c r="F56" t="s">
        <v>317</v>
      </c>
      <c r="G56" s="10"/>
      <c r="H56" s="11"/>
      <c r="K56" t="str">
        <f>T_進路入力[[#This Row],[学籍番号]]&amp;T_進路入力[[#This Row],[進路決定]]</f>
        <v>2404165</v>
      </c>
      <c r="L56" s="36" t="str">
        <f>_xlfn.IFNA(RIGHT(VLOOKUP(T_進路入力[[#This Row],[学籍番号]]&amp;"○",T_進路入力[進路決定確認ワーク],1,FALSE),1),"")</f>
        <v>○</v>
      </c>
    </row>
    <row r="57" spans="1:12" ht="13.5" customHeight="1" x14ac:dyDescent="0.15">
      <c r="A57">
        <v>2404165</v>
      </c>
      <c r="B57" t="s">
        <v>8</v>
      </c>
      <c r="C57" t="s">
        <v>81</v>
      </c>
      <c r="D57" t="s">
        <v>316</v>
      </c>
      <c r="E57" t="s">
        <v>536</v>
      </c>
      <c r="F57" t="s">
        <v>304</v>
      </c>
      <c r="G57" s="10">
        <v>45954</v>
      </c>
      <c r="H57" s="11">
        <v>45965</v>
      </c>
      <c r="J57" t="s">
        <v>47</v>
      </c>
      <c r="K57" t="str">
        <f>T_進路入力[[#This Row],[学籍番号]]&amp;T_進路入力[[#This Row],[進路決定]]</f>
        <v>2404165○</v>
      </c>
      <c r="L57" s="36" t="str">
        <f>_xlfn.IFNA(RIGHT(VLOOKUP(T_進路入力[[#This Row],[学籍番号]]&amp;"○",T_進路入力[進路決定確認ワーク],1,FALSE),1),"")</f>
        <v>○</v>
      </c>
    </row>
    <row r="58" spans="1:12" ht="13.5" customHeight="1" x14ac:dyDescent="0.15">
      <c r="A58">
        <v>2407029</v>
      </c>
      <c r="B58" t="s">
        <v>8</v>
      </c>
      <c r="C58" t="s">
        <v>684</v>
      </c>
      <c r="D58" t="s">
        <v>463</v>
      </c>
      <c r="E58" t="s">
        <v>644</v>
      </c>
      <c r="F58" t="s">
        <v>325</v>
      </c>
      <c r="G58" s="10">
        <v>45997</v>
      </c>
      <c r="H58" s="11">
        <v>46003</v>
      </c>
      <c r="K58" t="str">
        <f>T_進路入力[[#This Row],[学籍番号]]&amp;T_進路入力[[#This Row],[進路決定]]</f>
        <v>2407029</v>
      </c>
      <c r="L58" s="36" t="str">
        <f>_xlfn.IFNA(RIGHT(VLOOKUP(T_進路入力[[#This Row],[学籍番号]]&amp;"○",T_進路入力[進路決定確認ワーク],1,FALSE),1),"")</f>
        <v>○</v>
      </c>
    </row>
    <row r="59" spans="1:12" ht="13.5" customHeight="1" x14ac:dyDescent="0.15">
      <c r="A59">
        <v>2407029</v>
      </c>
      <c r="B59" t="s">
        <v>8</v>
      </c>
      <c r="C59" t="s">
        <v>684</v>
      </c>
      <c r="F59" t="s">
        <v>295</v>
      </c>
      <c r="G59" s="10"/>
      <c r="H59" s="11"/>
      <c r="I59" t="s">
        <v>707</v>
      </c>
      <c r="J59" t="s">
        <v>2</v>
      </c>
      <c r="K59" t="str">
        <f>T_進路入力[[#This Row],[学籍番号]]&amp;T_進路入力[[#This Row],[進路決定]]</f>
        <v>2407029○</v>
      </c>
      <c r="L59" s="36" t="str">
        <f>_xlfn.IFNA(RIGHT(VLOOKUP(T_進路入力[[#This Row],[学籍番号]]&amp;"○",T_進路入力[進路決定確認ワーク],1,FALSE),1),"")</f>
        <v>○</v>
      </c>
    </row>
    <row r="60" spans="1:12" ht="13.5" customHeight="1" x14ac:dyDescent="0.15">
      <c r="A60">
        <v>2407068</v>
      </c>
      <c r="B60" t="s">
        <v>8</v>
      </c>
      <c r="C60" t="s">
        <v>82</v>
      </c>
      <c r="D60" t="s">
        <v>318</v>
      </c>
      <c r="E60" t="s">
        <v>540</v>
      </c>
      <c r="F60" t="s">
        <v>304</v>
      </c>
      <c r="G60" s="10">
        <v>45969</v>
      </c>
      <c r="H60" s="11">
        <v>45974</v>
      </c>
      <c r="J60" t="s">
        <v>47</v>
      </c>
      <c r="K60" t="str">
        <f>T_進路入力[[#This Row],[学籍番号]]&amp;T_進路入力[[#This Row],[進路決定]]</f>
        <v>2407068○</v>
      </c>
      <c r="L60" s="36" t="str">
        <f>_xlfn.IFNA(RIGHT(VLOOKUP(T_進路入力[[#This Row],[学籍番号]]&amp;"○",T_進路入力[進路決定確認ワーク],1,FALSE),1),"")</f>
        <v>○</v>
      </c>
    </row>
    <row r="61" spans="1:12" ht="13.5" customHeight="1" x14ac:dyDescent="0.15">
      <c r="A61">
        <v>2407070</v>
      </c>
      <c r="B61" t="s">
        <v>8</v>
      </c>
      <c r="C61" t="s">
        <v>532</v>
      </c>
      <c r="D61" t="s">
        <v>320</v>
      </c>
      <c r="E61" t="s">
        <v>542</v>
      </c>
      <c r="F61" t="s">
        <v>319</v>
      </c>
      <c r="H61" s="11"/>
      <c r="K61" t="str">
        <f>T_進路入力[[#This Row],[学籍番号]]&amp;T_進路入力[[#This Row],[進路決定]]</f>
        <v>2407070</v>
      </c>
      <c r="L61" s="36" t="str">
        <f>_xlfn.IFNA(RIGHT(VLOOKUP(T_進路入力[[#This Row],[学籍番号]]&amp;"○",T_進路入力[進路決定確認ワーク],1,FALSE),1),"")</f>
        <v>○</v>
      </c>
    </row>
    <row r="62" spans="1:12" ht="13.5" customHeight="1" x14ac:dyDescent="0.15">
      <c r="A62">
        <v>2407070</v>
      </c>
      <c r="B62" t="s">
        <v>8</v>
      </c>
      <c r="C62" t="s">
        <v>532</v>
      </c>
      <c r="D62" t="s">
        <v>300</v>
      </c>
      <c r="E62" t="s">
        <v>541</v>
      </c>
      <c r="F62" t="s">
        <v>304</v>
      </c>
      <c r="G62" s="10">
        <v>45973</v>
      </c>
      <c r="H62" s="11">
        <v>45986</v>
      </c>
      <c r="J62" t="s">
        <v>47</v>
      </c>
      <c r="K62" t="str">
        <f>T_進路入力[[#This Row],[学籍番号]]&amp;T_進路入力[[#This Row],[進路決定]]</f>
        <v>2407070○</v>
      </c>
      <c r="L62" s="36" t="str">
        <f>_xlfn.IFNA(RIGHT(VLOOKUP(T_進路入力[[#This Row],[学籍番号]]&amp;"○",T_進路入力[進路決定確認ワーク],1,FALSE),1),"")</f>
        <v>○</v>
      </c>
    </row>
    <row r="63" spans="1:12" ht="13.5" customHeight="1" x14ac:dyDescent="0.15">
      <c r="A63">
        <v>2407077</v>
      </c>
      <c r="B63" t="s">
        <v>8</v>
      </c>
      <c r="C63" t="s">
        <v>83</v>
      </c>
      <c r="D63" t="s">
        <v>463</v>
      </c>
      <c r="E63" t="s">
        <v>537</v>
      </c>
      <c r="F63" t="s">
        <v>321</v>
      </c>
      <c r="G63" s="10">
        <v>45934</v>
      </c>
      <c r="H63" s="11">
        <v>45938</v>
      </c>
      <c r="J63" t="s">
        <v>2</v>
      </c>
      <c r="K63" t="str">
        <f>T_進路入力[[#This Row],[学籍番号]]&amp;T_進路入力[[#This Row],[進路決定]]</f>
        <v>2407077○</v>
      </c>
      <c r="L63" s="36" t="str">
        <f>_xlfn.IFNA(RIGHT(VLOOKUP(T_進路入力[[#This Row],[学籍番号]]&amp;"○",T_進路入力[進路決定確認ワーク],1,FALSE),1),"")</f>
        <v>○</v>
      </c>
    </row>
    <row r="64" spans="1:12" ht="13.5" customHeight="1" x14ac:dyDescent="0.15">
      <c r="A64">
        <v>2501002</v>
      </c>
      <c r="B64" t="s">
        <v>8</v>
      </c>
      <c r="C64" t="s">
        <v>711</v>
      </c>
      <c r="E64" t="s">
        <v>707</v>
      </c>
      <c r="F64" t="s">
        <v>295</v>
      </c>
      <c r="G64" s="10"/>
      <c r="H64" s="11"/>
      <c r="I64" t="s">
        <v>707</v>
      </c>
      <c r="J64" t="s">
        <v>47</v>
      </c>
      <c r="K64" t="str">
        <f>T_進路入力[[#This Row],[学籍番号]]&amp;T_進路入力[[#This Row],[進路決定]]</f>
        <v>2501002○</v>
      </c>
      <c r="L64" s="36" t="str">
        <f>_xlfn.IFNA(RIGHT(VLOOKUP(T_進路入力[[#This Row],[学籍番号]]&amp;"○",T_進路入力[進路決定確認ワーク],1,FALSE),1),"")</f>
        <v>○</v>
      </c>
    </row>
    <row r="65" spans="1:12" ht="13.5" customHeight="1" x14ac:dyDescent="0.15">
      <c r="A65">
        <v>2501002</v>
      </c>
      <c r="B65" t="s">
        <v>8</v>
      </c>
      <c r="C65" t="s">
        <v>711</v>
      </c>
      <c r="D65" t="s">
        <v>683</v>
      </c>
      <c r="F65" t="s">
        <v>317</v>
      </c>
      <c r="G65" s="10">
        <v>46054</v>
      </c>
      <c r="H65" s="11">
        <v>46059</v>
      </c>
      <c r="K65" t="str">
        <f>T_進路入力[[#This Row],[学籍番号]]&amp;T_進路入力[[#This Row],[進路決定]]</f>
        <v>2501002</v>
      </c>
      <c r="L65" s="36" t="str">
        <f>_xlfn.IFNA(RIGHT(VLOOKUP(T_進路入力[[#This Row],[学籍番号]]&amp;"○",T_進路入力[進路決定確認ワーク],1,FALSE),1),"")</f>
        <v>○</v>
      </c>
    </row>
    <row r="66" spans="1:12" ht="13.5" customHeight="1" x14ac:dyDescent="0.15">
      <c r="A66">
        <v>2501002</v>
      </c>
      <c r="B66" t="s">
        <v>8</v>
      </c>
      <c r="C66" t="s">
        <v>84</v>
      </c>
      <c r="D66" t="s">
        <v>308</v>
      </c>
      <c r="E66" t="s">
        <v>679</v>
      </c>
      <c r="F66" t="s">
        <v>317</v>
      </c>
      <c r="G66" s="10">
        <v>45691</v>
      </c>
      <c r="H66" s="11">
        <v>45705</v>
      </c>
      <c r="K66" t="str">
        <f>T_進路入力[[#This Row],[学籍番号]]&amp;T_進路入力[[#This Row],[進路決定]]</f>
        <v>2501002</v>
      </c>
      <c r="L66" s="36" t="str">
        <f>_xlfn.IFNA(RIGHT(VLOOKUP(T_進路入力[[#This Row],[学籍番号]]&amp;"○",T_進路入力[進路決定確認ワーク],1,FALSE),1),"")</f>
        <v>○</v>
      </c>
    </row>
    <row r="67" spans="1:12" ht="13.5" customHeight="1" x14ac:dyDescent="0.15">
      <c r="A67">
        <v>2501002</v>
      </c>
      <c r="B67" t="s">
        <v>8</v>
      </c>
      <c r="C67" t="s">
        <v>84</v>
      </c>
      <c r="D67" t="s">
        <v>675</v>
      </c>
      <c r="F67" t="s">
        <v>317</v>
      </c>
      <c r="H67" s="11"/>
      <c r="K67" t="str">
        <f>T_進路入力[[#This Row],[学籍番号]]&amp;T_進路入力[[#This Row],[進路決定]]</f>
        <v>2501002</v>
      </c>
      <c r="L67" s="36" t="str">
        <f>_xlfn.IFNA(RIGHT(VLOOKUP(T_進路入力[[#This Row],[学籍番号]]&amp;"○",T_進路入力[進路決定確認ワーク],1,FALSE),1),"")</f>
        <v>○</v>
      </c>
    </row>
    <row r="68" spans="1:12" ht="13.5" customHeight="1" x14ac:dyDescent="0.15">
      <c r="A68">
        <v>2404019</v>
      </c>
      <c r="B68" t="s">
        <v>9</v>
      </c>
      <c r="C68" t="s">
        <v>53</v>
      </c>
      <c r="D68" t="s">
        <v>338</v>
      </c>
      <c r="E68" t="s">
        <v>612</v>
      </c>
      <c r="F68" t="s">
        <v>304</v>
      </c>
      <c r="G68" s="10">
        <v>45989</v>
      </c>
      <c r="H68" s="11">
        <v>45995</v>
      </c>
      <c r="J68" t="s">
        <v>47</v>
      </c>
      <c r="K68" t="str">
        <f>T_進路入力[[#This Row],[学籍番号]]&amp;T_進路入力[[#This Row],[進路決定]]</f>
        <v>2404019○</v>
      </c>
      <c r="L68" s="36" t="str">
        <f>_xlfn.IFNA(RIGHT(VLOOKUP(T_進路入力[[#This Row],[学籍番号]]&amp;"○",T_進路入力[進路決定確認ワーク],1,FALSE),1),"")</f>
        <v>○</v>
      </c>
    </row>
    <row r="69" spans="1:12" ht="13.5" customHeight="1" x14ac:dyDescent="0.15">
      <c r="A69">
        <v>2404044</v>
      </c>
      <c r="B69" t="s">
        <v>9</v>
      </c>
      <c r="C69" t="s">
        <v>85</v>
      </c>
      <c r="D69" t="s">
        <v>589</v>
      </c>
      <c r="E69" t="s">
        <v>613</v>
      </c>
      <c r="F69" t="s">
        <v>304</v>
      </c>
      <c r="G69" s="10">
        <v>45976</v>
      </c>
      <c r="H69" s="11">
        <v>45980</v>
      </c>
      <c r="J69" t="s">
        <v>47</v>
      </c>
      <c r="K69" t="str">
        <f>T_進路入力[[#This Row],[学籍番号]]&amp;T_進路入力[[#This Row],[進路決定]]</f>
        <v>2404044○</v>
      </c>
      <c r="L69" s="36" t="str">
        <f>_xlfn.IFNA(RIGHT(VLOOKUP(T_進路入力[[#This Row],[学籍番号]]&amp;"○",T_進路入力[進路決定確認ワーク],1,FALSE),1),"")</f>
        <v>○</v>
      </c>
    </row>
    <row r="70" spans="1:12" ht="13.5" customHeight="1" x14ac:dyDescent="0.15">
      <c r="A70">
        <v>2404048</v>
      </c>
      <c r="B70" t="s">
        <v>9</v>
      </c>
      <c r="C70" t="s">
        <v>86</v>
      </c>
      <c r="E70" t="s">
        <v>725</v>
      </c>
      <c r="F70" t="s">
        <v>295</v>
      </c>
      <c r="H70" s="11"/>
      <c r="I70" t="s">
        <v>281</v>
      </c>
      <c r="K70" t="str">
        <f>T_進路入力[[#This Row],[学籍番号]]&amp;T_進路入力[[#This Row],[進路決定]]</f>
        <v>2404048</v>
      </c>
      <c r="L70" s="36" t="str">
        <f>_xlfn.IFNA(RIGHT(VLOOKUP(T_進路入力[[#This Row],[学籍番号]]&amp;"○",T_進路入力[進路決定確認ワーク],1,FALSE),1),"")</f>
        <v/>
      </c>
    </row>
    <row r="71" spans="1:12" ht="13.5" customHeight="1" x14ac:dyDescent="0.15">
      <c r="A71">
        <v>2404062</v>
      </c>
      <c r="B71" t="s">
        <v>9</v>
      </c>
      <c r="C71" t="s">
        <v>87</v>
      </c>
      <c r="D71" t="s">
        <v>313</v>
      </c>
      <c r="E71" t="s">
        <v>611</v>
      </c>
      <c r="F71" t="s">
        <v>325</v>
      </c>
      <c r="G71" s="10">
        <v>45969</v>
      </c>
      <c r="H71" s="11">
        <v>45975</v>
      </c>
      <c r="K71" t="str">
        <f>T_進路入力[[#This Row],[学籍番号]]&amp;T_進路入力[[#This Row],[進路決定]]</f>
        <v>2404062</v>
      </c>
      <c r="L71" s="36" t="str">
        <f>_xlfn.IFNA(RIGHT(VLOOKUP(T_進路入力[[#This Row],[学籍番号]]&amp;"○",T_進路入力[進路決定確認ワーク],1,FALSE),1),"")</f>
        <v/>
      </c>
    </row>
    <row r="72" spans="1:12" ht="13.5" customHeight="1" x14ac:dyDescent="0.15">
      <c r="A72">
        <v>2404062</v>
      </c>
      <c r="B72" t="s">
        <v>9</v>
      </c>
      <c r="C72" t="s">
        <v>87</v>
      </c>
      <c r="D72" t="s">
        <v>558</v>
      </c>
      <c r="E72" t="s">
        <v>614</v>
      </c>
      <c r="F72" t="s">
        <v>325</v>
      </c>
      <c r="G72" s="10">
        <v>45996</v>
      </c>
      <c r="H72" s="11">
        <v>46002</v>
      </c>
      <c r="K72" t="str">
        <f>T_進路入力[[#This Row],[学籍番号]]&amp;T_進路入力[[#This Row],[進路決定]]</f>
        <v>2404062</v>
      </c>
      <c r="L72" s="36" t="str">
        <f>_xlfn.IFNA(RIGHT(VLOOKUP(T_進路入力[[#This Row],[学籍番号]]&amp;"○",T_進路入力[進路決定確認ワーク],1,FALSE),1),"")</f>
        <v/>
      </c>
    </row>
    <row r="73" spans="1:12" ht="13.5" customHeight="1" x14ac:dyDescent="0.15">
      <c r="A73">
        <v>2404062</v>
      </c>
      <c r="B73" t="s">
        <v>9</v>
      </c>
      <c r="C73" t="s">
        <v>87</v>
      </c>
      <c r="D73" t="s">
        <v>608</v>
      </c>
      <c r="E73" t="s">
        <v>640</v>
      </c>
      <c r="F73" t="s">
        <v>304</v>
      </c>
      <c r="G73" s="10">
        <v>45996</v>
      </c>
      <c r="H73" s="11">
        <v>46001</v>
      </c>
      <c r="K73" t="str">
        <f>T_進路入力[[#This Row],[学籍番号]]&amp;T_進路入力[[#This Row],[進路決定]]</f>
        <v>2404062</v>
      </c>
      <c r="L73" s="36" t="str">
        <f>_xlfn.IFNA(RIGHT(VLOOKUP(T_進路入力[[#This Row],[学籍番号]]&amp;"○",T_進路入力[進路決定確認ワーク],1,FALSE),1),"")</f>
        <v/>
      </c>
    </row>
    <row r="74" spans="1:12" ht="13.5" customHeight="1" x14ac:dyDescent="0.15">
      <c r="A74">
        <v>2404062</v>
      </c>
      <c r="B74" t="s">
        <v>9</v>
      </c>
      <c r="C74" t="s">
        <v>87</v>
      </c>
      <c r="E74" t="s">
        <v>283</v>
      </c>
      <c r="F74" t="s">
        <v>295</v>
      </c>
      <c r="G74" s="10"/>
      <c r="H74" s="11">
        <v>46087</v>
      </c>
      <c r="I74" t="s">
        <v>34</v>
      </c>
      <c r="K74" t="str">
        <f>T_進路入力[[#This Row],[学籍番号]]&amp;T_進路入力[[#This Row],[進路決定]]</f>
        <v>2404062</v>
      </c>
      <c r="L74" s="36" t="str">
        <f>_xlfn.IFNA(RIGHT(VLOOKUP(T_進路入力[[#This Row],[学籍番号]]&amp;"○",T_進路入力[進路決定確認ワーク],1,FALSE),1),"")</f>
        <v/>
      </c>
    </row>
    <row r="75" spans="1:12" ht="13.5" customHeight="1" x14ac:dyDescent="0.15">
      <c r="A75">
        <v>2404075</v>
      </c>
      <c r="B75" t="s">
        <v>9</v>
      </c>
      <c r="C75" t="s">
        <v>88</v>
      </c>
      <c r="D75" t="s">
        <v>323</v>
      </c>
      <c r="E75" t="s">
        <v>616</v>
      </c>
      <c r="F75" t="s">
        <v>304</v>
      </c>
      <c r="G75" s="10">
        <v>45997</v>
      </c>
      <c r="H75" s="11">
        <v>46004</v>
      </c>
      <c r="J75" t="s">
        <v>47</v>
      </c>
      <c r="K75" t="str">
        <f>T_進路入力[[#This Row],[学籍番号]]&amp;T_進路入力[[#This Row],[進路決定]]</f>
        <v>2404075○</v>
      </c>
      <c r="L75" s="36" t="str">
        <f>_xlfn.IFNA(RIGHT(VLOOKUP(T_進路入力[[#This Row],[学籍番号]]&amp;"○",T_進路入力[進路決定確認ワーク],1,FALSE),1),"")</f>
        <v>○</v>
      </c>
    </row>
    <row r="76" spans="1:12" ht="13.5" customHeight="1" x14ac:dyDescent="0.15">
      <c r="A76">
        <v>2404080</v>
      </c>
      <c r="B76" t="s">
        <v>9</v>
      </c>
      <c r="C76" t="s">
        <v>16</v>
      </c>
      <c r="D76" t="s">
        <v>324</v>
      </c>
      <c r="E76" t="s">
        <v>440</v>
      </c>
      <c r="F76" t="s">
        <v>304</v>
      </c>
      <c r="G76" s="10">
        <v>45857</v>
      </c>
      <c r="H76" s="11">
        <v>45866</v>
      </c>
      <c r="J76" t="s">
        <v>47</v>
      </c>
      <c r="K76" t="str">
        <f>T_進路入力[[#This Row],[学籍番号]]&amp;T_進路入力[[#This Row],[進路決定]]</f>
        <v>2404080○</v>
      </c>
      <c r="L76" s="36" t="str">
        <f>_xlfn.IFNA(RIGHT(VLOOKUP(T_進路入力[[#This Row],[学籍番号]]&amp;"○",T_進路入力[進路決定確認ワーク],1,FALSE),1),"")</f>
        <v>○</v>
      </c>
    </row>
    <row r="77" spans="1:12" ht="13.5" customHeight="1" x14ac:dyDescent="0.15">
      <c r="A77">
        <v>2404087</v>
      </c>
      <c r="B77" t="s">
        <v>9</v>
      </c>
      <c r="C77" t="s">
        <v>89</v>
      </c>
      <c r="D77" t="s">
        <v>326</v>
      </c>
      <c r="E77" t="s">
        <v>439</v>
      </c>
      <c r="F77" t="s">
        <v>325</v>
      </c>
      <c r="G77" s="10">
        <v>45866</v>
      </c>
      <c r="H77" s="11">
        <v>45874</v>
      </c>
      <c r="K77" t="str">
        <f>T_進路入力[[#This Row],[学籍番号]]&amp;T_進路入力[[#This Row],[進路決定]]</f>
        <v>2404087</v>
      </c>
      <c r="L77" s="36" t="str">
        <f>_xlfn.IFNA(RIGHT(VLOOKUP(T_進路入力[[#This Row],[学籍番号]]&amp;"○",T_進路入力[進路決定確認ワーク],1,FALSE),1),"")</f>
        <v>○</v>
      </c>
    </row>
    <row r="78" spans="1:12" ht="13.5" customHeight="1" x14ac:dyDescent="0.15">
      <c r="A78">
        <v>2404087</v>
      </c>
      <c r="B78" t="s">
        <v>9</v>
      </c>
      <c r="C78" t="s">
        <v>89</v>
      </c>
      <c r="D78" t="s">
        <v>327</v>
      </c>
      <c r="E78" t="s">
        <v>438</v>
      </c>
      <c r="F78" t="s">
        <v>304</v>
      </c>
      <c r="G78" s="10">
        <v>45929</v>
      </c>
      <c r="H78" s="11">
        <v>45940</v>
      </c>
      <c r="J78" t="s">
        <v>47</v>
      </c>
      <c r="K78" t="str">
        <f>T_進路入力[[#This Row],[学籍番号]]&amp;T_進路入力[[#This Row],[進路決定]]</f>
        <v>2404087○</v>
      </c>
      <c r="L78" s="36" t="str">
        <f>_xlfn.IFNA(RIGHT(VLOOKUP(T_進路入力[[#This Row],[学籍番号]]&amp;"○",T_進路入力[進路決定確認ワーク],1,FALSE),1),"")</f>
        <v>○</v>
      </c>
    </row>
    <row r="79" spans="1:12" ht="13.5" customHeight="1" x14ac:dyDescent="0.15">
      <c r="A79">
        <v>2404102</v>
      </c>
      <c r="B79" t="s">
        <v>9</v>
      </c>
      <c r="C79" t="s">
        <v>90</v>
      </c>
      <c r="D79" t="s">
        <v>324</v>
      </c>
      <c r="E79" t="s">
        <v>441</v>
      </c>
      <c r="F79" t="s">
        <v>304</v>
      </c>
      <c r="G79" s="10">
        <v>45864</v>
      </c>
      <c r="H79" s="11">
        <v>45870</v>
      </c>
      <c r="J79" t="s">
        <v>47</v>
      </c>
      <c r="K79" t="str">
        <f>T_進路入力[[#This Row],[学籍番号]]&amp;T_進路入力[[#This Row],[進路決定]]</f>
        <v>2404102○</v>
      </c>
      <c r="L79" s="36" t="str">
        <f>_xlfn.IFNA(RIGHT(VLOOKUP(T_進路入力[[#This Row],[学籍番号]]&amp;"○",T_進路入力[進路決定確認ワーク],1,FALSE),1),"")</f>
        <v>○</v>
      </c>
    </row>
    <row r="80" spans="1:12" ht="13.5" customHeight="1" x14ac:dyDescent="0.15">
      <c r="A80">
        <v>2404129</v>
      </c>
      <c r="B80" t="s">
        <v>9</v>
      </c>
      <c r="C80" t="s">
        <v>91</v>
      </c>
      <c r="D80" t="s">
        <v>328</v>
      </c>
      <c r="E80" t="s">
        <v>437</v>
      </c>
      <c r="F80" t="s">
        <v>325</v>
      </c>
      <c r="G80" s="10">
        <v>45854</v>
      </c>
      <c r="H80" s="11">
        <v>45869</v>
      </c>
      <c r="K80" t="str">
        <f>T_進路入力[[#This Row],[学籍番号]]&amp;T_進路入力[[#This Row],[進路決定]]</f>
        <v>2404129</v>
      </c>
      <c r="L80" s="36" t="str">
        <f>_xlfn.IFNA(RIGHT(VLOOKUP(T_進路入力[[#This Row],[学籍番号]]&amp;"○",T_進路入力[進路決定確認ワーク],1,FALSE),1),"")</f>
        <v>○</v>
      </c>
    </row>
    <row r="81" spans="1:14" ht="13.5" customHeight="1" x14ac:dyDescent="0.15">
      <c r="A81">
        <v>2404129</v>
      </c>
      <c r="B81" t="s">
        <v>9</v>
      </c>
      <c r="C81" t="s">
        <v>91</v>
      </c>
      <c r="D81" t="s">
        <v>328</v>
      </c>
      <c r="E81" t="s">
        <v>437</v>
      </c>
      <c r="F81" t="s">
        <v>325</v>
      </c>
      <c r="G81" s="10">
        <v>45910</v>
      </c>
      <c r="H81" s="11">
        <v>45930</v>
      </c>
      <c r="K81" t="str">
        <f>T_進路入力[[#This Row],[学籍番号]]&amp;T_進路入力[[#This Row],[進路決定]]</f>
        <v>2404129</v>
      </c>
      <c r="L81" s="36" t="str">
        <f>_xlfn.IFNA(RIGHT(VLOOKUP(T_進路入力[[#This Row],[学籍番号]]&amp;"○",T_進路入力[進路決定確認ワーク],1,FALSE),1),"")</f>
        <v>○</v>
      </c>
    </row>
    <row r="82" spans="1:14" ht="13.5" customHeight="1" x14ac:dyDescent="0.15">
      <c r="A82">
        <v>2404129</v>
      </c>
      <c r="B82" t="s">
        <v>9</v>
      </c>
      <c r="C82" t="s">
        <v>91</v>
      </c>
      <c r="D82" t="s">
        <v>621</v>
      </c>
      <c r="E82" t="s">
        <v>446</v>
      </c>
      <c r="F82" t="s">
        <v>325</v>
      </c>
      <c r="G82" s="10">
        <v>45938</v>
      </c>
      <c r="H82" s="11">
        <v>45954</v>
      </c>
      <c r="K82" t="str">
        <f>T_進路入力[[#This Row],[学籍番号]]&amp;T_進路入力[[#This Row],[進路決定]]</f>
        <v>2404129</v>
      </c>
      <c r="L82" s="36" t="str">
        <f>_xlfn.IFNA(RIGHT(VLOOKUP(T_進路入力[[#This Row],[学籍番号]]&amp;"○",T_進路入力[進路決定確認ワーク],1,FALSE),1),"")</f>
        <v>○</v>
      </c>
    </row>
    <row r="83" spans="1:14" ht="13.5" customHeight="1" x14ac:dyDescent="0.15">
      <c r="A83">
        <v>2404129</v>
      </c>
      <c r="B83" t="s">
        <v>9</v>
      </c>
      <c r="C83" t="s">
        <v>91</v>
      </c>
      <c r="D83" t="s">
        <v>329</v>
      </c>
      <c r="E83" t="s">
        <v>442</v>
      </c>
      <c r="F83" t="s">
        <v>304</v>
      </c>
      <c r="G83" s="10">
        <v>45943</v>
      </c>
      <c r="H83" s="11">
        <v>45950</v>
      </c>
      <c r="J83" t="s">
        <v>47</v>
      </c>
      <c r="K83" t="str">
        <f>T_進路入力[[#This Row],[学籍番号]]&amp;T_進路入力[[#This Row],[進路決定]]</f>
        <v>2404129○</v>
      </c>
      <c r="L83" s="36" t="str">
        <f>_xlfn.IFNA(RIGHT(VLOOKUP(T_進路入力[[#This Row],[学籍番号]]&amp;"○",T_進路入力[進路決定確認ワーク],1,FALSE),1),"")</f>
        <v>○</v>
      </c>
    </row>
    <row r="84" spans="1:14" ht="13.5" customHeight="1" x14ac:dyDescent="0.15">
      <c r="A84">
        <v>2404133</v>
      </c>
      <c r="B84" t="s">
        <v>9</v>
      </c>
      <c r="C84" t="s">
        <v>92</v>
      </c>
      <c r="D84" t="s">
        <v>330</v>
      </c>
      <c r="E84" t="s">
        <v>447</v>
      </c>
      <c r="F84" t="s">
        <v>304</v>
      </c>
      <c r="G84" s="10">
        <v>45856</v>
      </c>
      <c r="H84" s="11">
        <v>45860</v>
      </c>
      <c r="J84" t="s">
        <v>47</v>
      </c>
      <c r="K84" t="str">
        <f>T_進路入力[[#This Row],[学籍番号]]&amp;T_進路入力[[#This Row],[進路決定]]</f>
        <v>2404133○</v>
      </c>
      <c r="L84" s="36" t="str">
        <f>_xlfn.IFNA(RIGHT(VLOOKUP(T_進路入力[[#This Row],[学籍番号]]&amp;"○",T_進路入力[進路決定確認ワーク],1,FALSE),1),"")</f>
        <v>○</v>
      </c>
    </row>
    <row r="85" spans="1:14" ht="13.5" customHeight="1" x14ac:dyDescent="0.15">
      <c r="A85">
        <v>2404134</v>
      </c>
      <c r="B85" t="s">
        <v>9</v>
      </c>
      <c r="C85" t="s">
        <v>93</v>
      </c>
      <c r="D85" t="s">
        <v>331</v>
      </c>
      <c r="E85" t="s">
        <v>443</v>
      </c>
      <c r="F85" t="s">
        <v>304</v>
      </c>
      <c r="G85" s="10">
        <v>45863</v>
      </c>
      <c r="H85" s="11">
        <v>45875</v>
      </c>
      <c r="J85" t="s">
        <v>47</v>
      </c>
      <c r="K85" t="str">
        <f>T_進路入力[[#This Row],[学籍番号]]&amp;T_進路入力[[#This Row],[進路決定]]</f>
        <v>2404134○</v>
      </c>
      <c r="L85" s="36" t="str">
        <f>_xlfn.IFNA(RIGHT(VLOOKUP(T_進路入力[[#This Row],[学籍番号]]&amp;"○",T_進路入力[進路決定確認ワーク],1,FALSE),1),"")</f>
        <v>○</v>
      </c>
    </row>
    <row r="86" spans="1:14" ht="13.5" customHeight="1" x14ac:dyDescent="0.15">
      <c r="A86">
        <v>2404139</v>
      </c>
      <c r="B86" t="s">
        <v>9</v>
      </c>
      <c r="C86" t="s">
        <v>94</v>
      </c>
      <c r="D86" t="s">
        <v>332</v>
      </c>
      <c r="E86" t="s">
        <v>357</v>
      </c>
      <c r="F86" t="s">
        <v>304</v>
      </c>
      <c r="G86" s="10">
        <v>45838</v>
      </c>
      <c r="H86" s="11">
        <v>45849</v>
      </c>
      <c r="J86" t="s">
        <v>47</v>
      </c>
      <c r="K86" t="str">
        <f>T_進路入力[[#This Row],[学籍番号]]&amp;T_進路入力[[#This Row],[進路決定]]</f>
        <v>2404139○</v>
      </c>
      <c r="L86" s="36" t="str">
        <f>_xlfn.IFNA(RIGHT(VLOOKUP(T_進路入力[[#This Row],[学籍番号]]&amp;"○",T_進路入力[進路決定確認ワーク],1,FALSE),1),"")</f>
        <v>○</v>
      </c>
    </row>
    <row r="87" spans="1:14" ht="13.5" customHeight="1" x14ac:dyDescent="0.15">
      <c r="A87">
        <v>2404140</v>
      </c>
      <c r="B87" t="s">
        <v>9</v>
      </c>
      <c r="C87" t="s">
        <v>95</v>
      </c>
      <c r="D87" t="s">
        <v>323</v>
      </c>
      <c r="E87" t="s">
        <v>615</v>
      </c>
      <c r="F87" t="s">
        <v>304</v>
      </c>
      <c r="G87" s="10">
        <v>45997</v>
      </c>
      <c r="H87" s="11">
        <v>46004</v>
      </c>
      <c r="J87" t="s">
        <v>47</v>
      </c>
      <c r="K87" t="str">
        <f>T_進路入力[[#This Row],[学籍番号]]&amp;T_進路入力[[#This Row],[進路決定]]</f>
        <v>2404140○</v>
      </c>
      <c r="L87" s="36" t="str">
        <f>_xlfn.IFNA(RIGHT(VLOOKUP(T_進路入力[[#This Row],[学籍番号]]&amp;"○",T_進路入力[進路決定確認ワーク],1,FALSE),1),"")</f>
        <v>○</v>
      </c>
    </row>
    <row r="88" spans="1:14" ht="13.5" customHeight="1" x14ac:dyDescent="0.15">
      <c r="A88">
        <v>2404146</v>
      </c>
      <c r="B88" t="s">
        <v>9</v>
      </c>
      <c r="C88" t="s">
        <v>96</v>
      </c>
      <c r="D88" t="s">
        <v>323</v>
      </c>
      <c r="E88" t="s">
        <v>615</v>
      </c>
      <c r="F88" t="s">
        <v>304</v>
      </c>
      <c r="G88" s="10">
        <v>45997</v>
      </c>
      <c r="H88" s="11">
        <v>46004</v>
      </c>
      <c r="J88" t="s">
        <v>47</v>
      </c>
      <c r="K88" t="str">
        <f>T_進路入力[[#This Row],[学籍番号]]&amp;T_進路入力[[#This Row],[進路決定]]</f>
        <v>2404146○</v>
      </c>
      <c r="L88" s="36" t="str">
        <f>_xlfn.IFNA(RIGHT(VLOOKUP(T_進路入力[[#This Row],[学籍番号]]&amp;"○",T_進路入力[進路決定確認ワーク],1,FALSE),1),"")</f>
        <v>○</v>
      </c>
    </row>
    <row r="89" spans="1:14" ht="13.5" customHeight="1" x14ac:dyDescent="0.15">
      <c r="A89">
        <v>2404148</v>
      </c>
      <c r="B89" t="s">
        <v>9</v>
      </c>
      <c r="C89" t="s">
        <v>97</v>
      </c>
      <c r="D89" t="s">
        <v>333</v>
      </c>
      <c r="E89" t="s">
        <v>618</v>
      </c>
      <c r="F89" t="s">
        <v>325</v>
      </c>
      <c r="G89" s="10">
        <v>45927</v>
      </c>
      <c r="H89" s="11">
        <v>45929</v>
      </c>
      <c r="K89" t="str">
        <f>T_進路入力[[#This Row],[学籍番号]]&amp;T_進路入力[[#This Row],[進路決定]]</f>
        <v>2404148</v>
      </c>
      <c r="L89" s="36" t="str">
        <f>_xlfn.IFNA(RIGHT(VLOOKUP(T_進路入力[[#This Row],[学籍番号]]&amp;"○",T_進路入力[進路決定確認ワーク],1,FALSE),1),"")</f>
        <v>○</v>
      </c>
    </row>
    <row r="90" spans="1:14" ht="13.5" customHeight="1" x14ac:dyDescent="0.15">
      <c r="A90">
        <v>2404148</v>
      </c>
      <c r="B90" t="s">
        <v>9</v>
      </c>
      <c r="C90" t="s">
        <v>97</v>
      </c>
      <c r="D90" t="s">
        <v>449</v>
      </c>
      <c r="E90" t="s">
        <v>619</v>
      </c>
      <c r="F90" t="s">
        <v>304</v>
      </c>
      <c r="G90" s="10">
        <v>45958</v>
      </c>
      <c r="H90" s="11">
        <v>45966</v>
      </c>
      <c r="J90" t="s">
        <v>47</v>
      </c>
      <c r="K90" t="str">
        <f>T_進路入力[[#This Row],[学籍番号]]&amp;T_進路入力[[#This Row],[進路決定]]</f>
        <v>2404148○</v>
      </c>
      <c r="L90" s="36" t="str">
        <f>_xlfn.IFNA(RIGHT(VLOOKUP(T_進路入力[[#This Row],[学籍番号]]&amp;"○",T_進路入力[進路決定確認ワーク],1,FALSE),1),"")</f>
        <v>○</v>
      </c>
    </row>
    <row r="91" spans="1:14" ht="13.5" customHeight="1" x14ac:dyDescent="0.15">
      <c r="A91">
        <v>2404149</v>
      </c>
      <c r="B91" t="s">
        <v>9</v>
      </c>
      <c r="C91" t="s">
        <v>98</v>
      </c>
      <c r="D91" t="s">
        <v>330</v>
      </c>
      <c r="E91" t="s">
        <v>443</v>
      </c>
      <c r="F91" t="s">
        <v>304</v>
      </c>
      <c r="G91" s="10">
        <v>45856</v>
      </c>
      <c r="H91" s="11">
        <v>45860</v>
      </c>
      <c r="J91" t="s">
        <v>47</v>
      </c>
      <c r="K91" t="str">
        <f>T_進路入力[[#This Row],[学籍番号]]&amp;T_進路入力[[#This Row],[進路決定]]</f>
        <v>2404149○</v>
      </c>
      <c r="L91" s="36" t="str">
        <f>_xlfn.IFNA(RIGHT(VLOOKUP(T_進路入力[[#This Row],[学籍番号]]&amp;"○",T_進路入力[進路決定確認ワーク],1,FALSE),1),"")</f>
        <v>○</v>
      </c>
    </row>
    <row r="92" spans="1:14" ht="13.5" customHeight="1" x14ac:dyDescent="0.15">
      <c r="A92">
        <v>2404154</v>
      </c>
      <c r="B92" t="s">
        <v>9</v>
      </c>
      <c r="C92" t="s">
        <v>99</v>
      </c>
      <c r="D92" t="s">
        <v>20</v>
      </c>
      <c r="E92" t="s">
        <v>620</v>
      </c>
      <c r="F92" t="s">
        <v>325</v>
      </c>
      <c r="G92" s="11">
        <v>45927</v>
      </c>
      <c r="H92" s="11">
        <v>45933</v>
      </c>
      <c r="K92" t="str">
        <f>T_進路入力[[#This Row],[学籍番号]]&amp;T_進路入力[[#This Row],[進路決定]]</f>
        <v>2404154</v>
      </c>
      <c r="L92" s="36" t="str">
        <f>_xlfn.IFNA(RIGHT(VLOOKUP(T_進路入力[[#This Row],[学籍番号]]&amp;"○",T_進路入力[進路決定確認ワーク],1,FALSE),1),"")</f>
        <v>○</v>
      </c>
    </row>
    <row r="93" spans="1:14" ht="13.5" customHeight="1" x14ac:dyDescent="0.15">
      <c r="A93">
        <v>2404154</v>
      </c>
      <c r="B93" t="s">
        <v>9</v>
      </c>
      <c r="C93" t="s">
        <v>99</v>
      </c>
      <c r="D93" t="s">
        <v>449</v>
      </c>
      <c r="E93" t="s">
        <v>617</v>
      </c>
      <c r="F93" t="s">
        <v>304</v>
      </c>
      <c r="G93" s="10">
        <v>45958</v>
      </c>
      <c r="H93" s="11">
        <v>45966</v>
      </c>
      <c r="J93" t="s">
        <v>47</v>
      </c>
      <c r="K93" t="str">
        <f>T_進路入力[[#This Row],[学籍番号]]&amp;T_進路入力[[#This Row],[進路決定]]</f>
        <v>2404154○</v>
      </c>
      <c r="L93" s="36" t="str">
        <f>_xlfn.IFNA(RIGHT(VLOOKUP(T_進路入力[[#This Row],[学籍番号]]&amp;"○",T_進路入力[進路決定確認ワーク],1,FALSE),1),"")</f>
        <v>○</v>
      </c>
      <c r="N93" t="s">
        <v>622</v>
      </c>
    </row>
    <row r="94" spans="1:14" ht="13.5" customHeight="1" x14ac:dyDescent="0.15">
      <c r="A94">
        <v>2404155</v>
      </c>
      <c r="B94" t="s">
        <v>9</v>
      </c>
      <c r="C94" t="s">
        <v>100</v>
      </c>
      <c r="D94" t="s">
        <v>334</v>
      </c>
      <c r="E94" t="s">
        <v>448</v>
      </c>
      <c r="F94" t="s">
        <v>304</v>
      </c>
      <c r="G94" s="10">
        <v>45932</v>
      </c>
      <c r="H94" s="11">
        <v>45938</v>
      </c>
      <c r="J94" t="s">
        <v>47</v>
      </c>
      <c r="K94" t="str">
        <f>T_進路入力[[#This Row],[学籍番号]]&amp;T_進路入力[[#This Row],[進路決定]]</f>
        <v>2404155○</v>
      </c>
      <c r="L94" s="36" t="str">
        <f>_xlfn.IFNA(RIGHT(VLOOKUP(T_進路入力[[#This Row],[学籍番号]]&amp;"○",T_進路入力[進路決定確認ワーク],1,FALSE),1),"")</f>
        <v>○</v>
      </c>
    </row>
    <row r="95" spans="1:14" ht="13.5" customHeight="1" x14ac:dyDescent="0.15">
      <c r="A95">
        <v>2404158</v>
      </c>
      <c r="B95" t="s">
        <v>9</v>
      </c>
      <c r="C95" t="s">
        <v>101</v>
      </c>
      <c r="D95" t="s">
        <v>330</v>
      </c>
      <c r="E95" t="s">
        <v>443</v>
      </c>
      <c r="F95" t="s">
        <v>304</v>
      </c>
      <c r="G95" s="10">
        <v>45856</v>
      </c>
      <c r="H95" s="11">
        <v>45860</v>
      </c>
      <c r="J95" t="s">
        <v>47</v>
      </c>
      <c r="K95" t="str">
        <f>T_進路入力[[#This Row],[学籍番号]]&amp;T_進路入力[[#This Row],[進路決定]]</f>
        <v>2404158○</v>
      </c>
      <c r="L95" s="36" t="str">
        <f>_xlfn.IFNA(RIGHT(VLOOKUP(T_進路入力[[#This Row],[学籍番号]]&amp;"○",T_進路入力[進路決定確認ワーク],1,FALSE),1),"")</f>
        <v>○</v>
      </c>
    </row>
    <row r="96" spans="1:14" ht="13.5" customHeight="1" x14ac:dyDescent="0.15">
      <c r="A96">
        <v>2404177</v>
      </c>
      <c r="B96" t="s">
        <v>9</v>
      </c>
      <c r="C96" t="s">
        <v>102</v>
      </c>
      <c r="D96" t="s">
        <v>285</v>
      </c>
      <c r="E96" t="s">
        <v>445</v>
      </c>
      <c r="F96" t="s">
        <v>304</v>
      </c>
      <c r="G96" s="10">
        <v>45948</v>
      </c>
      <c r="H96" s="11">
        <v>45965</v>
      </c>
      <c r="J96" t="s">
        <v>47</v>
      </c>
      <c r="K96" t="str">
        <f>T_進路入力[[#This Row],[学籍番号]]&amp;T_進路入力[[#This Row],[進路決定]]</f>
        <v>2404177○</v>
      </c>
      <c r="L96" s="36" t="str">
        <f>_xlfn.IFNA(RIGHT(VLOOKUP(T_進路入力[[#This Row],[学籍番号]]&amp;"○",T_進路入力[進路決定確認ワーク],1,FALSE),1),"")</f>
        <v>○</v>
      </c>
    </row>
    <row r="97" spans="1:12" ht="13.5" customHeight="1" x14ac:dyDescent="0.15">
      <c r="A97">
        <v>2404177</v>
      </c>
      <c r="B97" t="s">
        <v>9</v>
      </c>
      <c r="C97" t="s">
        <v>102</v>
      </c>
      <c r="D97" t="s">
        <v>335</v>
      </c>
      <c r="E97" t="s">
        <v>444</v>
      </c>
      <c r="F97" t="s">
        <v>317</v>
      </c>
      <c r="G97" s="10">
        <v>45965</v>
      </c>
      <c r="H97" s="11">
        <v>45975</v>
      </c>
      <c r="K97" t="str">
        <f>T_進路入力[[#This Row],[学籍番号]]&amp;T_進路入力[[#This Row],[進路決定]]</f>
        <v>2404177</v>
      </c>
      <c r="L97" s="36" t="str">
        <f>_xlfn.IFNA(RIGHT(VLOOKUP(T_進路入力[[#This Row],[学籍番号]]&amp;"○",T_進路入力[進路決定確認ワーク],1,FALSE),1),"")</f>
        <v>○</v>
      </c>
    </row>
    <row r="98" spans="1:12" ht="13.5" customHeight="1" x14ac:dyDescent="0.15">
      <c r="A98">
        <v>2404081</v>
      </c>
      <c r="B98" t="s">
        <v>4</v>
      </c>
      <c r="C98" t="s">
        <v>103</v>
      </c>
      <c r="D98" t="s">
        <v>336</v>
      </c>
      <c r="F98" t="s">
        <v>304</v>
      </c>
      <c r="G98" s="10">
        <v>45991</v>
      </c>
      <c r="H98" s="11">
        <v>46000</v>
      </c>
      <c r="J98" t="s">
        <v>47</v>
      </c>
      <c r="K98" t="str">
        <f>T_進路入力[[#This Row],[学籍番号]]&amp;T_進路入力[[#This Row],[進路決定]]</f>
        <v>2404081○</v>
      </c>
      <c r="L98" s="36" t="str">
        <f>_xlfn.IFNA(RIGHT(VLOOKUP(T_進路入力[[#This Row],[学籍番号]]&amp;"○",T_進路入力[進路決定確認ワーク],1,FALSE),1),"")</f>
        <v>○</v>
      </c>
    </row>
    <row r="99" spans="1:12" ht="13.5" customHeight="1" x14ac:dyDescent="0.15">
      <c r="A99">
        <v>2404091</v>
      </c>
      <c r="B99" t="s">
        <v>4</v>
      </c>
      <c r="C99" t="s">
        <v>104</v>
      </c>
      <c r="D99" t="s">
        <v>600</v>
      </c>
      <c r="F99" t="s">
        <v>304</v>
      </c>
      <c r="G99" s="10">
        <v>45995</v>
      </c>
      <c r="H99" s="11">
        <v>46002</v>
      </c>
      <c r="J99" t="s">
        <v>47</v>
      </c>
      <c r="K99" t="str">
        <f>T_進路入力[[#This Row],[学籍番号]]&amp;T_進路入力[[#This Row],[進路決定]]</f>
        <v>2404091○</v>
      </c>
      <c r="L99" s="36" t="str">
        <f>_xlfn.IFNA(RIGHT(VLOOKUP(T_進路入力[[#This Row],[学籍番号]]&amp;"○",T_進路入力[進路決定確認ワーク],1,FALSE),1),"")</f>
        <v>○</v>
      </c>
    </row>
    <row r="100" spans="1:12" ht="13.5" customHeight="1" x14ac:dyDescent="0.15">
      <c r="A100">
        <v>2404159</v>
      </c>
      <c r="B100" t="s">
        <v>4</v>
      </c>
      <c r="C100" t="s">
        <v>105</v>
      </c>
      <c r="D100" t="s">
        <v>338</v>
      </c>
      <c r="F100" t="s">
        <v>304</v>
      </c>
      <c r="H100" s="11">
        <v>45938</v>
      </c>
      <c r="J100" t="s">
        <v>47</v>
      </c>
      <c r="K100" t="str">
        <f>T_進路入力[[#This Row],[学籍番号]]&amp;T_進路入力[[#This Row],[進路決定]]</f>
        <v>2404159○</v>
      </c>
      <c r="L100" s="36" t="str">
        <f>_xlfn.IFNA(RIGHT(VLOOKUP(T_進路入力[[#This Row],[学籍番号]]&amp;"○",T_進路入力[進路決定確認ワーク],1,FALSE),1),"")</f>
        <v>○</v>
      </c>
    </row>
    <row r="101" spans="1:12" ht="13.5" customHeight="1" x14ac:dyDescent="0.15">
      <c r="A101">
        <v>2404182</v>
      </c>
      <c r="B101" t="s">
        <v>4</v>
      </c>
      <c r="C101" t="s">
        <v>106</v>
      </c>
      <c r="D101" t="s">
        <v>285</v>
      </c>
      <c r="F101" t="s">
        <v>304</v>
      </c>
      <c r="G101" s="10">
        <v>45948</v>
      </c>
      <c r="H101" s="11"/>
      <c r="J101" t="s">
        <v>47</v>
      </c>
      <c r="K101" t="str">
        <f>T_進路入力[[#This Row],[学籍番号]]&amp;T_進路入力[[#This Row],[進路決定]]</f>
        <v>2404182○</v>
      </c>
      <c r="L101" s="36" t="str">
        <f>_xlfn.IFNA(RIGHT(VLOOKUP(T_進路入力[[#This Row],[学籍番号]]&amp;"○",T_進路入力[進路決定確認ワーク],1,FALSE),1),"")</f>
        <v>○</v>
      </c>
    </row>
    <row r="102" spans="1:12" ht="13.5" customHeight="1" x14ac:dyDescent="0.15">
      <c r="A102">
        <v>2407003</v>
      </c>
      <c r="B102" t="s">
        <v>4</v>
      </c>
      <c r="C102" t="s">
        <v>107</v>
      </c>
      <c r="D102" t="s">
        <v>350</v>
      </c>
      <c r="E102" t="s">
        <v>351</v>
      </c>
      <c r="F102" t="s">
        <v>325</v>
      </c>
      <c r="H102" s="11"/>
      <c r="K102" t="str">
        <f>T_進路入力[[#This Row],[学籍番号]]&amp;T_進路入力[[#This Row],[進路決定]]</f>
        <v>2407003</v>
      </c>
      <c r="L102" s="36" t="str">
        <f>_xlfn.IFNA(RIGHT(VLOOKUP(T_進路入力[[#This Row],[学籍番号]]&amp;"○",T_進路入力[進路決定確認ワーク],1,FALSE),1),"")</f>
        <v>○</v>
      </c>
    </row>
    <row r="103" spans="1:12" ht="13.5" customHeight="1" x14ac:dyDescent="0.15">
      <c r="A103">
        <v>2407003</v>
      </c>
      <c r="B103" t="s">
        <v>4</v>
      </c>
      <c r="C103" t="s">
        <v>107</v>
      </c>
      <c r="D103" t="s">
        <v>352</v>
      </c>
      <c r="F103" t="s">
        <v>304</v>
      </c>
      <c r="H103" s="11"/>
      <c r="J103" t="s">
        <v>47</v>
      </c>
      <c r="K103" t="str">
        <f>T_進路入力[[#This Row],[学籍番号]]&amp;T_進路入力[[#This Row],[進路決定]]</f>
        <v>2407003○</v>
      </c>
      <c r="L103" s="36" t="str">
        <f>_xlfn.IFNA(RIGHT(VLOOKUP(T_進路入力[[#This Row],[学籍番号]]&amp;"○",T_進路入力[進路決定確認ワーク],1,FALSE),1),"")</f>
        <v>○</v>
      </c>
    </row>
    <row r="104" spans="1:12" ht="13.5" customHeight="1" x14ac:dyDescent="0.15">
      <c r="A104">
        <v>2407004</v>
      </c>
      <c r="B104" t="s">
        <v>4</v>
      </c>
      <c r="C104" t="s">
        <v>108</v>
      </c>
      <c r="D104" t="s">
        <v>349</v>
      </c>
      <c r="E104" t="s">
        <v>603</v>
      </c>
      <c r="F104" t="s">
        <v>325</v>
      </c>
      <c r="H104" s="11">
        <v>46003</v>
      </c>
      <c r="K104" t="str">
        <f>T_進路入力[[#This Row],[学籍番号]]&amp;T_進路入力[[#This Row],[進路決定]]</f>
        <v>2407004</v>
      </c>
      <c r="L104" s="36" t="str">
        <f>_xlfn.IFNA(RIGHT(VLOOKUP(T_進路入力[[#This Row],[学籍番号]]&amp;"○",T_進路入力[進路決定確認ワーク],1,FALSE),1),"")</f>
        <v>○</v>
      </c>
    </row>
    <row r="105" spans="1:12" ht="13.5" customHeight="1" x14ac:dyDescent="0.15">
      <c r="A105">
        <v>2407004</v>
      </c>
      <c r="B105" t="s">
        <v>4</v>
      </c>
      <c r="C105" t="s">
        <v>108</v>
      </c>
      <c r="D105" t="s">
        <v>601</v>
      </c>
      <c r="E105" t="s">
        <v>602</v>
      </c>
      <c r="F105" t="s">
        <v>304</v>
      </c>
      <c r="H105" s="11">
        <v>46009</v>
      </c>
      <c r="J105" t="s">
        <v>47</v>
      </c>
      <c r="K105" t="str">
        <f>T_進路入力[[#This Row],[学籍番号]]&amp;T_進路入力[[#This Row],[進路決定]]</f>
        <v>2407004○</v>
      </c>
      <c r="L105" s="36" t="str">
        <f>_xlfn.IFNA(RIGHT(VLOOKUP(T_進路入力[[#This Row],[学籍番号]]&amp;"○",T_進路入力[進路決定確認ワーク],1,FALSE),1),"")</f>
        <v>○</v>
      </c>
    </row>
    <row r="106" spans="1:12" ht="13.5" customHeight="1" x14ac:dyDescent="0.15">
      <c r="A106">
        <v>2407006</v>
      </c>
      <c r="B106" t="s">
        <v>4</v>
      </c>
      <c r="C106" t="s">
        <v>109</v>
      </c>
      <c r="D106" t="s">
        <v>604</v>
      </c>
      <c r="E106" t="s">
        <v>717</v>
      </c>
      <c r="F106" t="s">
        <v>304</v>
      </c>
      <c r="H106" s="11">
        <v>46079</v>
      </c>
      <c r="J106" t="s">
        <v>47</v>
      </c>
      <c r="K106" t="str">
        <f>T_進路入力[[#This Row],[学籍番号]]&amp;T_進路入力[[#This Row],[進路決定]]</f>
        <v>2407006○</v>
      </c>
      <c r="L106" s="36" t="str">
        <f>_xlfn.IFNA(RIGHT(VLOOKUP(T_進路入力[[#This Row],[学籍番号]]&amp;"○",T_進路入力[進路決定確認ワーク],1,FALSE),1),"")</f>
        <v>○</v>
      </c>
    </row>
    <row r="107" spans="1:12" ht="13.5" customHeight="1" x14ac:dyDescent="0.15">
      <c r="A107">
        <v>2407010</v>
      </c>
      <c r="B107" t="s">
        <v>4</v>
      </c>
      <c r="C107" t="s">
        <v>110</v>
      </c>
      <c r="D107" t="s">
        <v>307</v>
      </c>
      <c r="F107" t="s">
        <v>304</v>
      </c>
      <c r="G107" s="10">
        <v>45958</v>
      </c>
      <c r="H107" s="11"/>
      <c r="J107" t="s">
        <v>47</v>
      </c>
      <c r="K107" t="str">
        <f>T_進路入力[[#This Row],[学籍番号]]&amp;T_進路入力[[#This Row],[進路決定]]</f>
        <v>2407010○</v>
      </c>
      <c r="L107" s="36" t="str">
        <f>_xlfn.IFNA(RIGHT(VLOOKUP(T_進路入力[[#This Row],[学籍番号]]&amp;"○",T_進路入力[進路決定確認ワーク],1,FALSE),1),"")</f>
        <v>○</v>
      </c>
    </row>
    <row r="108" spans="1:12" ht="13.5" customHeight="1" x14ac:dyDescent="0.15">
      <c r="A108">
        <v>2407019</v>
      </c>
      <c r="B108" t="s">
        <v>4</v>
      </c>
      <c r="C108" t="s">
        <v>111</v>
      </c>
      <c r="D108" t="s">
        <v>348</v>
      </c>
      <c r="E108" t="s">
        <v>436</v>
      </c>
      <c r="F108" t="s">
        <v>304</v>
      </c>
      <c r="G108" s="10">
        <v>45947</v>
      </c>
      <c r="H108" s="11">
        <v>45952</v>
      </c>
      <c r="J108" t="s">
        <v>47</v>
      </c>
      <c r="K108" t="str">
        <f>T_進路入力[[#This Row],[学籍番号]]&amp;T_進路入力[[#This Row],[進路決定]]</f>
        <v>2407019○</v>
      </c>
      <c r="L108" s="36" t="str">
        <f>_xlfn.IFNA(RIGHT(VLOOKUP(T_進路入力[[#This Row],[学籍番号]]&amp;"○",T_進路入力[進路決定確認ワーク],1,FALSE),1),"")</f>
        <v>○</v>
      </c>
    </row>
    <row r="109" spans="1:12" ht="13.5" customHeight="1" x14ac:dyDescent="0.15">
      <c r="A109">
        <v>2410002</v>
      </c>
      <c r="B109" t="s">
        <v>4</v>
      </c>
      <c r="C109" t="s">
        <v>112</v>
      </c>
      <c r="D109" t="s">
        <v>426</v>
      </c>
      <c r="F109" t="s">
        <v>353</v>
      </c>
      <c r="H109" s="11"/>
      <c r="K109" t="str">
        <f>T_進路入力[[#This Row],[学籍番号]]&amp;T_進路入力[[#This Row],[進路決定]]</f>
        <v>2410002</v>
      </c>
      <c r="L109" s="36" t="str">
        <f>_xlfn.IFNA(RIGHT(VLOOKUP(T_進路入力[[#This Row],[学籍番号]]&amp;"○",T_進路入力[進路決定確認ワーク],1,FALSE),1),"")</f>
        <v>○</v>
      </c>
    </row>
    <row r="110" spans="1:12" ht="13.5" customHeight="1" x14ac:dyDescent="0.15">
      <c r="A110">
        <v>2410002</v>
      </c>
      <c r="B110" t="s">
        <v>4</v>
      </c>
      <c r="C110" t="s">
        <v>112</v>
      </c>
      <c r="D110" t="s">
        <v>427</v>
      </c>
      <c r="F110" t="s">
        <v>353</v>
      </c>
      <c r="H110" s="11"/>
      <c r="K110" t="str">
        <f>T_進路入力[[#This Row],[学籍番号]]&amp;T_進路入力[[#This Row],[進路決定]]</f>
        <v>2410002</v>
      </c>
      <c r="L110" s="36" t="str">
        <f>_xlfn.IFNA(RIGHT(VLOOKUP(T_進路入力[[#This Row],[学籍番号]]&amp;"○",T_進路入力[進路決定確認ワーク],1,FALSE),1),"")</f>
        <v>○</v>
      </c>
    </row>
    <row r="111" spans="1:12" ht="13.5" customHeight="1" x14ac:dyDescent="0.15">
      <c r="A111">
        <v>2410002</v>
      </c>
      <c r="B111" t="s">
        <v>4</v>
      </c>
      <c r="C111" t="s">
        <v>112</v>
      </c>
      <c r="D111" t="s">
        <v>714</v>
      </c>
      <c r="E111" t="s">
        <v>716</v>
      </c>
      <c r="F111" t="s">
        <v>325</v>
      </c>
      <c r="G111" s="10">
        <v>46059</v>
      </c>
      <c r="H111" s="11"/>
      <c r="K111" t="str">
        <f>T_進路入力[[#This Row],[学籍番号]]&amp;T_進路入力[[#This Row],[進路決定]]</f>
        <v>2410002</v>
      </c>
      <c r="L111" s="36" t="str">
        <f>_xlfn.IFNA(RIGHT(VLOOKUP(T_進路入力[[#This Row],[学籍番号]]&amp;"○",T_進路入力[進路決定確認ワーク],1,FALSE),1),"")</f>
        <v>○</v>
      </c>
    </row>
    <row r="112" spans="1:12" ht="13.5" customHeight="1" x14ac:dyDescent="0.15">
      <c r="A112">
        <v>2410002</v>
      </c>
      <c r="B112" t="s">
        <v>4</v>
      </c>
      <c r="C112" t="s">
        <v>112</v>
      </c>
      <c r="D112" t="s">
        <v>673</v>
      </c>
      <c r="F112" t="s">
        <v>305</v>
      </c>
      <c r="G112" s="10">
        <v>46005</v>
      </c>
      <c r="H112" s="11">
        <v>46013</v>
      </c>
      <c r="K112" t="str">
        <f>T_進路入力[[#This Row],[学籍番号]]&amp;T_進路入力[[#This Row],[進路決定]]</f>
        <v>2410002</v>
      </c>
      <c r="L112" s="36" t="str">
        <f>_xlfn.IFNA(RIGHT(VLOOKUP(T_進路入力[[#This Row],[学籍番号]]&amp;"○",T_進路入力[進路決定確認ワーク],1,FALSE),1),"")</f>
        <v>○</v>
      </c>
    </row>
    <row r="113" spans="1:12" ht="13.5" customHeight="1" x14ac:dyDescent="0.15">
      <c r="A113">
        <v>2410002</v>
      </c>
      <c r="B113" t="s">
        <v>4</v>
      </c>
      <c r="C113" t="s">
        <v>112</v>
      </c>
      <c r="D113" t="s">
        <v>425</v>
      </c>
      <c r="E113" t="s">
        <v>715</v>
      </c>
      <c r="F113" t="s">
        <v>304</v>
      </c>
      <c r="G113" s="10">
        <v>46051</v>
      </c>
      <c r="H113" s="11">
        <v>46059</v>
      </c>
      <c r="J113" t="s">
        <v>47</v>
      </c>
      <c r="K113" t="str">
        <f>T_進路入力[[#This Row],[学籍番号]]&amp;T_進路入力[[#This Row],[進路決定]]</f>
        <v>2410002○</v>
      </c>
      <c r="L113" s="36" t="str">
        <f>_xlfn.IFNA(RIGHT(VLOOKUP(T_進路入力[[#This Row],[学籍番号]]&amp;"○",T_進路入力[進路決定確認ワーク],1,FALSE),1),"")</f>
        <v>○</v>
      </c>
    </row>
    <row r="114" spans="1:12" ht="13.5" customHeight="1" x14ac:dyDescent="0.15">
      <c r="A114">
        <v>2404008</v>
      </c>
      <c r="B114" t="s">
        <v>10</v>
      </c>
      <c r="C114" t="s">
        <v>113</v>
      </c>
      <c r="D114" t="s">
        <v>339</v>
      </c>
      <c r="F114" t="s">
        <v>325</v>
      </c>
      <c r="G114" s="10">
        <v>45948</v>
      </c>
      <c r="H114" s="11">
        <v>45952</v>
      </c>
      <c r="K114" t="str">
        <f>T_進路入力[[#This Row],[学籍番号]]&amp;T_進路入力[[#This Row],[進路決定]]</f>
        <v>2404008</v>
      </c>
      <c r="L114" s="36" t="str">
        <f>_xlfn.IFNA(RIGHT(VLOOKUP(T_進路入力[[#This Row],[学籍番号]]&amp;"○",T_進路入力[進路決定確認ワーク],1,FALSE),1),"")</f>
        <v/>
      </c>
    </row>
    <row r="115" spans="1:12" ht="13.5" customHeight="1" x14ac:dyDescent="0.15">
      <c r="A115">
        <v>2404008</v>
      </c>
      <c r="B115" t="s">
        <v>10</v>
      </c>
      <c r="C115" t="s">
        <v>113</v>
      </c>
      <c r="D115" t="s">
        <v>344</v>
      </c>
      <c r="F115" t="s">
        <v>325</v>
      </c>
      <c r="G115" s="10">
        <v>45970</v>
      </c>
      <c r="H115" s="10">
        <v>45973</v>
      </c>
      <c r="K115" t="str">
        <f>T_進路入力[[#This Row],[学籍番号]]&amp;T_進路入力[[#This Row],[進路決定]]</f>
        <v>2404008</v>
      </c>
      <c r="L115" s="36" t="str">
        <f>_xlfn.IFNA(RIGHT(VLOOKUP(T_進路入力[[#This Row],[学籍番号]]&amp;"○",T_進路入力[進路決定確認ワーク],1,FALSE),1),"")</f>
        <v/>
      </c>
    </row>
    <row r="116" spans="1:12" ht="13.5" customHeight="1" x14ac:dyDescent="0.15">
      <c r="A116">
        <v>2404008</v>
      </c>
      <c r="B116" t="s">
        <v>10</v>
      </c>
      <c r="C116" t="s">
        <v>113</v>
      </c>
      <c r="D116" t="s">
        <v>354</v>
      </c>
      <c r="E116" t="s">
        <v>642</v>
      </c>
      <c r="F116" t="s">
        <v>317</v>
      </c>
      <c r="G116" s="10">
        <v>46014</v>
      </c>
      <c r="H116" s="11">
        <v>46016</v>
      </c>
      <c r="K116" t="str">
        <f>T_進路入力[[#This Row],[学籍番号]]&amp;T_進路入力[[#This Row],[進路決定]]</f>
        <v>2404008</v>
      </c>
      <c r="L116" s="36" t="str">
        <f>_xlfn.IFNA(RIGHT(VLOOKUP(T_進路入力[[#This Row],[学籍番号]]&amp;"○",T_進路入力[進路決定確認ワーク],1,FALSE),1),"")</f>
        <v/>
      </c>
    </row>
    <row r="117" spans="1:12" ht="13.5" customHeight="1" x14ac:dyDescent="0.15">
      <c r="A117">
        <v>2404008</v>
      </c>
      <c r="B117" t="s">
        <v>10</v>
      </c>
      <c r="C117" t="s">
        <v>113</v>
      </c>
      <c r="F117" t="s">
        <v>295</v>
      </c>
      <c r="G117" s="10"/>
      <c r="H117" s="11"/>
      <c r="I117" t="s">
        <v>18</v>
      </c>
      <c r="K117" t="str">
        <f>T_進路入力[[#This Row],[学籍番号]]&amp;T_進路入力[[#This Row],[進路決定]]</f>
        <v>2404008</v>
      </c>
      <c r="L117" s="36" t="str">
        <f>_xlfn.IFNA(RIGHT(VLOOKUP(T_進路入力[[#This Row],[学籍番号]]&amp;"○",T_進路入力[進路決定確認ワーク],1,FALSE),1),"")</f>
        <v/>
      </c>
    </row>
    <row r="118" spans="1:12" ht="13.5" customHeight="1" x14ac:dyDescent="0.15">
      <c r="A118">
        <v>2404009</v>
      </c>
      <c r="B118" t="s">
        <v>10</v>
      </c>
      <c r="C118" t="s">
        <v>114</v>
      </c>
      <c r="D118" t="s">
        <v>20</v>
      </c>
      <c r="F118" t="s">
        <v>353</v>
      </c>
      <c r="H118" s="11">
        <v>45933</v>
      </c>
      <c r="K118" t="str">
        <f>T_進路入力[[#This Row],[学籍番号]]&amp;T_進路入力[[#This Row],[進路決定]]</f>
        <v>2404009</v>
      </c>
      <c r="L118" s="36" t="str">
        <f>_xlfn.IFNA(RIGHT(VLOOKUP(T_進路入力[[#This Row],[学籍番号]]&amp;"○",T_進路入力[進路決定確認ワーク],1,FALSE),1),"")</f>
        <v>○</v>
      </c>
    </row>
    <row r="119" spans="1:12" ht="13.5" customHeight="1" x14ac:dyDescent="0.15">
      <c r="A119">
        <v>2404009</v>
      </c>
      <c r="B119" t="s">
        <v>10</v>
      </c>
      <c r="C119" t="s">
        <v>114</v>
      </c>
      <c r="D119" t="s">
        <v>512</v>
      </c>
      <c r="F119" t="s">
        <v>325</v>
      </c>
      <c r="H119" s="11"/>
      <c r="K119" t="str">
        <f>T_進路入力[[#This Row],[学籍番号]]&amp;T_進路入力[[#This Row],[進路決定]]</f>
        <v>2404009</v>
      </c>
      <c r="L119" s="36" t="str">
        <f>_xlfn.IFNA(RIGHT(VLOOKUP(T_進路入力[[#This Row],[学籍番号]]&amp;"○",T_進路入力[進路決定確認ワーク],1,FALSE),1),"")</f>
        <v>○</v>
      </c>
    </row>
    <row r="120" spans="1:12" ht="13.5" customHeight="1" x14ac:dyDescent="0.15">
      <c r="A120">
        <v>2404009</v>
      </c>
      <c r="B120" t="s">
        <v>10</v>
      </c>
      <c r="C120" t="s">
        <v>114</v>
      </c>
      <c r="D120" t="s">
        <v>340</v>
      </c>
      <c r="E120" t="s">
        <v>517</v>
      </c>
      <c r="F120" t="s">
        <v>325</v>
      </c>
      <c r="G120" s="10">
        <v>45991</v>
      </c>
      <c r="H120" s="11">
        <v>45996</v>
      </c>
      <c r="K120" t="str">
        <f>T_進路入力[[#This Row],[学籍番号]]&amp;T_進路入力[[#This Row],[進路決定]]</f>
        <v>2404009</v>
      </c>
      <c r="L120" s="36" t="str">
        <f>_xlfn.IFNA(RIGHT(VLOOKUP(T_進路入力[[#This Row],[学籍番号]]&amp;"○",T_進路入力[進路決定確認ワーク],1,FALSE),1),"")</f>
        <v>○</v>
      </c>
    </row>
    <row r="121" spans="1:12" ht="13.5" customHeight="1" x14ac:dyDescent="0.15">
      <c r="A121">
        <v>2404009</v>
      </c>
      <c r="B121" t="s">
        <v>10</v>
      </c>
      <c r="C121" t="s">
        <v>114</v>
      </c>
      <c r="D121" t="s">
        <v>526</v>
      </c>
      <c r="F121" t="s">
        <v>304</v>
      </c>
      <c r="G121" s="10">
        <v>46011</v>
      </c>
      <c r="H121" s="11">
        <v>46016</v>
      </c>
      <c r="J121" t="s">
        <v>47</v>
      </c>
      <c r="K121" t="str">
        <f>T_進路入力[[#This Row],[学籍番号]]&amp;T_進路入力[[#This Row],[進路決定]]</f>
        <v>2404009○</v>
      </c>
      <c r="L121" s="36" t="str">
        <f>_xlfn.IFNA(RIGHT(VLOOKUP(T_進路入力[[#This Row],[学籍番号]]&amp;"○",T_進路入力[進路決定確認ワーク],1,FALSE),1),"")</f>
        <v>○</v>
      </c>
    </row>
    <row r="122" spans="1:12" ht="13.5" customHeight="1" x14ac:dyDescent="0.15">
      <c r="A122">
        <v>2404045</v>
      </c>
      <c r="B122" t="s">
        <v>10</v>
      </c>
      <c r="C122" t="s">
        <v>115</v>
      </c>
      <c r="D122" t="s">
        <v>655</v>
      </c>
      <c r="E122" t="s">
        <v>682</v>
      </c>
      <c r="F122" t="s">
        <v>317</v>
      </c>
      <c r="G122" s="10">
        <v>46009</v>
      </c>
      <c r="H122" s="11">
        <v>46016</v>
      </c>
      <c r="L122" s="36" t="str">
        <f>_xlfn.IFNA(RIGHT(VLOOKUP(T_進路入力[[#This Row],[学籍番号]]&amp;"○",T_進路入力[進路決定確認ワーク],1,FALSE),1),"")</f>
        <v>○</v>
      </c>
    </row>
    <row r="123" spans="1:12" ht="13.5" customHeight="1" x14ac:dyDescent="0.15">
      <c r="A123">
        <v>2404045</v>
      </c>
      <c r="B123" t="s">
        <v>10</v>
      </c>
      <c r="C123" t="s">
        <v>115</v>
      </c>
      <c r="E123" t="s">
        <v>281</v>
      </c>
      <c r="F123" t="s">
        <v>295</v>
      </c>
      <c r="G123" s="10"/>
      <c r="H123" s="11"/>
      <c r="I123" t="s">
        <v>281</v>
      </c>
      <c r="J123" t="s">
        <v>2</v>
      </c>
      <c r="K123" t="str">
        <f>T_進路入力[[#This Row],[学籍番号]]&amp;T_進路入力[[#This Row],[進路決定]]</f>
        <v>2404045○</v>
      </c>
      <c r="L123" s="36" t="str">
        <f>_xlfn.IFNA(RIGHT(VLOOKUP(T_進路入力[[#This Row],[学籍番号]]&amp;"○",T_進路入力[進路決定確認ワーク],1,FALSE),1),"")</f>
        <v>○</v>
      </c>
    </row>
    <row r="124" spans="1:12" ht="13.5" customHeight="1" x14ac:dyDescent="0.15">
      <c r="A124">
        <v>2404064</v>
      </c>
      <c r="B124" t="s">
        <v>10</v>
      </c>
      <c r="C124" t="s">
        <v>116</v>
      </c>
      <c r="D124" t="s">
        <v>341</v>
      </c>
      <c r="F124" t="s">
        <v>304</v>
      </c>
      <c r="G124" s="10">
        <v>45948</v>
      </c>
      <c r="H124" s="11">
        <v>45962</v>
      </c>
      <c r="J124" t="s">
        <v>47</v>
      </c>
      <c r="K124" t="str">
        <f>T_進路入力[[#This Row],[学籍番号]]&amp;T_進路入力[[#This Row],[進路決定]]</f>
        <v>2404064○</v>
      </c>
      <c r="L124" s="36" t="str">
        <f>_xlfn.IFNA(RIGHT(VLOOKUP(T_進路入力[[#This Row],[学籍番号]]&amp;"○",T_進路入力[進路決定確認ワーク],1,FALSE),1),"")</f>
        <v>○</v>
      </c>
    </row>
    <row r="125" spans="1:12" ht="13.5" customHeight="1" x14ac:dyDescent="0.15">
      <c r="A125">
        <v>2404070</v>
      </c>
      <c r="B125" t="s">
        <v>10</v>
      </c>
      <c r="C125" t="s">
        <v>117</v>
      </c>
      <c r="D125" t="s">
        <v>344</v>
      </c>
      <c r="E125" t="s">
        <v>342</v>
      </c>
      <c r="F125" t="s">
        <v>304</v>
      </c>
      <c r="H125" s="11">
        <v>45930</v>
      </c>
      <c r="J125" t="s">
        <v>47</v>
      </c>
      <c r="K125" t="str">
        <f>T_進路入力[[#This Row],[学籍番号]]&amp;T_進路入力[[#This Row],[進路決定]]</f>
        <v>2404070○</v>
      </c>
      <c r="L125" s="36" t="str">
        <f>_xlfn.IFNA(RIGHT(VLOOKUP(T_進路入力[[#This Row],[学籍番号]]&amp;"○",T_進路入力[進路決定確認ワーク],1,FALSE),1),"")</f>
        <v>○</v>
      </c>
    </row>
    <row r="126" spans="1:12" ht="13.5" customHeight="1" x14ac:dyDescent="0.15">
      <c r="A126">
        <v>2404097</v>
      </c>
      <c r="B126" t="s">
        <v>10</v>
      </c>
      <c r="C126" t="s">
        <v>118</v>
      </c>
      <c r="D126" t="s">
        <v>513</v>
      </c>
      <c r="E126" t="s">
        <v>514</v>
      </c>
      <c r="F126" t="s">
        <v>304</v>
      </c>
      <c r="G126" s="10">
        <v>45990</v>
      </c>
      <c r="H126" s="11">
        <v>46003</v>
      </c>
      <c r="J126" t="s">
        <v>2</v>
      </c>
      <c r="K126" t="str">
        <f>T_進路入力[[#This Row],[学籍番号]]&amp;T_進路入力[[#This Row],[進路決定]]</f>
        <v>2404097○</v>
      </c>
      <c r="L126" s="36" t="str">
        <f>_xlfn.IFNA(RIGHT(VLOOKUP(T_進路入力[[#This Row],[学籍番号]]&amp;"○",T_進路入力[進路決定確認ワーク],1,FALSE),1),"")</f>
        <v>○</v>
      </c>
    </row>
    <row r="127" spans="1:12" ht="13.5" customHeight="1" x14ac:dyDescent="0.15">
      <c r="A127">
        <v>2404105</v>
      </c>
      <c r="B127" t="s">
        <v>10</v>
      </c>
      <c r="C127" t="s">
        <v>119</v>
      </c>
      <c r="D127" t="s">
        <v>344</v>
      </c>
      <c r="F127" t="s">
        <v>325</v>
      </c>
      <c r="G127" s="10">
        <v>45970</v>
      </c>
      <c r="H127" s="11"/>
      <c r="K127" t="str">
        <f>T_進路入力[[#This Row],[学籍番号]]&amp;T_進路入力[[#This Row],[進路決定]]</f>
        <v>2404105</v>
      </c>
      <c r="L127" s="36" t="str">
        <f>_xlfn.IFNA(RIGHT(VLOOKUP(T_進路入力[[#This Row],[学籍番号]]&amp;"○",T_進路入力[進路決定確認ワーク],1,FALSE),1),"")</f>
        <v>○</v>
      </c>
    </row>
    <row r="128" spans="1:12" ht="13.5" customHeight="1" x14ac:dyDescent="0.15">
      <c r="A128">
        <v>2404105</v>
      </c>
      <c r="B128" t="s">
        <v>10</v>
      </c>
      <c r="C128" t="s">
        <v>119</v>
      </c>
      <c r="D128" t="s">
        <v>341</v>
      </c>
      <c r="F128" t="s">
        <v>304</v>
      </c>
      <c r="G128" s="10">
        <v>46004</v>
      </c>
      <c r="H128" s="11">
        <v>46011</v>
      </c>
      <c r="J128" t="s">
        <v>2</v>
      </c>
      <c r="K128" t="str">
        <f>T_進路入力[[#This Row],[学籍番号]]&amp;T_進路入力[[#This Row],[進路決定]]</f>
        <v>2404105○</v>
      </c>
      <c r="L128" s="36" t="str">
        <f>_xlfn.IFNA(RIGHT(VLOOKUP(T_進路入力[[#This Row],[学籍番号]]&amp;"○",T_進路入力[進路決定確認ワーク],1,FALSE),1),"")</f>
        <v>○</v>
      </c>
    </row>
    <row r="129" spans="1:12" ht="13.5" customHeight="1" x14ac:dyDescent="0.15">
      <c r="A129">
        <v>2404108</v>
      </c>
      <c r="B129" t="s">
        <v>10</v>
      </c>
      <c r="C129" t="s">
        <v>120</v>
      </c>
      <c r="D129" t="s">
        <v>558</v>
      </c>
      <c r="E129" t="s">
        <v>580</v>
      </c>
      <c r="F129" t="s">
        <v>325</v>
      </c>
      <c r="G129" s="10">
        <v>45997</v>
      </c>
      <c r="H129" s="11">
        <v>46006</v>
      </c>
      <c r="K129" t="str">
        <f>T_進路入力[[#This Row],[学籍番号]]&amp;T_進路入力[[#This Row],[進路決定]]</f>
        <v>2404108</v>
      </c>
      <c r="L129" s="36" t="str">
        <f>_xlfn.IFNA(RIGHT(VLOOKUP(T_進路入力[[#This Row],[学籍番号]]&amp;"○",T_進路入力[進路決定確認ワーク],1,FALSE),1),"")</f>
        <v>○</v>
      </c>
    </row>
    <row r="130" spans="1:12" ht="13.5" customHeight="1" x14ac:dyDescent="0.15">
      <c r="A130">
        <v>2404108</v>
      </c>
      <c r="B130" t="s">
        <v>10</v>
      </c>
      <c r="C130" t="s">
        <v>120</v>
      </c>
      <c r="D130" t="s">
        <v>569</v>
      </c>
      <c r="E130" t="s">
        <v>678</v>
      </c>
      <c r="F130" t="s">
        <v>304</v>
      </c>
      <c r="G130" s="10">
        <v>46015</v>
      </c>
      <c r="H130" s="11">
        <v>46017</v>
      </c>
      <c r="J130" t="s">
        <v>47</v>
      </c>
      <c r="K130" t="str">
        <f>T_進路入力[[#This Row],[学籍番号]]&amp;T_進路入力[[#This Row],[進路決定]]</f>
        <v>2404108○</v>
      </c>
      <c r="L130" s="36" t="str">
        <f>_xlfn.IFNA(RIGHT(VLOOKUP(T_進路入力[[#This Row],[学籍番号]]&amp;"○",T_進路入力[進路決定確認ワーク],1,FALSE),1),"")</f>
        <v>○</v>
      </c>
    </row>
    <row r="131" spans="1:12" ht="13.5" customHeight="1" x14ac:dyDescent="0.15">
      <c r="A131">
        <v>2404111</v>
      </c>
      <c r="B131" t="s">
        <v>10</v>
      </c>
      <c r="C131" t="s">
        <v>121</v>
      </c>
      <c r="D131" t="s">
        <v>344</v>
      </c>
      <c r="E131" t="s">
        <v>345</v>
      </c>
      <c r="F131" t="s">
        <v>325</v>
      </c>
      <c r="G131" s="10">
        <v>45970</v>
      </c>
      <c r="H131" s="10">
        <v>45973</v>
      </c>
      <c r="K131" t="str">
        <f>T_進路入力[[#This Row],[学籍番号]]&amp;T_進路入力[[#This Row],[進路決定]]</f>
        <v>2404111</v>
      </c>
      <c r="L131" s="36" t="str">
        <f>_xlfn.IFNA(RIGHT(VLOOKUP(T_進路入力[[#This Row],[学籍番号]]&amp;"○",T_進路入力[進路決定確認ワーク],1,FALSE),1),"")</f>
        <v>○</v>
      </c>
    </row>
    <row r="132" spans="1:12" ht="13.5" customHeight="1" x14ac:dyDescent="0.15">
      <c r="A132">
        <v>2404111</v>
      </c>
      <c r="B132" t="s">
        <v>10</v>
      </c>
      <c r="C132" t="s">
        <v>121</v>
      </c>
      <c r="D132" t="s">
        <v>558</v>
      </c>
      <c r="E132" t="s">
        <v>580</v>
      </c>
      <c r="F132" t="s">
        <v>325</v>
      </c>
      <c r="G132" s="10">
        <v>45997</v>
      </c>
      <c r="H132" s="11">
        <v>46006</v>
      </c>
      <c r="K132" t="str">
        <f>T_進路入力[[#This Row],[学籍番号]]&amp;T_進路入力[[#This Row],[進路決定]]</f>
        <v>2404111</v>
      </c>
      <c r="L132" s="36" t="str">
        <f>_xlfn.IFNA(RIGHT(VLOOKUP(T_進路入力[[#This Row],[学籍番号]]&amp;"○",T_進路入力[進路決定確認ワーク],1,FALSE),1),"")</f>
        <v>○</v>
      </c>
    </row>
    <row r="133" spans="1:12" ht="13.5" customHeight="1" x14ac:dyDescent="0.15">
      <c r="A133">
        <v>2404111</v>
      </c>
      <c r="B133" t="s">
        <v>10</v>
      </c>
      <c r="C133" t="s">
        <v>121</v>
      </c>
      <c r="D133" t="s">
        <v>569</v>
      </c>
      <c r="E133" t="s">
        <v>678</v>
      </c>
      <c r="F133" t="s">
        <v>304</v>
      </c>
      <c r="G133" s="10">
        <v>46015</v>
      </c>
      <c r="H133" s="11">
        <v>46017</v>
      </c>
      <c r="J133" t="s">
        <v>47</v>
      </c>
      <c r="K133" t="str">
        <f>T_進路入力[[#This Row],[学籍番号]]&amp;T_進路入力[[#This Row],[進路決定]]</f>
        <v>2404111○</v>
      </c>
      <c r="L133" s="36" t="str">
        <f>_xlfn.IFNA(RIGHT(VLOOKUP(T_進路入力[[#This Row],[学籍番号]]&amp;"○",T_進路入力[進路決定確認ワーク],1,FALSE),1),"")</f>
        <v>○</v>
      </c>
    </row>
    <row r="134" spans="1:12" ht="13.5" customHeight="1" x14ac:dyDescent="0.15">
      <c r="A134">
        <v>2404113</v>
      </c>
      <c r="B134" t="s">
        <v>10</v>
      </c>
      <c r="C134" t="s">
        <v>122</v>
      </c>
      <c r="D134" t="s">
        <v>324</v>
      </c>
      <c r="F134" t="s">
        <v>321</v>
      </c>
      <c r="H134" s="11">
        <v>45873</v>
      </c>
      <c r="J134" t="s">
        <v>47</v>
      </c>
      <c r="K134" t="str">
        <f>T_進路入力[[#This Row],[学籍番号]]&amp;T_進路入力[[#This Row],[進路決定]]</f>
        <v>2404113○</v>
      </c>
      <c r="L134" s="36" t="str">
        <f>_xlfn.IFNA(RIGHT(VLOOKUP(T_進路入力[[#This Row],[学籍番号]]&amp;"○",T_進路入力[進路決定確認ワーク],1,FALSE),1),"")</f>
        <v>○</v>
      </c>
    </row>
    <row r="135" spans="1:12" ht="13.5" customHeight="1" x14ac:dyDescent="0.15">
      <c r="A135">
        <v>2404119</v>
      </c>
      <c r="B135" t="s">
        <v>10</v>
      </c>
      <c r="C135" t="s">
        <v>123</v>
      </c>
      <c r="D135" t="s">
        <v>516</v>
      </c>
      <c r="F135" t="s">
        <v>317</v>
      </c>
      <c r="G135" s="10">
        <v>45976</v>
      </c>
      <c r="H135" s="11">
        <v>45989</v>
      </c>
      <c r="K135" t="str">
        <f>T_進路入力[[#This Row],[学籍番号]]&amp;T_進路入力[[#This Row],[進路決定]]</f>
        <v>2404119</v>
      </c>
      <c r="L135" s="36" t="str">
        <f>_xlfn.IFNA(RIGHT(VLOOKUP(T_進路入力[[#This Row],[学籍番号]]&amp;"○",T_進路入力[進路決定確認ワーク],1,FALSE),1),"")</f>
        <v>○</v>
      </c>
    </row>
    <row r="136" spans="1:12" ht="13.5" customHeight="1" x14ac:dyDescent="0.15">
      <c r="A136">
        <v>2404119</v>
      </c>
      <c r="B136" t="s">
        <v>10</v>
      </c>
      <c r="C136" t="s">
        <v>123</v>
      </c>
      <c r="D136" t="s">
        <v>569</v>
      </c>
      <c r="E136" t="s">
        <v>678</v>
      </c>
      <c r="F136" t="s">
        <v>304</v>
      </c>
      <c r="G136" s="10">
        <v>46015</v>
      </c>
      <c r="H136" s="11">
        <v>46017</v>
      </c>
      <c r="J136" t="s">
        <v>47</v>
      </c>
      <c r="K136" t="str">
        <f>T_進路入力[[#This Row],[学籍番号]]&amp;T_進路入力[[#This Row],[進路決定]]</f>
        <v>2404119○</v>
      </c>
      <c r="L136" s="36" t="str">
        <f>_xlfn.IFNA(RIGHT(VLOOKUP(T_進路入力[[#This Row],[学籍番号]]&amp;"○",T_進路入力[進路決定確認ワーク],1,FALSE),1),"")</f>
        <v>○</v>
      </c>
    </row>
    <row r="137" spans="1:12" ht="13.5" customHeight="1" x14ac:dyDescent="0.15">
      <c r="A137">
        <v>2404171</v>
      </c>
      <c r="B137" t="s">
        <v>10</v>
      </c>
      <c r="C137" t="s">
        <v>124</v>
      </c>
      <c r="D137" t="s">
        <v>354</v>
      </c>
      <c r="F137" t="s">
        <v>304</v>
      </c>
      <c r="H137" s="11">
        <v>45888</v>
      </c>
      <c r="J137" t="s">
        <v>47</v>
      </c>
      <c r="K137" t="str">
        <f>T_進路入力[[#This Row],[学籍番号]]&amp;T_進路入力[[#This Row],[進路決定]]</f>
        <v>2404171○</v>
      </c>
      <c r="L137" s="36" t="str">
        <f>_xlfn.IFNA(RIGHT(VLOOKUP(T_進路入力[[#This Row],[学籍番号]]&amp;"○",T_進路入力[進路決定確認ワーク],1,FALSE),1),"")</f>
        <v>○</v>
      </c>
    </row>
    <row r="138" spans="1:12" ht="13.5" customHeight="1" x14ac:dyDescent="0.15">
      <c r="A138">
        <v>2404172</v>
      </c>
      <c r="B138" t="s">
        <v>10</v>
      </c>
      <c r="C138" t="s">
        <v>125</v>
      </c>
      <c r="D138" t="s">
        <v>354</v>
      </c>
      <c r="F138" t="s">
        <v>304</v>
      </c>
      <c r="H138" s="11">
        <v>45888</v>
      </c>
      <c r="J138" t="s">
        <v>47</v>
      </c>
      <c r="K138" t="str">
        <f>T_進路入力[[#This Row],[学籍番号]]&amp;T_進路入力[[#This Row],[進路決定]]</f>
        <v>2404172○</v>
      </c>
      <c r="L138" s="36" t="str">
        <f>_xlfn.IFNA(RIGHT(VLOOKUP(T_進路入力[[#This Row],[学籍番号]]&amp;"○",T_進路入力[進路決定確認ワーク],1,FALSE),1),"")</f>
        <v>○</v>
      </c>
    </row>
    <row r="139" spans="1:12" ht="13.5" customHeight="1" x14ac:dyDescent="0.15">
      <c r="A139">
        <v>2407020</v>
      </c>
      <c r="B139" t="s">
        <v>10</v>
      </c>
      <c r="C139" t="s">
        <v>126</v>
      </c>
      <c r="D139" t="s">
        <v>344</v>
      </c>
      <c r="E139" t="s">
        <v>355</v>
      </c>
      <c r="F139" t="s">
        <v>304</v>
      </c>
      <c r="G139" s="10">
        <v>45955</v>
      </c>
      <c r="H139" s="11">
        <v>45959</v>
      </c>
      <c r="J139" t="s">
        <v>47</v>
      </c>
      <c r="K139" t="str">
        <f>T_進路入力[[#This Row],[学籍番号]]&amp;T_進路入力[[#This Row],[進路決定]]</f>
        <v>2407020○</v>
      </c>
      <c r="L139" s="36" t="str">
        <f>_xlfn.IFNA(RIGHT(VLOOKUP(T_進路入力[[#This Row],[学籍番号]]&amp;"○",T_進路入力[進路決定確認ワーク],1,FALSE),1),"")</f>
        <v>○</v>
      </c>
    </row>
    <row r="140" spans="1:12" ht="13.5" customHeight="1" x14ac:dyDescent="0.15">
      <c r="A140">
        <v>2407044</v>
      </c>
      <c r="B140" t="s">
        <v>10</v>
      </c>
      <c r="C140" t="s">
        <v>127</v>
      </c>
      <c r="D140" t="s">
        <v>516</v>
      </c>
      <c r="F140" t="s">
        <v>325</v>
      </c>
      <c r="G140" s="10">
        <v>45976</v>
      </c>
      <c r="H140" s="11">
        <v>45989</v>
      </c>
      <c r="K140" t="str">
        <f>T_進路入力[[#This Row],[学籍番号]]&amp;T_進路入力[[#This Row],[進路決定]]</f>
        <v>2407044</v>
      </c>
      <c r="L140" s="36" t="str">
        <f>_xlfn.IFNA(RIGHT(VLOOKUP(T_進路入力[[#This Row],[学籍番号]]&amp;"○",T_進路入力[進路決定確認ワーク],1,FALSE),1),"")</f>
        <v>○</v>
      </c>
    </row>
    <row r="141" spans="1:12" ht="13.5" customHeight="1" x14ac:dyDescent="0.15">
      <c r="A141">
        <v>2407044</v>
      </c>
      <c r="B141" t="s">
        <v>10</v>
      </c>
      <c r="C141" t="s">
        <v>127</v>
      </c>
      <c r="D141" t="s">
        <v>285</v>
      </c>
      <c r="F141" t="s">
        <v>304</v>
      </c>
      <c r="G141" s="10">
        <v>46011</v>
      </c>
      <c r="H141" s="11">
        <v>46017</v>
      </c>
      <c r="J141" t="s">
        <v>47</v>
      </c>
      <c r="K141" t="str">
        <f>T_進路入力[[#This Row],[学籍番号]]&amp;T_進路入力[[#This Row],[進路決定]]</f>
        <v>2407044○</v>
      </c>
      <c r="L141" s="36" t="str">
        <f>_xlfn.IFNA(RIGHT(VLOOKUP(T_進路入力[[#This Row],[学籍番号]]&amp;"○",T_進路入力[進路決定確認ワーク],1,FALSE),1),"")</f>
        <v>○</v>
      </c>
    </row>
    <row r="142" spans="1:12" ht="13.5" customHeight="1" x14ac:dyDescent="0.15">
      <c r="A142">
        <v>2407044</v>
      </c>
      <c r="B142" t="s">
        <v>10</v>
      </c>
      <c r="C142" t="s">
        <v>127</v>
      </c>
      <c r="D142" t="s">
        <v>341</v>
      </c>
      <c r="E142" t="s">
        <v>563</v>
      </c>
      <c r="F142" t="s">
        <v>317</v>
      </c>
      <c r="G142" s="10">
        <v>46004</v>
      </c>
      <c r="H142" s="11">
        <v>46011</v>
      </c>
      <c r="K142" t="str">
        <f>T_進路入力[[#This Row],[学籍番号]]&amp;T_進路入力[[#This Row],[進路決定]]</f>
        <v>2407044</v>
      </c>
      <c r="L142" s="36" t="str">
        <f>_xlfn.IFNA(RIGHT(VLOOKUP(T_進路入力[[#This Row],[学籍番号]]&amp;"○",T_進路入力[進路決定確認ワーク],1,FALSE),1),"")</f>
        <v>○</v>
      </c>
    </row>
    <row r="143" spans="1:12" ht="13.5" customHeight="1" x14ac:dyDescent="0.15">
      <c r="A143">
        <v>2407049</v>
      </c>
      <c r="B143" t="s">
        <v>10</v>
      </c>
      <c r="C143" t="s">
        <v>128</v>
      </c>
      <c r="D143" t="s">
        <v>285</v>
      </c>
      <c r="E143" t="s">
        <v>562</v>
      </c>
      <c r="F143" t="s">
        <v>325</v>
      </c>
      <c r="G143" s="10">
        <v>45948</v>
      </c>
      <c r="H143" s="11">
        <v>45965</v>
      </c>
      <c r="K143" t="str">
        <f>T_進路入力[[#This Row],[学籍番号]]&amp;T_進路入力[[#This Row],[進路決定]]</f>
        <v>2407049</v>
      </c>
      <c r="L143" s="36" t="str">
        <f>_xlfn.IFNA(RIGHT(VLOOKUP(T_進路入力[[#This Row],[学籍番号]]&amp;"○",T_進路入力[進路決定確認ワーク],1,FALSE),1),"")</f>
        <v>○</v>
      </c>
    </row>
    <row r="144" spans="1:12" ht="13.5" customHeight="1" x14ac:dyDescent="0.15">
      <c r="A144">
        <v>2407049</v>
      </c>
      <c r="B144" t="s">
        <v>10</v>
      </c>
      <c r="C144" t="s">
        <v>128</v>
      </c>
      <c r="D144" t="s">
        <v>285</v>
      </c>
      <c r="E144" t="s">
        <v>563</v>
      </c>
      <c r="F144" t="s">
        <v>304</v>
      </c>
      <c r="G144" s="10">
        <v>46011</v>
      </c>
      <c r="H144" s="11">
        <v>46017</v>
      </c>
      <c r="J144" t="s">
        <v>47</v>
      </c>
      <c r="K144" t="str">
        <f>T_進路入力[[#This Row],[学籍番号]]&amp;T_進路入力[[#This Row],[進路決定]]</f>
        <v>2407049○</v>
      </c>
      <c r="L144" s="36" t="str">
        <f>_xlfn.IFNA(RIGHT(VLOOKUP(T_進路入力[[#This Row],[学籍番号]]&amp;"○",T_進路入力[進路決定確認ワーク],1,FALSE),1),"")</f>
        <v>○</v>
      </c>
    </row>
    <row r="145" spans="1:12" ht="13.5" customHeight="1" x14ac:dyDescent="0.15">
      <c r="A145">
        <v>2407049</v>
      </c>
      <c r="B145" t="s">
        <v>10</v>
      </c>
      <c r="C145" t="s">
        <v>128</v>
      </c>
      <c r="D145" t="s">
        <v>341</v>
      </c>
      <c r="E145" t="s">
        <v>563</v>
      </c>
      <c r="F145" t="s">
        <v>317</v>
      </c>
      <c r="G145" s="10">
        <v>46004</v>
      </c>
      <c r="H145" s="11">
        <v>46011</v>
      </c>
      <c r="K145" t="str">
        <f>T_進路入力[[#This Row],[学籍番号]]&amp;T_進路入力[[#This Row],[進路決定]]</f>
        <v>2407049</v>
      </c>
      <c r="L145" s="36" t="str">
        <f>_xlfn.IFNA(RIGHT(VLOOKUP(T_進路入力[[#This Row],[学籍番号]]&amp;"○",T_進路入力[進路決定確認ワーク],1,FALSE),1),"")</f>
        <v>○</v>
      </c>
    </row>
    <row r="146" spans="1:12" ht="13.5" customHeight="1" x14ac:dyDescent="0.15">
      <c r="A146">
        <v>2407060</v>
      </c>
      <c r="B146" t="s">
        <v>10</v>
      </c>
      <c r="C146" t="s">
        <v>129</v>
      </c>
      <c r="D146" t="s">
        <v>346</v>
      </c>
      <c r="E146" t="s">
        <v>356</v>
      </c>
      <c r="F146" t="s">
        <v>304</v>
      </c>
      <c r="G146" s="10">
        <v>45986</v>
      </c>
      <c r="H146" s="11">
        <v>45993</v>
      </c>
      <c r="J146" t="s">
        <v>47</v>
      </c>
      <c r="K146" t="str">
        <f>T_進路入力[[#This Row],[学籍番号]]&amp;T_進路入力[[#This Row],[進路決定]]</f>
        <v>2407060○</v>
      </c>
      <c r="L146" s="36" t="str">
        <f>_xlfn.IFNA(RIGHT(VLOOKUP(T_進路入力[[#This Row],[学籍番号]]&amp;"○",T_進路入力[進路決定確認ワーク],1,FALSE),1),"")</f>
        <v>○</v>
      </c>
    </row>
    <row r="147" spans="1:12" ht="13.5" customHeight="1" x14ac:dyDescent="0.15">
      <c r="A147">
        <v>2407064</v>
      </c>
      <c r="B147" t="s">
        <v>10</v>
      </c>
      <c r="C147" t="s">
        <v>130</v>
      </c>
      <c r="D147" t="s">
        <v>344</v>
      </c>
      <c r="E147" t="s">
        <v>357</v>
      </c>
      <c r="F147" t="s">
        <v>325</v>
      </c>
      <c r="G147" s="10">
        <v>45887</v>
      </c>
      <c r="H147" s="11"/>
      <c r="K147" t="str">
        <f>T_進路入力[[#This Row],[学籍番号]]&amp;T_進路入力[[#This Row],[進路決定]]</f>
        <v>2407064</v>
      </c>
      <c r="L147" s="36" t="str">
        <f>_xlfn.IFNA(RIGHT(VLOOKUP(T_進路入力[[#This Row],[学籍番号]]&amp;"○",T_進路入力[進路決定確認ワーク],1,FALSE),1),"")</f>
        <v>○</v>
      </c>
    </row>
    <row r="148" spans="1:12" ht="13.5" customHeight="1" x14ac:dyDescent="0.15">
      <c r="A148">
        <v>2407064</v>
      </c>
      <c r="B148" t="s">
        <v>10</v>
      </c>
      <c r="C148" t="s">
        <v>130</v>
      </c>
      <c r="D148" t="s">
        <v>339</v>
      </c>
      <c r="F148" t="s">
        <v>304</v>
      </c>
      <c r="H148" s="11">
        <v>45917</v>
      </c>
      <c r="J148" t="s">
        <v>47</v>
      </c>
      <c r="K148" t="str">
        <f>T_進路入力[[#This Row],[学籍番号]]&amp;T_進路入力[[#This Row],[進路決定]]</f>
        <v>2407064○</v>
      </c>
      <c r="L148" s="36" t="str">
        <f>_xlfn.IFNA(RIGHT(VLOOKUP(T_進路入力[[#This Row],[学籍番号]]&amp;"○",T_進路入力[進路決定確認ワーク],1,FALSE),1),"")</f>
        <v>○</v>
      </c>
    </row>
    <row r="149" spans="1:12" ht="13.5" customHeight="1" x14ac:dyDescent="0.15">
      <c r="A149">
        <v>2410001</v>
      </c>
      <c r="B149" t="s">
        <v>10</v>
      </c>
      <c r="C149" t="s">
        <v>131</v>
      </c>
      <c r="D149" t="s">
        <v>285</v>
      </c>
      <c r="F149" t="s">
        <v>304</v>
      </c>
      <c r="G149" s="10">
        <v>45948</v>
      </c>
      <c r="H149" s="11">
        <v>45965</v>
      </c>
      <c r="J149" t="s">
        <v>47</v>
      </c>
      <c r="K149" t="str">
        <f>T_進路入力[[#This Row],[学籍番号]]&amp;T_進路入力[[#This Row],[進路決定]]</f>
        <v>2410001○</v>
      </c>
      <c r="L149" s="36" t="str">
        <f>_xlfn.IFNA(RIGHT(VLOOKUP(T_進路入力[[#This Row],[学籍番号]]&amp;"○",T_進路入力[進路決定確認ワーク],1,FALSE),1),"")</f>
        <v>○</v>
      </c>
    </row>
    <row r="150" spans="1:12" ht="13.5" customHeight="1" x14ac:dyDescent="0.15">
      <c r="A150">
        <v>2410004</v>
      </c>
      <c r="B150" t="s">
        <v>10</v>
      </c>
      <c r="C150" t="s">
        <v>132</v>
      </c>
      <c r="D150" t="s">
        <v>322</v>
      </c>
      <c r="F150" t="s">
        <v>317</v>
      </c>
      <c r="G150" s="10">
        <v>46004</v>
      </c>
      <c r="H150" s="11">
        <v>46010</v>
      </c>
      <c r="K150" t="str">
        <f>T_進路入力[[#This Row],[学籍番号]]&amp;T_進路入力[[#This Row],[進路決定]]</f>
        <v>2410004</v>
      </c>
      <c r="L150" s="36" t="str">
        <f>_xlfn.IFNA(RIGHT(VLOOKUP(T_進路入力[[#This Row],[学籍番号]]&amp;"○",T_進路入力[進路決定確認ワーク],1,FALSE),1),"")</f>
        <v>○</v>
      </c>
    </row>
    <row r="151" spans="1:12" ht="13.5" customHeight="1" x14ac:dyDescent="0.15">
      <c r="A151">
        <v>2410004</v>
      </c>
      <c r="B151" t="s">
        <v>10</v>
      </c>
      <c r="C151" t="s">
        <v>132</v>
      </c>
      <c r="D151" t="s">
        <v>710</v>
      </c>
      <c r="E151" t="s">
        <v>643</v>
      </c>
      <c r="F151" t="s">
        <v>293</v>
      </c>
      <c r="G151" s="10">
        <v>46093</v>
      </c>
      <c r="H151" s="11">
        <v>46101</v>
      </c>
      <c r="K151" t="str">
        <f>T_進路入力[[#This Row],[学籍番号]]&amp;T_進路入力[[#This Row],[進路決定]]</f>
        <v>2410004</v>
      </c>
      <c r="L151" s="36" t="str">
        <f>_xlfn.IFNA(RIGHT(VLOOKUP(T_進路入力[[#This Row],[学籍番号]]&amp;"○",T_進路入力[進路決定確認ワーク],1,FALSE),1),"")</f>
        <v>○</v>
      </c>
    </row>
    <row r="152" spans="1:12" ht="13.5" customHeight="1" x14ac:dyDescent="0.15">
      <c r="A152">
        <v>2410004</v>
      </c>
      <c r="B152" t="s">
        <v>10</v>
      </c>
      <c r="C152" t="s">
        <v>132</v>
      </c>
      <c r="D152" t="s">
        <v>708</v>
      </c>
      <c r="E152" t="s">
        <v>709</v>
      </c>
      <c r="F152" t="s">
        <v>304</v>
      </c>
      <c r="G152" s="10">
        <v>46073</v>
      </c>
      <c r="H152" s="11">
        <v>46081</v>
      </c>
      <c r="J152" t="s">
        <v>47</v>
      </c>
      <c r="K152" t="str">
        <f>T_進路入力[[#This Row],[学籍番号]]&amp;T_進路入力[[#This Row],[進路決定]]</f>
        <v>2410004○</v>
      </c>
      <c r="L152" s="36" t="str">
        <f>_xlfn.IFNA(RIGHT(VLOOKUP(T_進路入力[[#This Row],[学籍番号]]&amp;"○",T_進路入力[進路決定確認ワーク],1,FALSE),1),"")</f>
        <v>○</v>
      </c>
    </row>
    <row r="153" spans="1:12" ht="13.5" customHeight="1" x14ac:dyDescent="0.15">
      <c r="A153">
        <v>2410004</v>
      </c>
      <c r="B153" t="s">
        <v>10</v>
      </c>
      <c r="C153" t="s">
        <v>132</v>
      </c>
      <c r="D153" t="s">
        <v>675</v>
      </c>
      <c r="E153" t="s">
        <v>676</v>
      </c>
      <c r="F153" t="s">
        <v>317</v>
      </c>
      <c r="G153" s="11" t="s">
        <v>37</v>
      </c>
      <c r="H153" s="11" t="s">
        <v>37</v>
      </c>
      <c r="K153" t="str">
        <f>T_進路入力[[#This Row],[学籍番号]]&amp;T_進路入力[[#This Row],[進路決定]]</f>
        <v>2410004</v>
      </c>
      <c r="L153" s="36" t="str">
        <f>_xlfn.IFNA(RIGHT(VLOOKUP(T_進路入力[[#This Row],[学籍番号]]&amp;"○",T_進路入力[進路決定確認ワーク],1,FALSE),1),"")</f>
        <v>○</v>
      </c>
    </row>
    <row r="154" spans="1:12" ht="13.5" customHeight="1" x14ac:dyDescent="0.15">
      <c r="A154">
        <v>2404040</v>
      </c>
      <c r="B154" t="s">
        <v>5</v>
      </c>
      <c r="C154" t="s">
        <v>133</v>
      </c>
      <c r="D154" t="s">
        <v>310</v>
      </c>
      <c r="E154" t="s">
        <v>466</v>
      </c>
      <c r="F154" t="s">
        <v>321</v>
      </c>
      <c r="G154" s="10">
        <v>45888</v>
      </c>
      <c r="H154" s="11">
        <v>45908</v>
      </c>
      <c r="J154" t="s">
        <v>2</v>
      </c>
      <c r="K154" t="str">
        <f>T_進路入力[[#This Row],[学籍番号]]&amp;T_進路入力[[#This Row],[進路決定]]</f>
        <v>2404040○</v>
      </c>
      <c r="L154" s="36" t="str">
        <f>_xlfn.IFNA(RIGHT(VLOOKUP(T_進路入力[[#This Row],[学籍番号]]&amp;"○",T_進路入力[進路決定確認ワーク],1,FALSE),1),"")</f>
        <v>○</v>
      </c>
    </row>
    <row r="155" spans="1:12" ht="13.5" customHeight="1" x14ac:dyDescent="0.15">
      <c r="A155">
        <v>2404088</v>
      </c>
      <c r="B155" t="s">
        <v>5</v>
      </c>
      <c r="C155" t="s">
        <v>134</v>
      </c>
      <c r="D155" t="s">
        <v>423</v>
      </c>
      <c r="E155" t="s">
        <v>467</v>
      </c>
      <c r="F155" t="s">
        <v>325</v>
      </c>
      <c r="G155" s="10">
        <v>45948</v>
      </c>
      <c r="H155" s="11">
        <v>45965</v>
      </c>
      <c r="K155" t="str">
        <f>T_進路入力[[#This Row],[学籍番号]]&amp;T_進路入力[[#This Row],[進路決定]]</f>
        <v>2404088</v>
      </c>
      <c r="L155" s="36" t="str">
        <f>_xlfn.IFNA(RIGHT(VLOOKUP(T_進路入力[[#This Row],[学籍番号]]&amp;"○",T_進路入力[進路決定確認ワーク],1,FALSE),1),"")</f>
        <v>○</v>
      </c>
    </row>
    <row r="156" spans="1:12" ht="13.5" customHeight="1" x14ac:dyDescent="0.15">
      <c r="A156">
        <v>2404088</v>
      </c>
      <c r="B156" t="s">
        <v>5</v>
      </c>
      <c r="C156" t="s">
        <v>134</v>
      </c>
      <c r="D156" t="s">
        <v>424</v>
      </c>
      <c r="E156" t="s">
        <v>651</v>
      </c>
      <c r="F156" t="s">
        <v>317</v>
      </c>
      <c r="G156" s="10">
        <v>45990</v>
      </c>
      <c r="H156" s="11">
        <v>45996</v>
      </c>
      <c r="K156" t="str">
        <f>T_進路入力[[#This Row],[学籍番号]]&amp;T_進路入力[[#This Row],[進路決定]]</f>
        <v>2404088</v>
      </c>
      <c r="L156" s="36" t="str">
        <f>_xlfn.IFNA(RIGHT(VLOOKUP(T_進路入力[[#This Row],[学籍番号]]&amp;"○",T_進路入力[進路決定確認ワーク],1,FALSE),1),"")</f>
        <v>○</v>
      </c>
    </row>
    <row r="157" spans="1:12" ht="13.5" customHeight="1" x14ac:dyDescent="0.15">
      <c r="A157">
        <v>2404088</v>
      </c>
      <c r="B157" t="s">
        <v>5</v>
      </c>
      <c r="C157" t="s">
        <v>134</v>
      </c>
      <c r="D157" t="s">
        <v>423</v>
      </c>
      <c r="E157" t="s">
        <v>467</v>
      </c>
      <c r="F157" t="s">
        <v>304</v>
      </c>
      <c r="G157" s="11">
        <v>46011</v>
      </c>
      <c r="H157" s="11">
        <v>46017</v>
      </c>
      <c r="J157" t="s">
        <v>47</v>
      </c>
      <c r="K157" t="str">
        <f>T_進路入力[[#This Row],[学籍番号]]&amp;T_進路入力[[#This Row],[進路決定]]</f>
        <v>2404088○</v>
      </c>
      <c r="L157" s="36" t="str">
        <f>_xlfn.IFNA(RIGHT(VLOOKUP(T_進路入力[[#This Row],[学籍番号]]&amp;"○",T_進路入力[進路決定確認ワーク],1,FALSE),1),"")</f>
        <v>○</v>
      </c>
    </row>
    <row r="158" spans="1:12" ht="13.5" customHeight="1" x14ac:dyDescent="0.15">
      <c r="A158">
        <v>2404127</v>
      </c>
      <c r="B158" t="s">
        <v>5</v>
      </c>
      <c r="C158" t="s">
        <v>135</v>
      </c>
      <c r="D158" t="s">
        <v>394</v>
      </c>
      <c r="E158" t="s">
        <v>468</v>
      </c>
      <c r="F158" t="s">
        <v>304</v>
      </c>
      <c r="G158" s="10">
        <v>45997</v>
      </c>
      <c r="H158" s="11">
        <v>46003</v>
      </c>
      <c r="J158" t="s">
        <v>47</v>
      </c>
      <c r="K158" t="str">
        <f>T_進路入力[[#This Row],[学籍番号]]&amp;T_進路入力[[#This Row],[進路決定]]</f>
        <v>2404127○</v>
      </c>
      <c r="L158" s="36" t="str">
        <f>_xlfn.IFNA(RIGHT(VLOOKUP(T_進路入力[[#This Row],[学籍番号]]&amp;"○",T_進路入力[進路決定確認ワーク],1,FALSE),1),"")</f>
        <v>○</v>
      </c>
    </row>
    <row r="159" spans="1:12" ht="13.5" customHeight="1" x14ac:dyDescent="0.15">
      <c r="A159">
        <v>2404163</v>
      </c>
      <c r="B159" t="s">
        <v>5</v>
      </c>
      <c r="C159" t="s">
        <v>136</v>
      </c>
      <c r="D159" t="s">
        <v>414</v>
      </c>
      <c r="E159" t="s">
        <v>469</v>
      </c>
      <c r="F159" t="s">
        <v>321</v>
      </c>
      <c r="G159" s="10">
        <v>45871</v>
      </c>
      <c r="H159" s="11">
        <v>45877</v>
      </c>
      <c r="J159" t="s">
        <v>47</v>
      </c>
      <c r="K159" t="str">
        <f>T_進路入力[[#This Row],[学籍番号]]&amp;T_進路入力[[#This Row],[進路決定]]</f>
        <v>2404163○</v>
      </c>
      <c r="L159" s="36" t="str">
        <f>_xlfn.IFNA(RIGHT(VLOOKUP(T_進路入力[[#This Row],[学籍番号]]&amp;"○",T_進路入力[進路決定確認ワーク],1,FALSE),1),"")</f>
        <v>○</v>
      </c>
    </row>
    <row r="160" spans="1:12" ht="13.5" customHeight="1" x14ac:dyDescent="0.15">
      <c r="A160">
        <v>2407008</v>
      </c>
      <c r="B160" t="s">
        <v>5</v>
      </c>
      <c r="C160" t="s">
        <v>137</v>
      </c>
      <c r="D160" t="s">
        <v>307</v>
      </c>
      <c r="E160" t="s">
        <v>470</v>
      </c>
      <c r="F160" t="s">
        <v>304</v>
      </c>
      <c r="G160" s="10">
        <v>45958</v>
      </c>
      <c r="H160" s="11">
        <v>45973</v>
      </c>
      <c r="J160" t="s">
        <v>47</v>
      </c>
      <c r="K160" t="str">
        <f>T_進路入力[[#This Row],[学籍番号]]&amp;T_進路入力[[#This Row],[進路決定]]</f>
        <v>2407008○</v>
      </c>
      <c r="L160" s="36" t="str">
        <f>_xlfn.IFNA(RIGHT(VLOOKUP(T_進路入力[[#This Row],[学籍番号]]&amp;"○",T_進路入力[進路決定確認ワーク],1,FALSE),1),"")</f>
        <v>○</v>
      </c>
    </row>
    <row r="161" spans="1:12" ht="13.5" customHeight="1" x14ac:dyDescent="0.15">
      <c r="A161">
        <v>2407009</v>
      </c>
      <c r="B161" t="s">
        <v>5</v>
      </c>
      <c r="C161" t="s">
        <v>138</v>
      </c>
      <c r="D161" t="s">
        <v>394</v>
      </c>
      <c r="E161" t="s">
        <v>468</v>
      </c>
      <c r="F161" t="s">
        <v>304</v>
      </c>
      <c r="G161" s="10">
        <v>45997</v>
      </c>
      <c r="H161" s="11">
        <v>46003</v>
      </c>
      <c r="J161" t="s">
        <v>47</v>
      </c>
      <c r="K161" t="str">
        <f>T_進路入力[[#This Row],[学籍番号]]&amp;T_進路入力[[#This Row],[進路決定]]</f>
        <v>2407009○</v>
      </c>
      <c r="L161" s="36" t="str">
        <f>_xlfn.IFNA(RIGHT(VLOOKUP(T_進路入力[[#This Row],[学籍番号]]&amp;"○",T_進路入力[進路決定確認ワーク],1,FALSE),1),"")</f>
        <v>○</v>
      </c>
    </row>
    <row r="162" spans="1:12" ht="13.5" customHeight="1" x14ac:dyDescent="0.15">
      <c r="A162">
        <v>2407014</v>
      </c>
      <c r="B162" t="s">
        <v>5</v>
      </c>
      <c r="C162" t="s">
        <v>139</v>
      </c>
      <c r="D162" t="s">
        <v>422</v>
      </c>
      <c r="E162" t="s">
        <v>471</v>
      </c>
      <c r="F162" t="s">
        <v>304</v>
      </c>
      <c r="G162" s="10">
        <v>45942</v>
      </c>
      <c r="H162" s="11">
        <v>45947</v>
      </c>
      <c r="J162" t="s">
        <v>47</v>
      </c>
      <c r="K162" t="str">
        <f>T_進路入力[[#This Row],[学籍番号]]&amp;T_進路入力[[#This Row],[進路決定]]</f>
        <v>2407014○</v>
      </c>
      <c r="L162" s="36" t="str">
        <f>_xlfn.IFNA(RIGHT(VLOOKUP(T_進路入力[[#This Row],[学籍番号]]&amp;"○",T_進路入力[進路決定確認ワーク],1,FALSE),1),"")</f>
        <v>○</v>
      </c>
    </row>
    <row r="163" spans="1:12" ht="13.5" customHeight="1" x14ac:dyDescent="0.15">
      <c r="A163">
        <v>2407015</v>
      </c>
      <c r="B163" t="s">
        <v>5</v>
      </c>
      <c r="C163" t="s">
        <v>140</v>
      </c>
      <c r="D163" t="s">
        <v>394</v>
      </c>
      <c r="E163" t="s">
        <v>468</v>
      </c>
      <c r="F163" t="s">
        <v>304</v>
      </c>
      <c r="G163" s="10">
        <v>45702</v>
      </c>
      <c r="H163" s="11">
        <v>45708</v>
      </c>
      <c r="J163" t="s">
        <v>47</v>
      </c>
      <c r="K163" t="str">
        <f>T_進路入力[[#This Row],[学籍番号]]&amp;T_進路入力[[#This Row],[進路決定]]</f>
        <v>2407015○</v>
      </c>
      <c r="L163" s="36" t="str">
        <f>_xlfn.IFNA(RIGHT(VLOOKUP(T_進路入力[[#This Row],[学籍番号]]&amp;"○",T_進路入力[進路決定確認ワーク],1,FALSE),1),"")</f>
        <v>○</v>
      </c>
    </row>
    <row r="164" spans="1:12" ht="13.5" customHeight="1" x14ac:dyDescent="0.15">
      <c r="A164">
        <v>2407016</v>
      </c>
      <c r="B164" t="s">
        <v>5</v>
      </c>
      <c r="C164" t="s">
        <v>141</v>
      </c>
      <c r="D164" t="s">
        <v>421</v>
      </c>
      <c r="E164" t="s">
        <v>472</v>
      </c>
      <c r="F164" t="s">
        <v>317</v>
      </c>
      <c r="G164" s="10">
        <v>45990</v>
      </c>
      <c r="H164" s="11"/>
      <c r="K164" t="str">
        <f>T_進路入力[[#This Row],[学籍番号]]&amp;T_進路入力[[#This Row],[進路決定]]</f>
        <v>2407016</v>
      </c>
      <c r="L164" s="36" t="str">
        <f>_xlfn.IFNA(RIGHT(VLOOKUP(T_進路入力[[#This Row],[学籍番号]]&amp;"○",T_進路入力[進路決定確認ワーク],1,FALSE),1),"")</f>
        <v/>
      </c>
    </row>
    <row r="165" spans="1:12" ht="13.5" customHeight="1" x14ac:dyDescent="0.15">
      <c r="A165">
        <v>2407016</v>
      </c>
      <c r="B165" t="s">
        <v>5</v>
      </c>
      <c r="C165" t="s">
        <v>141</v>
      </c>
      <c r="D165" t="s">
        <v>645</v>
      </c>
      <c r="E165" t="s">
        <v>652</v>
      </c>
      <c r="F165" t="s">
        <v>305</v>
      </c>
      <c r="G165" s="10">
        <v>45665</v>
      </c>
      <c r="H165" s="11">
        <v>46036</v>
      </c>
      <c r="K165" t="str">
        <f>T_進路入力[[#This Row],[学籍番号]]&amp;T_進路入力[[#This Row],[進路決定]]</f>
        <v>2407016</v>
      </c>
      <c r="L165" s="36" t="str">
        <f>_xlfn.IFNA(RIGHT(VLOOKUP(T_進路入力[[#This Row],[学籍番号]]&amp;"○",T_進路入力[進路決定確認ワーク],1,FALSE),1),"")</f>
        <v/>
      </c>
    </row>
    <row r="166" spans="1:12" ht="13.5" customHeight="1" x14ac:dyDescent="0.15">
      <c r="A166">
        <v>2407016</v>
      </c>
      <c r="B166" t="s">
        <v>5</v>
      </c>
      <c r="C166" t="s">
        <v>141</v>
      </c>
      <c r="E166" t="s">
        <v>707</v>
      </c>
      <c r="F166" t="s">
        <v>295</v>
      </c>
      <c r="G166" s="10"/>
      <c r="H166" s="11"/>
      <c r="I166" t="s">
        <v>707</v>
      </c>
      <c r="K166" t="str">
        <f>T_進路入力[[#This Row],[学籍番号]]&amp;T_進路入力[[#This Row],[進路決定]]</f>
        <v>2407016</v>
      </c>
      <c r="L166" s="36" t="str">
        <f>_xlfn.IFNA(RIGHT(VLOOKUP(T_進路入力[[#This Row],[学籍番号]]&amp;"○",T_進路入力[進路決定確認ワーク],1,FALSE),1),"")</f>
        <v/>
      </c>
    </row>
    <row r="167" spans="1:12" ht="13.5" customHeight="1" x14ac:dyDescent="0.15">
      <c r="A167">
        <v>2407017</v>
      </c>
      <c r="B167" t="s">
        <v>5</v>
      </c>
      <c r="C167" t="s">
        <v>142</v>
      </c>
      <c r="D167" t="s">
        <v>48</v>
      </c>
      <c r="E167" t="s">
        <v>473</v>
      </c>
      <c r="F167" t="s">
        <v>321</v>
      </c>
      <c r="G167" s="10">
        <v>45927</v>
      </c>
      <c r="H167" s="11">
        <v>45933</v>
      </c>
      <c r="J167" t="s">
        <v>2</v>
      </c>
      <c r="K167" t="str">
        <f>T_進路入力[[#This Row],[学籍番号]]&amp;T_進路入力[[#This Row],[進路決定]]</f>
        <v>2407017○</v>
      </c>
      <c r="L167" s="36" t="str">
        <f>_xlfn.IFNA(RIGHT(VLOOKUP(T_進路入力[[#This Row],[学籍番号]]&amp;"○",T_進路入力[進路決定確認ワーク],1,FALSE),1),"")</f>
        <v>○</v>
      </c>
    </row>
    <row r="168" spans="1:12" ht="13.5" customHeight="1" x14ac:dyDescent="0.15">
      <c r="A168">
        <v>2407018</v>
      </c>
      <c r="B168" t="s">
        <v>5</v>
      </c>
      <c r="C168" t="s">
        <v>143</v>
      </c>
      <c r="D168" t="s">
        <v>418</v>
      </c>
      <c r="E168" t="s">
        <v>474</v>
      </c>
      <c r="F168" t="s">
        <v>304</v>
      </c>
      <c r="G168" s="10">
        <v>45917</v>
      </c>
      <c r="H168" s="11">
        <v>45945</v>
      </c>
      <c r="J168" t="s">
        <v>47</v>
      </c>
      <c r="K168" t="str">
        <f>T_進路入力[[#This Row],[学籍番号]]&amp;T_進路入力[[#This Row],[進路決定]]</f>
        <v>2407018○</v>
      </c>
      <c r="L168" s="36" t="str">
        <f>_xlfn.IFNA(RIGHT(VLOOKUP(T_進路入力[[#This Row],[学籍番号]]&amp;"○",T_進路入力[進路決定確認ワーク],1,FALSE),1),"")</f>
        <v>○</v>
      </c>
    </row>
    <row r="169" spans="1:12" ht="13.5" customHeight="1" x14ac:dyDescent="0.15">
      <c r="A169">
        <v>2407021</v>
      </c>
      <c r="B169" t="s">
        <v>5</v>
      </c>
      <c r="C169" t="s">
        <v>144</v>
      </c>
      <c r="D169" t="s">
        <v>394</v>
      </c>
      <c r="E169" t="s">
        <v>475</v>
      </c>
      <c r="F169" t="s">
        <v>304</v>
      </c>
      <c r="G169" s="10">
        <v>45997</v>
      </c>
      <c r="H169" s="11">
        <v>46003</v>
      </c>
      <c r="J169" t="s">
        <v>47</v>
      </c>
      <c r="K169" t="str">
        <f>T_進路入力[[#This Row],[学籍番号]]&amp;T_進路入力[[#This Row],[進路決定]]</f>
        <v>2407021○</v>
      </c>
      <c r="L169" s="36" t="str">
        <f>_xlfn.IFNA(RIGHT(VLOOKUP(T_進路入力[[#This Row],[学籍番号]]&amp;"○",T_進路入力[進路決定確認ワーク],1,FALSE),1),"")</f>
        <v>○</v>
      </c>
    </row>
    <row r="170" spans="1:12" ht="13.5" customHeight="1" x14ac:dyDescent="0.15">
      <c r="A170">
        <v>2407024</v>
      </c>
      <c r="B170" t="s">
        <v>5</v>
      </c>
      <c r="C170" t="s">
        <v>145</v>
      </c>
      <c r="D170" t="s">
        <v>396</v>
      </c>
      <c r="E170" t="s">
        <v>476</v>
      </c>
      <c r="F170" t="s">
        <v>317</v>
      </c>
      <c r="G170" s="10">
        <v>45994</v>
      </c>
      <c r="H170" s="11">
        <v>45997</v>
      </c>
      <c r="K170" t="str">
        <f>T_進路入力[[#This Row],[学籍番号]]&amp;T_進路入力[[#This Row],[進路決定]]</f>
        <v>2407024</v>
      </c>
      <c r="L170" s="36" t="str">
        <f>_xlfn.IFNA(RIGHT(VLOOKUP(T_進路入力[[#This Row],[学籍番号]]&amp;"○",T_進路入力[進路決定確認ワーク],1,FALSE),1),"")</f>
        <v/>
      </c>
    </row>
    <row r="171" spans="1:12" ht="13.5" customHeight="1" x14ac:dyDescent="0.15">
      <c r="A171">
        <v>2407024</v>
      </c>
      <c r="B171" t="s">
        <v>5</v>
      </c>
      <c r="C171" t="s">
        <v>145</v>
      </c>
      <c r="E171" t="s">
        <v>707</v>
      </c>
      <c r="F171" t="s">
        <v>295</v>
      </c>
      <c r="G171" s="10"/>
      <c r="H171" s="11"/>
      <c r="I171" t="s">
        <v>707</v>
      </c>
      <c r="K171" t="str">
        <f>T_進路入力[[#This Row],[学籍番号]]&amp;T_進路入力[[#This Row],[進路決定]]</f>
        <v>2407024</v>
      </c>
      <c r="L171" s="36" t="str">
        <f>_xlfn.IFNA(RIGHT(VLOOKUP(T_進路入力[[#This Row],[学籍番号]]&amp;"○",T_進路入力[進路決定確認ワーク],1,FALSE),1),"")</f>
        <v/>
      </c>
    </row>
    <row r="172" spans="1:12" ht="13.5" customHeight="1" x14ac:dyDescent="0.15">
      <c r="A172">
        <v>2407028</v>
      </c>
      <c r="B172" t="s">
        <v>5</v>
      </c>
      <c r="C172" t="s">
        <v>146</v>
      </c>
      <c r="D172" t="s">
        <v>502</v>
      </c>
      <c r="E172" t="s">
        <v>479</v>
      </c>
      <c r="F172" t="s">
        <v>325</v>
      </c>
      <c r="G172" s="10">
        <v>46012</v>
      </c>
      <c r="H172" s="11">
        <v>46015</v>
      </c>
      <c r="K172" t="str">
        <f>T_進路入力[[#This Row],[学籍番号]]&amp;T_進路入力[[#This Row],[進路決定]]</f>
        <v>2407028</v>
      </c>
      <c r="L172" s="36" t="str">
        <f>_xlfn.IFNA(RIGHT(VLOOKUP(T_進路入力[[#This Row],[学籍番号]]&amp;"○",T_進路入力[進路決定確認ワーク],1,FALSE),1),"")</f>
        <v/>
      </c>
    </row>
    <row r="173" spans="1:12" ht="13.5" customHeight="1" x14ac:dyDescent="0.15">
      <c r="A173">
        <v>2407028</v>
      </c>
      <c r="B173" t="s">
        <v>5</v>
      </c>
      <c r="C173" t="s">
        <v>146</v>
      </c>
      <c r="D173" t="s">
        <v>502</v>
      </c>
      <c r="E173" t="s">
        <v>479</v>
      </c>
      <c r="F173" t="s">
        <v>325</v>
      </c>
      <c r="G173" s="10">
        <v>46046</v>
      </c>
      <c r="H173" s="11">
        <v>46050</v>
      </c>
      <c r="K173" t="str">
        <f>T_進路入力[[#This Row],[学籍番号]]&amp;T_進路入力[[#This Row],[進路決定]]</f>
        <v>2407028</v>
      </c>
      <c r="L173" s="36" t="str">
        <f>_xlfn.IFNA(RIGHT(VLOOKUP(T_進路入力[[#This Row],[学籍番号]]&amp;"○",T_進路入力[進路決定確認ワーク],1,FALSE),1),"")</f>
        <v/>
      </c>
    </row>
    <row r="174" spans="1:12" ht="13.5" customHeight="1" x14ac:dyDescent="0.15">
      <c r="A174">
        <v>2407028</v>
      </c>
      <c r="B174" t="s">
        <v>5</v>
      </c>
      <c r="C174" t="s">
        <v>146</v>
      </c>
      <c r="E174" t="s">
        <v>707</v>
      </c>
      <c r="F174" t="s">
        <v>295</v>
      </c>
      <c r="G174" s="10"/>
      <c r="H174" s="11"/>
      <c r="I174" t="s">
        <v>707</v>
      </c>
      <c r="K174" t="str">
        <f>T_進路入力[[#This Row],[学籍番号]]&amp;T_進路入力[[#This Row],[進路決定]]</f>
        <v>2407028</v>
      </c>
      <c r="L174" s="36" t="str">
        <f>_xlfn.IFNA(RIGHT(VLOOKUP(T_進路入力[[#This Row],[学籍番号]]&amp;"○",T_進路入力[進路決定確認ワーク],1,FALSE),1),"")</f>
        <v/>
      </c>
    </row>
    <row r="175" spans="1:12" ht="13.5" customHeight="1" x14ac:dyDescent="0.15">
      <c r="A175">
        <v>2407037</v>
      </c>
      <c r="B175" t="s">
        <v>5</v>
      </c>
      <c r="C175" t="s">
        <v>147</v>
      </c>
      <c r="D175" t="s">
        <v>423</v>
      </c>
      <c r="E175" t="s">
        <v>467</v>
      </c>
      <c r="F175" t="s">
        <v>325</v>
      </c>
      <c r="G175" s="11">
        <v>46011</v>
      </c>
      <c r="H175" s="11">
        <v>46017</v>
      </c>
      <c r="K175" t="str">
        <f>T_進路入力[[#This Row],[学籍番号]]&amp;T_進路入力[[#This Row],[進路決定]]</f>
        <v>2407037</v>
      </c>
      <c r="L175" s="36" t="str">
        <f>_xlfn.IFNA(RIGHT(VLOOKUP(T_進路入力[[#This Row],[学籍番号]]&amp;"○",T_進路入力[進路決定確認ワーク],1,FALSE),1),"")</f>
        <v>○</v>
      </c>
    </row>
    <row r="176" spans="1:12" ht="13.5" customHeight="1" x14ac:dyDescent="0.15">
      <c r="A176">
        <v>2407037</v>
      </c>
      <c r="B176" t="s">
        <v>5</v>
      </c>
      <c r="C176" t="s">
        <v>147</v>
      </c>
      <c r="D176" t="s">
        <v>691</v>
      </c>
      <c r="E176" t="s">
        <v>706</v>
      </c>
      <c r="F176" t="s">
        <v>304</v>
      </c>
      <c r="G176" s="11">
        <v>46056</v>
      </c>
      <c r="H176" s="11">
        <v>46069</v>
      </c>
      <c r="J176" t="s">
        <v>47</v>
      </c>
      <c r="K176" t="str">
        <f>T_進路入力[[#This Row],[学籍番号]]&amp;T_進路入力[[#This Row],[進路決定]]</f>
        <v>2407037○</v>
      </c>
      <c r="L176" s="36" t="str">
        <f>_xlfn.IFNA(RIGHT(VLOOKUP(T_進路入力[[#This Row],[学籍番号]]&amp;"○",T_進路入力[進路決定確認ワーク],1,FALSE),1),"")</f>
        <v>○</v>
      </c>
    </row>
    <row r="177" spans="1:12" ht="13.5" customHeight="1" x14ac:dyDescent="0.15">
      <c r="A177">
        <v>2407038</v>
      </c>
      <c r="B177" t="s">
        <v>5</v>
      </c>
      <c r="C177" t="s">
        <v>148</v>
      </c>
      <c r="D177" t="s">
        <v>416</v>
      </c>
      <c r="E177" t="s">
        <v>685</v>
      </c>
      <c r="F177" t="s">
        <v>325</v>
      </c>
      <c r="G177" s="10">
        <v>45854</v>
      </c>
      <c r="H177" s="11">
        <v>45869</v>
      </c>
      <c r="K177" t="str">
        <f>T_進路入力[[#This Row],[学籍番号]]&amp;T_進路入力[[#This Row],[進路決定]]</f>
        <v>2407038</v>
      </c>
      <c r="L177" s="36" t="str">
        <f>_xlfn.IFNA(RIGHT(VLOOKUP(T_進路入力[[#This Row],[学籍番号]]&amp;"○",T_進路入力[進路決定確認ワーク],1,FALSE),1),"")</f>
        <v>○</v>
      </c>
    </row>
    <row r="178" spans="1:12" ht="13.5" customHeight="1" x14ac:dyDescent="0.15">
      <c r="A178">
        <v>2407038</v>
      </c>
      <c r="B178" t="s">
        <v>5</v>
      </c>
      <c r="C178" t="s">
        <v>148</v>
      </c>
      <c r="D178" t="s">
        <v>416</v>
      </c>
      <c r="E178" t="s">
        <v>685</v>
      </c>
      <c r="F178" t="s">
        <v>321</v>
      </c>
      <c r="G178" s="10">
        <v>45910</v>
      </c>
      <c r="H178" s="11">
        <v>45930</v>
      </c>
      <c r="J178" t="s">
        <v>47</v>
      </c>
      <c r="K178" t="str">
        <f>T_進路入力[[#This Row],[学籍番号]]&amp;T_進路入力[[#This Row],[進路決定]]</f>
        <v>2407038○</v>
      </c>
      <c r="L178" s="36" t="str">
        <f>_xlfn.IFNA(RIGHT(VLOOKUP(T_進路入力[[#This Row],[学籍番号]]&amp;"○",T_進路入力[進路決定確認ワーク],1,FALSE),1),"")</f>
        <v>○</v>
      </c>
    </row>
    <row r="179" spans="1:12" ht="13.5" customHeight="1" x14ac:dyDescent="0.15">
      <c r="A179">
        <v>2407041</v>
      </c>
      <c r="B179" t="s">
        <v>5</v>
      </c>
      <c r="C179" t="s">
        <v>149</v>
      </c>
      <c r="D179" t="s">
        <v>416</v>
      </c>
      <c r="E179" t="s">
        <v>685</v>
      </c>
      <c r="F179" t="s">
        <v>325</v>
      </c>
      <c r="G179" s="10">
        <v>45854</v>
      </c>
      <c r="H179" s="11">
        <v>45869</v>
      </c>
      <c r="K179" t="str">
        <f>T_進路入力[[#This Row],[学籍番号]]&amp;T_進路入力[[#This Row],[進路決定]]</f>
        <v>2407041</v>
      </c>
      <c r="L179" s="36" t="str">
        <f>_xlfn.IFNA(RIGHT(VLOOKUP(T_進路入力[[#This Row],[学籍番号]]&amp;"○",T_進路入力[進路決定確認ワーク],1,FALSE),1),"")</f>
        <v>○</v>
      </c>
    </row>
    <row r="180" spans="1:12" ht="13.5" customHeight="1" x14ac:dyDescent="0.15">
      <c r="A180">
        <v>2407041</v>
      </c>
      <c r="B180" t="s">
        <v>5</v>
      </c>
      <c r="C180" t="s">
        <v>149</v>
      </c>
      <c r="D180" t="s">
        <v>722</v>
      </c>
      <c r="E180" t="s">
        <v>721</v>
      </c>
      <c r="F180" t="s">
        <v>325</v>
      </c>
      <c r="G180" s="10">
        <v>45917</v>
      </c>
      <c r="H180" s="11">
        <v>45936</v>
      </c>
      <c r="K180" t="str">
        <f>T_進路入力[[#This Row],[学籍番号]]&amp;T_進路入力[[#This Row],[進路決定]]</f>
        <v>2407041</v>
      </c>
      <c r="L180" s="36" t="str">
        <f>_xlfn.IFNA(RIGHT(VLOOKUP(T_進路入力[[#This Row],[学籍番号]]&amp;"○",T_進路入力[進路決定確認ワーク],1,FALSE),1),"")</f>
        <v>○</v>
      </c>
    </row>
    <row r="181" spans="1:12" ht="13.5" customHeight="1" x14ac:dyDescent="0.15">
      <c r="A181">
        <v>2407041</v>
      </c>
      <c r="B181" t="s">
        <v>5</v>
      </c>
      <c r="C181" t="s">
        <v>149</v>
      </c>
      <c r="D181" t="s">
        <v>417</v>
      </c>
      <c r="E181" t="s">
        <v>504</v>
      </c>
      <c r="F181" t="s">
        <v>304</v>
      </c>
      <c r="G181" s="10">
        <v>45952</v>
      </c>
      <c r="H181" s="11">
        <v>45971</v>
      </c>
      <c r="J181" t="s">
        <v>47</v>
      </c>
      <c r="K181" t="str">
        <f>T_進路入力[[#This Row],[学籍番号]]&amp;T_進路入力[[#This Row],[進路決定]]</f>
        <v>2407041○</v>
      </c>
      <c r="L181" s="36" t="str">
        <f>_xlfn.IFNA(RIGHT(VLOOKUP(T_進路入力[[#This Row],[学籍番号]]&amp;"○",T_進路入力[進路決定確認ワーク],1,FALSE),1),"")</f>
        <v>○</v>
      </c>
    </row>
    <row r="182" spans="1:12" ht="13.5" customHeight="1" x14ac:dyDescent="0.15">
      <c r="A182">
        <v>2407041</v>
      </c>
      <c r="B182" t="s">
        <v>5</v>
      </c>
      <c r="C182" t="s">
        <v>149</v>
      </c>
      <c r="D182" t="s">
        <v>329</v>
      </c>
      <c r="E182" t="s">
        <v>503</v>
      </c>
      <c r="F182" t="s">
        <v>325</v>
      </c>
      <c r="G182" s="10">
        <v>45976</v>
      </c>
      <c r="H182" s="11">
        <v>45978</v>
      </c>
      <c r="K182" t="str">
        <f>T_進路入力[[#This Row],[学籍番号]]&amp;T_進路入力[[#This Row],[進路決定]]</f>
        <v>2407041</v>
      </c>
      <c r="L182" s="36" t="str">
        <f>_xlfn.IFNA(RIGHT(VLOOKUP(T_進路入力[[#This Row],[学籍番号]]&amp;"○",T_進路入力[進路決定確認ワーク],1,FALSE),1),"")</f>
        <v>○</v>
      </c>
    </row>
    <row r="183" spans="1:12" ht="13.5" customHeight="1" x14ac:dyDescent="0.15">
      <c r="A183">
        <v>2407042</v>
      </c>
      <c r="B183" t="s">
        <v>5</v>
      </c>
      <c r="C183" t="s">
        <v>150</v>
      </c>
      <c r="D183" t="s">
        <v>17</v>
      </c>
      <c r="E183" t="s">
        <v>505</v>
      </c>
      <c r="F183" t="s">
        <v>304</v>
      </c>
      <c r="G183" s="10">
        <v>45955</v>
      </c>
      <c r="H183" s="11">
        <v>45959</v>
      </c>
      <c r="J183" t="s">
        <v>47</v>
      </c>
      <c r="K183" t="str">
        <f>T_進路入力[[#This Row],[学籍番号]]&amp;T_進路入力[[#This Row],[進路決定]]</f>
        <v>2407042○</v>
      </c>
      <c r="L183" s="36" t="str">
        <f>_xlfn.IFNA(RIGHT(VLOOKUP(T_進路入力[[#This Row],[学籍番号]]&amp;"○",T_進路入力[進路決定確認ワーク],1,FALSE),1),"")</f>
        <v>○</v>
      </c>
    </row>
    <row r="184" spans="1:12" ht="13.5" customHeight="1" x14ac:dyDescent="0.15">
      <c r="A184">
        <v>2407067</v>
      </c>
      <c r="B184" t="s">
        <v>5</v>
      </c>
      <c r="C184" t="s">
        <v>151</v>
      </c>
      <c r="D184" t="s">
        <v>415</v>
      </c>
      <c r="E184" t="s">
        <v>686</v>
      </c>
      <c r="F184" t="s">
        <v>321</v>
      </c>
      <c r="G184" s="10">
        <v>45906</v>
      </c>
      <c r="H184" s="11">
        <v>45911</v>
      </c>
      <c r="J184" t="s">
        <v>47</v>
      </c>
      <c r="K184" t="str">
        <f>T_進路入力[[#This Row],[学籍番号]]&amp;T_進路入力[[#This Row],[進路決定]]</f>
        <v>2407067○</v>
      </c>
      <c r="L184" s="36" t="str">
        <f>_xlfn.IFNA(RIGHT(VLOOKUP(T_進路入力[[#This Row],[学籍番号]]&amp;"○",T_進路入力[進路決定確認ワーク],1,FALSE),1),"")</f>
        <v>○</v>
      </c>
    </row>
    <row r="185" spans="1:12" ht="13.5" customHeight="1" x14ac:dyDescent="0.15">
      <c r="A185">
        <v>2407075</v>
      </c>
      <c r="B185" t="s">
        <v>5</v>
      </c>
      <c r="C185" t="s">
        <v>152</v>
      </c>
      <c r="D185" t="s">
        <v>414</v>
      </c>
      <c r="E185" t="s">
        <v>469</v>
      </c>
      <c r="F185" t="s">
        <v>321</v>
      </c>
      <c r="G185" s="10">
        <v>45892</v>
      </c>
      <c r="H185" s="11">
        <v>45898</v>
      </c>
      <c r="J185" t="s">
        <v>47</v>
      </c>
      <c r="K185" t="str">
        <f>T_進路入力[[#This Row],[学籍番号]]&amp;T_進路入力[[#This Row],[進路決定]]</f>
        <v>2407075○</v>
      </c>
      <c r="L185" s="36" t="str">
        <f>_xlfn.IFNA(RIGHT(VLOOKUP(T_進路入力[[#This Row],[学籍番号]]&amp;"○",T_進路入力[進路決定確認ワーク],1,FALSE),1),"")</f>
        <v>○</v>
      </c>
    </row>
    <row r="186" spans="1:12" ht="13.5" customHeight="1" x14ac:dyDescent="0.15">
      <c r="A186">
        <v>2404061</v>
      </c>
      <c r="B186" t="s">
        <v>6</v>
      </c>
      <c r="C186" t="s">
        <v>153</v>
      </c>
      <c r="D186" t="s">
        <v>413</v>
      </c>
      <c r="F186" t="s">
        <v>325</v>
      </c>
      <c r="H186" s="11"/>
      <c r="K186" t="str">
        <f>T_進路入力[[#This Row],[学籍番号]]&amp;T_進路入力[[#This Row],[進路決定]]</f>
        <v>2404061</v>
      </c>
      <c r="L186" s="36" t="str">
        <f>_xlfn.IFNA(RIGHT(VLOOKUP(T_進路入力[[#This Row],[学籍番号]]&amp;"○",T_進路入力[進路決定確認ワーク],1,FALSE),1),"")</f>
        <v>○</v>
      </c>
    </row>
    <row r="187" spans="1:12" ht="13.5" customHeight="1" x14ac:dyDescent="0.15">
      <c r="A187">
        <v>2404061</v>
      </c>
      <c r="B187" t="s">
        <v>6</v>
      </c>
      <c r="C187" t="s">
        <v>153</v>
      </c>
      <c r="D187" t="s">
        <v>347</v>
      </c>
      <c r="F187" t="s">
        <v>304</v>
      </c>
      <c r="G187" s="10">
        <v>46000</v>
      </c>
      <c r="H187" s="11">
        <v>46013</v>
      </c>
      <c r="J187" t="s">
        <v>47</v>
      </c>
      <c r="K187" t="str">
        <f>T_進路入力[[#This Row],[学籍番号]]&amp;T_進路入力[[#This Row],[進路決定]]</f>
        <v>2404061○</v>
      </c>
      <c r="L187" s="36" t="str">
        <f>_xlfn.IFNA(RIGHT(VLOOKUP(T_進路入力[[#This Row],[学籍番号]]&amp;"○",T_進路入力[進路決定確認ワーク],1,FALSE),1),"")</f>
        <v>○</v>
      </c>
    </row>
    <row r="188" spans="1:12" ht="13.5" customHeight="1" x14ac:dyDescent="0.15">
      <c r="A188">
        <v>2404063</v>
      </c>
      <c r="B188" t="s">
        <v>6</v>
      </c>
      <c r="C188" t="s">
        <v>154</v>
      </c>
      <c r="D188" t="s">
        <v>406</v>
      </c>
      <c r="F188" t="s">
        <v>304</v>
      </c>
      <c r="G188" s="10">
        <v>45948</v>
      </c>
      <c r="H188" s="11">
        <v>45965</v>
      </c>
      <c r="J188" t="s">
        <v>47</v>
      </c>
      <c r="K188" t="str">
        <f>T_進路入力[[#This Row],[学籍番号]]&amp;T_進路入力[[#This Row],[進路決定]]</f>
        <v>2404063○</v>
      </c>
      <c r="L188" s="36" t="str">
        <f>_xlfn.IFNA(RIGHT(VLOOKUP(T_進路入力[[#This Row],[学籍番号]]&amp;"○",T_進路入力[進路決定確認ワーク],1,FALSE),1),"")</f>
        <v>○</v>
      </c>
    </row>
    <row r="189" spans="1:12" ht="13.5" customHeight="1" x14ac:dyDescent="0.15">
      <c r="A189">
        <v>2404065</v>
      </c>
      <c r="B189" t="s">
        <v>6</v>
      </c>
      <c r="C189" t="s">
        <v>155</v>
      </c>
      <c r="D189" t="s">
        <v>17</v>
      </c>
      <c r="F189" t="s">
        <v>325</v>
      </c>
      <c r="H189" s="11">
        <v>45930</v>
      </c>
      <c r="K189" t="str">
        <f>T_進路入力[[#This Row],[学籍番号]]&amp;T_進路入力[[#This Row],[進路決定]]</f>
        <v>2404065</v>
      </c>
      <c r="L189" s="36" t="str">
        <f>_xlfn.IFNA(RIGHT(VLOOKUP(T_進路入力[[#This Row],[学籍番号]]&amp;"○",T_進路入力[進路決定確認ワーク],1,FALSE),1),"")</f>
        <v>○</v>
      </c>
    </row>
    <row r="190" spans="1:12" ht="13.5" customHeight="1" x14ac:dyDescent="0.15">
      <c r="A190">
        <v>2404065</v>
      </c>
      <c r="B190" t="s">
        <v>6</v>
      </c>
      <c r="C190" t="s">
        <v>155</v>
      </c>
      <c r="D190" t="s">
        <v>412</v>
      </c>
      <c r="F190" t="s">
        <v>321</v>
      </c>
      <c r="H190" s="11">
        <v>45930</v>
      </c>
      <c r="J190" t="s">
        <v>47</v>
      </c>
      <c r="K190" t="str">
        <f>T_進路入力[[#This Row],[学籍番号]]&amp;T_進路入力[[#This Row],[進路決定]]</f>
        <v>2404065○</v>
      </c>
      <c r="L190" s="36" t="str">
        <f>_xlfn.IFNA(RIGHT(VLOOKUP(T_進路入力[[#This Row],[学籍番号]]&amp;"○",T_進路入力[進路決定確認ワーク],1,FALSE),1),"")</f>
        <v>○</v>
      </c>
    </row>
    <row r="191" spans="1:12" ht="13.5" customHeight="1" x14ac:dyDescent="0.15">
      <c r="A191">
        <v>2404078</v>
      </c>
      <c r="B191" t="s">
        <v>6</v>
      </c>
      <c r="C191" t="s">
        <v>156</v>
      </c>
      <c r="D191" t="s">
        <v>284</v>
      </c>
      <c r="F191" t="s">
        <v>321</v>
      </c>
      <c r="H191" s="11">
        <v>45889</v>
      </c>
      <c r="J191" t="s">
        <v>47</v>
      </c>
      <c r="K191" t="str">
        <f>T_進路入力[[#This Row],[学籍番号]]&amp;T_進路入力[[#This Row],[進路決定]]</f>
        <v>2404078○</v>
      </c>
      <c r="L191" s="36" t="str">
        <f>_xlfn.IFNA(RIGHT(VLOOKUP(T_進路入力[[#This Row],[学籍番号]]&amp;"○",T_進路入力[進路決定確認ワーク],1,FALSE),1),"")</f>
        <v>○</v>
      </c>
    </row>
    <row r="192" spans="1:12" ht="13.5" customHeight="1" x14ac:dyDescent="0.15">
      <c r="A192">
        <v>2404090</v>
      </c>
      <c r="B192" t="s">
        <v>6</v>
      </c>
      <c r="C192" t="s">
        <v>157</v>
      </c>
      <c r="D192" t="s">
        <v>17</v>
      </c>
      <c r="F192" t="s">
        <v>321</v>
      </c>
      <c r="H192" s="11">
        <v>45926</v>
      </c>
      <c r="J192" t="s">
        <v>47</v>
      </c>
      <c r="K192" t="str">
        <f>T_進路入力[[#This Row],[学籍番号]]&amp;T_進路入力[[#This Row],[進路決定]]</f>
        <v>2404090○</v>
      </c>
      <c r="L192" s="36" t="str">
        <f>_xlfn.IFNA(RIGHT(VLOOKUP(T_進路入力[[#This Row],[学籍番号]]&amp;"○",T_進路入力[進路決定確認ワーク],1,FALSE),1),"")</f>
        <v>○</v>
      </c>
    </row>
    <row r="193" spans="1:12" ht="13.5" customHeight="1" x14ac:dyDescent="0.15">
      <c r="A193">
        <v>2404116</v>
      </c>
      <c r="B193" t="s">
        <v>6</v>
      </c>
      <c r="C193" t="s">
        <v>158</v>
      </c>
      <c r="D193" t="s">
        <v>17</v>
      </c>
      <c r="F193" t="s">
        <v>321</v>
      </c>
      <c r="H193" s="11">
        <v>45926</v>
      </c>
      <c r="J193" t="s">
        <v>47</v>
      </c>
      <c r="K193" t="str">
        <f>T_進路入力[[#This Row],[学籍番号]]&amp;T_進路入力[[#This Row],[進路決定]]</f>
        <v>2404116○</v>
      </c>
      <c r="L193" s="36" t="str">
        <f>_xlfn.IFNA(RIGHT(VLOOKUP(T_進路入力[[#This Row],[学籍番号]]&amp;"○",T_進路入力[進路決定確認ワーク],1,FALSE),1),"")</f>
        <v>○</v>
      </c>
    </row>
    <row r="194" spans="1:12" ht="13.5" customHeight="1" x14ac:dyDescent="0.15">
      <c r="A194">
        <v>2404128</v>
      </c>
      <c r="B194" t="s">
        <v>6</v>
      </c>
      <c r="C194" t="s">
        <v>159</v>
      </c>
      <c r="D194" t="s">
        <v>411</v>
      </c>
      <c r="F194" t="s">
        <v>353</v>
      </c>
      <c r="H194" s="11"/>
      <c r="K194" t="str">
        <f>T_進路入力[[#This Row],[学籍番号]]&amp;T_進路入力[[#This Row],[進路決定]]</f>
        <v>2404128</v>
      </c>
      <c r="L194" s="36" t="str">
        <f>_xlfn.IFNA(RIGHT(VLOOKUP(T_進路入力[[#This Row],[学籍番号]]&amp;"○",T_進路入力[進路決定確認ワーク],1,FALSE),1),"")</f>
        <v>○</v>
      </c>
    </row>
    <row r="195" spans="1:12" ht="13.5" customHeight="1" x14ac:dyDescent="0.15">
      <c r="A195">
        <v>2404128</v>
      </c>
      <c r="B195" t="s">
        <v>6</v>
      </c>
      <c r="C195" t="s">
        <v>159</v>
      </c>
      <c r="D195" t="s">
        <v>17</v>
      </c>
      <c r="F195" t="s">
        <v>304</v>
      </c>
      <c r="G195" s="10">
        <v>45948</v>
      </c>
      <c r="H195" s="11"/>
      <c r="J195" t="s">
        <v>47</v>
      </c>
      <c r="K195" t="str">
        <f>T_進路入力[[#This Row],[学籍番号]]&amp;T_進路入力[[#This Row],[進路決定]]</f>
        <v>2404128○</v>
      </c>
      <c r="L195" s="36" t="str">
        <f>_xlfn.IFNA(RIGHT(VLOOKUP(T_進路入力[[#This Row],[学籍番号]]&amp;"○",T_進路入力[進路決定確認ワーク],1,FALSE),1),"")</f>
        <v>○</v>
      </c>
    </row>
    <row r="196" spans="1:12" ht="13.5" customHeight="1" x14ac:dyDescent="0.15">
      <c r="A196">
        <v>2407005</v>
      </c>
      <c r="B196" t="s">
        <v>6</v>
      </c>
      <c r="C196" t="s">
        <v>160</v>
      </c>
      <c r="D196" t="s">
        <v>680</v>
      </c>
      <c r="F196" t="s">
        <v>304</v>
      </c>
      <c r="H196" s="11">
        <v>46094</v>
      </c>
      <c r="J196" t="s">
        <v>47</v>
      </c>
      <c r="K196" t="str">
        <f>T_進路入力[[#This Row],[学籍番号]]&amp;T_進路入力[[#This Row],[進路決定]]</f>
        <v>2407005○</v>
      </c>
      <c r="L196" s="36" t="str">
        <f>_xlfn.IFNA(RIGHT(VLOOKUP(T_進路入力[[#This Row],[学籍番号]]&amp;"○",T_進路入力[進路決定確認ワーク],1,FALSE),1),"")</f>
        <v>○</v>
      </c>
    </row>
    <row r="197" spans="1:12" ht="13.5" customHeight="1" x14ac:dyDescent="0.15">
      <c r="A197">
        <v>2407030</v>
      </c>
      <c r="B197" t="s">
        <v>6</v>
      </c>
      <c r="C197" t="s">
        <v>161</v>
      </c>
      <c r="D197" t="s">
        <v>312</v>
      </c>
      <c r="F197" t="s">
        <v>304</v>
      </c>
      <c r="G197" s="10">
        <v>45946</v>
      </c>
      <c r="H197" s="11">
        <v>45951</v>
      </c>
      <c r="J197" t="s">
        <v>47</v>
      </c>
      <c r="K197" t="str">
        <f>T_進路入力[[#This Row],[学籍番号]]&amp;T_進路入力[[#This Row],[進路決定]]</f>
        <v>2407030○</v>
      </c>
      <c r="L197" s="36" t="str">
        <f>_xlfn.IFNA(RIGHT(VLOOKUP(T_進路入力[[#This Row],[学籍番号]]&amp;"○",T_進路入力[進路決定確認ワーク],1,FALSE),1),"")</f>
        <v>○</v>
      </c>
    </row>
    <row r="198" spans="1:12" ht="13.5" customHeight="1" x14ac:dyDescent="0.15">
      <c r="A198">
        <v>2407040</v>
      </c>
      <c r="B198" t="s">
        <v>6</v>
      </c>
      <c r="C198" t="s">
        <v>162</v>
      </c>
      <c r="D198" t="s">
        <v>365</v>
      </c>
      <c r="E198" t="s">
        <v>450</v>
      </c>
      <c r="F198" t="s">
        <v>304</v>
      </c>
      <c r="G198" s="10">
        <v>45955</v>
      </c>
      <c r="H198" s="11">
        <v>45957</v>
      </c>
      <c r="J198" t="s">
        <v>47</v>
      </c>
      <c r="K198" t="str">
        <f>T_進路入力[[#This Row],[学籍番号]]&amp;T_進路入力[[#This Row],[進路決定]]</f>
        <v>2407040○</v>
      </c>
      <c r="L198" s="36" t="str">
        <f>_xlfn.IFNA(RIGHT(VLOOKUP(T_進路入力[[#This Row],[学籍番号]]&amp;"○",T_進路入力[進路決定確認ワーク],1,FALSE),1),"")</f>
        <v>○</v>
      </c>
    </row>
    <row r="199" spans="1:12" ht="13.5" customHeight="1" x14ac:dyDescent="0.15">
      <c r="A199">
        <v>2407047</v>
      </c>
      <c r="B199" t="s">
        <v>6</v>
      </c>
      <c r="C199" t="s">
        <v>163</v>
      </c>
      <c r="D199" t="s">
        <v>337</v>
      </c>
      <c r="F199" t="s">
        <v>353</v>
      </c>
      <c r="H199" s="11"/>
      <c r="K199" t="str">
        <f>T_進路入力[[#This Row],[学籍番号]]&amp;T_進路入力[[#This Row],[進路決定]]</f>
        <v>2407047</v>
      </c>
      <c r="L199" s="36" t="str">
        <f>_xlfn.IFNA(RIGHT(VLOOKUP(T_進路入力[[#This Row],[学籍番号]]&amp;"○",T_進路入力[進路決定確認ワーク],1,FALSE),1),"")</f>
        <v>○</v>
      </c>
    </row>
    <row r="200" spans="1:12" ht="13.5" customHeight="1" x14ac:dyDescent="0.15">
      <c r="A200">
        <v>2407047</v>
      </c>
      <c r="B200" t="s">
        <v>6</v>
      </c>
      <c r="C200" t="s">
        <v>163</v>
      </c>
      <c r="D200" t="s">
        <v>555</v>
      </c>
      <c r="E200" t="s">
        <v>557</v>
      </c>
      <c r="F200" t="s">
        <v>325</v>
      </c>
      <c r="G200" s="10">
        <v>45959</v>
      </c>
      <c r="H200" s="11"/>
      <c r="K200" t="str">
        <f>T_進路入力[[#This Row],[学籍番号]]&amp;T_進路入力[[#This Row],[進路決定]]</f>
        <v>2407047</v>
      </c>
      <c r="L200" s="36" t="str">
        <f>_xlfn.IFNA(RIGHT(VLOOKUP(T_進路入力[[#This Row],[学籍番号]]&amp;"○",T_進路入力[進路決定確認ワーク],1,FALSE),1),"")</f>
        <v>○</v>
      </c>
    </row>
    <row r="201" spans="1:12" ht="13.5" customHeight="1" x14ac:dyDescent="0.15">
      <c r="A201">
        <v>2407047</v>
      </c>
      <c r="B201" t="s">
        <v>6</v>
      </c>
      <c r="C201" t="s">
        <v>163</v>
      </c>
      <c r="D201" t="s">
        <v>299</v>
      </c>
      <c r="E201" t="s">
        <v>607</v>
      </c>
      <c r="F201" t="s">
        <v>304</v>
      </c>
      <c r="G201" s="10">
        <v>46005</v>
      </c>
      <c r="H201" s="11">
        <v>46016</v>
      </c>
      <c r="J201" t="s">
        <v>47</v>
      </c>
      <c r="K201" t="str">
        <f>T_進路入力[[#This Row],[学籍番号]]&amp;T_進路入力[[#This Row],[進路決定]]</f>
        <v>2407047○</v>
      </c>
      <c r="L201" s="36" t="str">
        <f>_xlfn.IFNA(RIGHT(VLOOKUP(T_進路入力[[#This Row],[学籍番号]]&amp;"○",T_進路入力[進路決定確認ワーク],1,FALSE),1),"")</f>
        <v>○</v>
      </c>
    </row>
    <row r="202" spans="1:12" ht="13.5" customHeight="1" x14ac:dyDescent="0.15">
      <c r="A202">
        <v>2407048</v>
      </c>
      <c r="B202" t="s">
        <v>6</v>
      </c>
      <c r="C202" t="s">
        <v>164</v>
      </c>
      <c r="D202" t="s">
        <v>406</v>
      </c>
      <c r="E202" t="s">
        <v>693</v>
      </c>
      <c r="F202" t="s">
        <v>304</v>
      </c>
      <c r="G202" s="10">
        <v>45948</v>
      </c>
      <c r="H202" s="11">
        <v>45965</v>
      </c>
      <c r="J202" t="s">
        <v>47</v>
      </c>
      <c r="K202" t="str">
        <f>T_進路入力[[#This Row],[学籍番号]]&amp;T_進路入力[[#This Row],[進路決定]]</f>
        <v>2407048○</v>
      </c>
      <c r="L202" s="36" t="str">
        <f>_xlfn.IFNA(RIGHT(VLOOKUP(T_進路入力[[#This Row],[学籍番号]]&amp;"○",T_進路入力[進路決定確認ワーク],1,FALSE),1),"")</f>
        <v>○</v>
      </c>
    </row>
    <row r="203" spans="1:12" ht="13.5" customHeight="1" x14ac:dyDescent="0.15">
      <c r="A203">
        <v>2407052</v>
      </c>
      <c r="B203" t="s">
        <v>6</v>
      </c>
      <c r="C203" t="s">
        <v>165</v>
      </c>
      <c r="D203" t="s">
        <v>365</v>
      </c>
      <c r="F203" t="s">
        <v>353</v>
      </c>
      <c r="H203" s="11">
        <v>45847</v>
      </c>
      <c r="K203" t="str">
        <f>T_進路入力[[#This Row],[学籍番号]]&amp;T_進路入力[[#This Row],[進路決定]]</f>
        <v>2407052</v>
      </c>
      <c r="L203" s="36" t="str">
        <f>_xlfn.IFNA(RIGHT(VLOOKUP(T_進路入力[[#This Row],[学籍番号]]&amp;"○",T_進路入力[進路決定確認ワーク],1,FALSE),1),"")</f>
        <v>○</v>
      </c>
    </row>
    <row r="204" spans="1:12" ht="13.5" customHeight="1" x14ac:dyDescent="0.15">
      <c r="A204">
        <v>2407052</v>
      </c>
      <c r="B204" t="s">
        <v>6</v>
      </c>
      <c r="C204" t="s">
        <v>165</v>
      </c>
      <c r="D204" t="s">
        <v>410</v>
      </c>
      <c r="F204" t="s">
        <v>353</v>
      </c>
      <c r="H204" s="11"/>
      <c r="K204" t="str">
        <f>T_進路入力[[#This Row],[学籍番号]]&amp;T_進路入力[[#This Row],[進路決定]]</f>
        <v>2407052</v>
      </c>
      <c r="L204" s="36" t="str">
        <f>_xlfn.IFNA(RIGHT(VLOOKUP(T_進路入力[[#This Row],[学籍番号]]&amp;"○",T_進路入力[進路決定確認ワーク],1,FALSE),1),"")</f>
        <v>○</v>
      </c>
    </row>
    <row r="205" spans="1:12" ht="13.5" customHeight="1" x14ac:dyDescent="0.15">
      <c r="A205">
        <v>2407052</v>
      </c>
      <c r="B205" t="s">
        <v>6</v>
      </c>
      <c r="C205" t="s">
        <v>165</v>
      </c>
      <c r="D205" t="s">
        <v>387</v>
      </c>
      <c r="F205" t="s">
        <v>325</v>
      </c>
      <c r="G205" s="10">
        <v>45976</v>
      </c>
      <c r="H205" s="11"/>
      <c r="K205" t="str">
        <f>T_進路入力[[#This Row],[学籍番号]]&amp;T_進路入力[[#This Row],[進路決定]]</f>
        <v>2407052</v>
      </c>
      <c r="L205" s="36" t="str">
        <f>_xlfn.IFNA(RIGHT(VLOOKUP(T_進路入力[[#This Row],[学籍番号]]&amp;"○",T_進路入力[進路決定確認ワーク],1,FALSE),1),"")</f>
        <v>○</v>
      </c>
    </row>
    <row r="206" spans="1:12" ht="13.5" customHeight="1" x14ac:dyDescent="0.15">
      <c r="A206">
        <v>2407052</v>
      </c>
      <c r="B206" t="s">
        <v>6</v>
      </c>
      <c r="C206" t="s">
        <v>165</v>
      </c>
      <c r="D206" t="s">
        <v>608</v>
      </c>
      <c r="E206" t="s">
        <v>694</v>
      </c>
      <c r="F206" t="s">
        <v>304</v>
      </c>
      <c r="G206" s="10">
        <v>46015</v>
      </c>
      <c r="H206" s="11"/>
      <c r="J206" t="s">
        <v>47</v>
      </c>
      <c r="K206" t="str">
        <f>T_進路入力[[#This Row],[学籍番号]]&amp;T_進路入力[[#This Row],[進路決定]]</f>
        <v>2407052○</v>
      </c>
      <c r="L206" s="36" t="str">
        <f>_xlfn.IFNA(RIGHT(VLOOKUP(T_進路入力[[#This Row],[学籍番号]]&amp;"○",T_進路入力[進路決定確認ワーク],1,FALSE),1),"")</f>
        <v>○</v>
      </c>
    </row>
    <row r="207" spans="1:12" ht="13.5" customHeight="1" x14ac:dyDescent="0.15">
      <c r="A207">
        <v>2407053</v>
      </c>
      <c r="B207" t="s">
        <v>6</v>
      </c>
      <c r="C207" t="s">
        <v>166</v>
      </c>
      <c r="D207" t="s">
        <v>416</v>
      </c>
      <c r="F207" t="s">
        <v>317</v>
      </c>
      <c r="H207" s="11"/>
      <c r="K207" t="str">
        <f>T_進路入力[[#This Row],[学籍番号]]&amp;T_進路入力[[#This Row],[進路決定]]</f>
        <v>2407053</v>
      </c>
      <c r="L207" s="36" t="str">
        <f>_xlfn.IFNA(RIGHT(VLOOKUP(T_進路入力[[#This Row],[学籍番号]]&amp;"○",T_進路入力[進路決定確認ワーク],1,FALSE),1),"")</f>
        <v>○</v>
      </c>
    </row>
    <row r="208" spans="1:12" ht="13.5" customHeight="1" x14ac:dyDescent="0.15">
      <c r="A208">
        <v>2407053</v>
      </c>
      <c r="B208" t="s">
        <v>6</v>
      </c>
      <c r="C208" t="s">
        <v>166</v>
      </c>
      <c r="D208" t="s">
        <v>373</v>
      </c>
      <c r="F208" t="s">
        <v>325</v>
      </c>
      <c r="H208" s="11">
        <v>45950</v>
      </c>
      <c r="K208" t="str">
        <f>T_進路入力[[#This Row],[学籍番号]]&amp;T_進路入力[[#This Row],[進路決定]]</f>
        <v>2407053</v>
      </c>
      <c r="L208" s="36" t="str">
        <f>_xlfn.IFNA(RIGHT(VLOOKUP(T_進路入力[[#This Row],[学籍番号]]&amp;"○",T_進路入力[進路決定確認ワーク],1,FALSE),1),"")</f>
        <v>○</v>
      </c>
    </row>
    <row r="209" spans="1:12" ht="13.5" customHeight="1" x14ac:dyDescent="0.15">
      <c r="A209">
        <v>2407053</v>
      </c>
      <c r="B209" t="s">
        <v>6</v>
      </c>
      <c r="C209" t="s">
        <v>166</v>
      </c>
      <c r="D209" t="s">
        <v>608</v>
      </c>
      <c r="E209" t="s">
        <v>694</v>
      </c>
      <c r="F209" t="s">
        <v>304</v>
      </c>
      <c r="H209" s="11">
        <v>46001</v>
      </c>
      <c r="J209" t="s">
        <v>47</v>
      </c>
      <c r="K209" t="str">
        <f>T_進路入力[[#This Row],[学籍番号]]&amp;T_進路入力[[#This Row],[進路決定]]</f>
        <v>2407053○</v>
      </c>
      <c r="L209" s="36" t="str">
        <f>_xlfn.IFNA(RIGHT(VLOOKUP(T_進路入力[[#This Row],[学籍番号]]&amp;"○",T_進路入力[進路決定確認ワーク],1,FALSE),1),"")</f>
        <v>○</v>
      </c>
    </row>
    <row r="210" spans="1:12" ht="13.5" customHeight="1" x14ac:dyDescent="0.15">
      <c r="A210">
        <v>2407055</v>
      </c>
      <c r="B210" t="s">
        <v>6</v>
      </c>
      <c r="C210" t="s">
        <v>167</v>
      </c>
      <c r="D210" t="s">
        <v>17</v>
      </c>
      <c r="F210" t="s">
        <v>733</v>
      </c>
      <c r="G210" s="10">
        <v>45996</v>
      </c>
      <c r="H210" s="11"/>
      <c r="K210" t="str">
        <f>T_進路入力[[#This Row],[学籍番号]]&amp;T_進路入力[[#This Row],[進路決定]]</f>
        <v>2407055</v>
      </c>
      <c r="L210" s="36" t="str">
        <f>_xlfn.IFNA(RIGHT(VLOOKUP(T_進路入力[[#This Row],[学籍番号]]&amp;"○",T_進路入力[進路決定確認ワーク],1,FALSE),1),"")</f>
        <v/>
      </c>
    </row>
    <row r="211" spans="1:12" ht="13.5" customHeight="1" x14ac:dyDescent="0.15">
      <c r="A211">
        <v>2407055</v>
      </c>
      <c r="B211" t="s">
        <v>6</v>
      </c>
      <c r="C211" t="s">
        <v>167</v>
      </c>
      <c r="F211" t="s">
        <v>295</v>
      </c>
      <c r="G211" s="10"/>
      <c r="H211" s="11"/>
      <c r="I211" t="s">
        <v>734</v>
      </c>
      <c r="K211" t="str">
        <f>T_進路入力[[#This Row],[学籍番号]]&amp;T_進路入力[[#This Row],[進路決定]]</f>
        <v>2407055</v>
      </c>
      <c r="L211" s="36" t="str">
        <f>_xlfn.IFNA(RIGHT(VLOOKUP(T_進路入力[[#This Row],[学籍番号]]&amp;"○",T_進路入力[進路決定確認ワーク],1,FALSE),1),"")</f>
        <v/>
      </c>
    </row>
    <row r="212" spans="1:12" ht="13.5" customHeight="1" x14ac:dyDescent="0.15">
      <c r="A212">
        <v>2407056</v>
      </c>
      <c r="B212" t="s">
        <v>6</v>
      </c>
      <c r="C212" t="s">
        <v>168</v>
      </c>
      <c r="D212" t="s">
        <v>720</v>
      </c>
      <c r="E212" t="s">
        <v>695</v>
      </c>
      <c r="F212" t="s">
        <v>321</v>
      </c>
      <c r="H212" s="11">
        <v>45876</v>
      </c>
      <c r="J212" t="s">
        <v>47</v>
      </c>
      <c r="K212" t="str">
        <f>T_進路入力[[#This Row],[学籍番号]]&amp;T_進路入力[[#This Row],[進路決定]]</f>
        <v>2407056○</v>
      </c>
      <c r="L212" s="36" t="str">
        <f>_xlfn.IFNA(RIGHT(VLOOKUP(T_進路入力[[#This Row],[学籍番号]]&amp;"○",T_進路入力[進路決定確認ワーク],1,FALSE),1),"")</f>
        <v>○</v>
      </c>
    </row>
    <row r="213" spans="1:12" ht="13.5" customHeight="1" x14ac:dyDescent="0.15">
      <c r="A213">
        <v>2407062</v>
      </c>
      <c r="B213" t="s">
        <v>6</v>
      </c>
      <c r="C213" t="s">
        <v>169</v>
      </c>
      <c r="D213" t="s">
        <v>409</v>
      </c>
      <c r="F213" t="s">
        <v>353</v>
      </c>
      <c r="H213" s="11"/>
      <c r="K213" t="str">
        <f>T_進路入力[[#This Row],[学籍番号]]&amp;T_進路入力[[#This Row],[進路決定]]</f>
        <v>2407062</v>
      </c>
      <c r="L213" s="36" t="str">
        <f>_xlfn.IFNA(RIGHT(VLOOKUP(T_進路入力[[#This Row],[学籍番号]]&amp;"○",T_進路入力[進路決定確認ワーク],1,FALSE),1),"")</f>
        <v>○</v>
      </c>
    </row>
    <row r="214" spans="1:12" ht="13.5" customHeight="1" x14ac:dyDescent="0.15">
      <c r="A214">
        <v>2407062</v>
      </c>
      <c r="B214" t="s">
        <v>6</v>
      </c>
      <c r="C214" t="s">
        <v>169</v>
      </c>
      <c r="D214" t="s">
        <v>386</v>
      </c>
      <c r="F214" t="s">
        <v>304</v>
      </c>
      <c r="H214" s="11"/>
      <c r="J214" t="s">
        <v>47</v>
      </c>
      <c r="K214" t="str">
        <f>T_進路入力[[#This Row],[学籍番号]]&amp;T_進路入力[[#This Row],[進路決定]]</f>
        <v>2407062○</v>
      </c>
      <c r="L214" s="36" t="str">
        <f>_xlfn.IFNA(RIGHT(VLOOKUP(T_進路入力[[#This Row],[学籍番号]]&amp;"○",T_進路入力[進路決定確認ワーク],1,FALSE),1),"")</f>
        <v>○</v>
      </c>
    </row>
    <row r="215" spans="1:12" ht="13.5" customHeight="1" x14ac:dyDescent="0.15">
      <c r="A215">
        <v>2407066</v>
      </c>
      <c r="B215" t="s">
        <v>6</v>
      </c>
      <c r="C215" t="s">
        <v>170</v>
      </c>
      <c r="D215" t="s">
        <v>282</v>
      </c>
      <c r="F215" t="s">
        <v>321</v>
      </c>
      <c r="H215" s="11"/>
      <c r="J215" t="s">
        <v>47</v>
      </c>
      <c r="K215" t="str">
        <f>T_進路入力[[#This Row],[学籍番号]]&amp;T_進路入力[[#This Row],[進路決定]]</f>
        <v>2407066○</v>
      </c>
      <c r="L215" s="36" t="str">
        <f>_xlfn.IFNA(RIGHT(VLOOKUP(T_進路入力[[#This Row],[学籍番号]]&amp;"○",T_進路入力[進路決定確認ワーク],1,FALSE),1),"")</f>
        <v>○</v>
      </c>
    </row>
    <row r="216" spans="1:12" ht="13.5" customHeight="1" x14ac:dyDescent="0.15">
      <c r="A216">
        <v>2410005</v>
      </c>
      <c r="B216" t="s">
        <v>6</v>
      </c>
      <c r="C216" t="s">
        <v>171</v>
      </c>
      <c r="D216" t="s">
        <v>20</v>
      </c>
      <c r="F216" t="s">
        <v>353</v>
      </c>
      <c r="H216" s="11"/>
      <c r="K216" t="str">
        <f>T_進路入力[[#This Row],[学籍番号]]&amp;T_進路入力[[#This Row],[進路決定]]</f>
        <v>2410005</v>
      </c>
      <c r="L216" s="36" t="str">
        <f>_xlfn.IFNA(RIGHT(VLOOKUP(T_進路入力[[#This Row],[学籍番号]]&amp;"○",T_進路入力[進路決定確認ワーク],1,FALSE),1),"")</f>
        <v>○</v>
      </c>
    </row>
    <row r="217" spans="1:12" ht="13.5" customHeight="1" x14ac:dyDescent="0.15">
      <c r="A217">
        <v>2410005</v>
      </c>
      <c r="B217" t="s">
        <v>6</v>
      </c>
      <c r="C217" t="s">
        <v>171</v>
      </c>
      <c r="D217" t="s">
        <v>364</v>
      </c>
      <c r="F217" t="s">
        <v>304</v>
      </c>
      <c r="H217" s="11">
        <v>45978</v>
      </c>
      <c r="J217" t="s">
        <v>47</v>
      </c>
      <c r="K217" t="str">
        <f>T_進路入力[[#This Row],[学籍番号]]&amp;T_進路入力[[#This Row],[進路決定]]</f>
        <v>2410005○</v>
      </c>
      <c r="L217" s="36" t="str">
        <f>_xlfn.IFNA(RIGHT(VLOOKUP(T_進路入力[[#This Row],[学籍番号]]&amp;"○",T_進路入力[進路決定確認ワーク],1,FALSE),1),"")</f>
        <v>○</v>
      </c>
    </row>
    <row r="218" spans="1:12" ht="13.5" customHeight="1" x14ac:dyDescent="0.15">
      <c r="A218">
        <v>2410006</v>
      </c>
      <c r="B218" t="s">
        <v>6</v>
      </c>
      <c r="C218" t="s">
        <v>172</v>
      </c>
      <c r="D218" t="s">
        <v>285</v>
      </c>
      <c r="F218" t="s">
        <v>325</v>
      </c>
      <c r="G218" s="10">
        <v>46011</v>
      </c>
      <c r="H218" s="11">
        <v>46017</v>
      </c>
      <c r="K218" t="str">
        <f>T_進路入力[[#This Row],[学籍番号]]&amp;T_進路入力[[#This Row],[進路決定]]</f>
        <v>2410006</v>
      </c>
      <c r="L218" s="36" t="str">
        <f>_xlfn.IFNA(RIGHT(VLOOKUP(T_進路入力[[#This Row],[学籍番号]]&amp;"○",T_進路入力[進路決定確認ワーク],1,FALSE),1),"")</f>
        <v>○</v>
      </c>
    </row>
    <row r="219" spans="1:12" ht="13.5" customHeight="1" x14ac:dyDescent="0.15">
      <c r="A219">
        <v>2410006</v>
      </c>
      <c r="B219" t="s">
        <v>6</v>
      </c>
      <c r="C219" t="s">
        <v>172</v>
      </c>
      <c r="D219" t="s">
        <v>423</v>
      </c>
      <c r="E219" t="s">
        <v>726</v>
      </c>
      <c r="F219" t="s">
        <v>304</v>
      </c>
      <c r="G219" s="10">
        <v>46056</v>
      </c>
      <c r="H219" s="11">
        <v>46070</v>
      </c>
      <c r="J219" t="s">
        <v>47</v>
      </c>
      <c r="K219" t="str">
        <f>T_進路入力[[#This Row],[学籍番号]]&amp;T_進路入力[[#This Row],[進路決定]]</f>
        <v>2410006○</v>
      </c>
      <c r="L219" s="36" t="str">
        <f>_xlfn.IFNA(RIGHT(VLOOKUP(T_進路入力[[#This Row],[学籍番号]]&amp;"○",T_進路入力[進路決定確認ワーク],1,FALSE),1),"")</f>
        <v>○</v>
      </c>
    </row>
    <row r="220" spans="1:12" ht="13.5" customHeight="1" x14ac:dyDescent="0.15">
      <c r="A220">
        <v>2410006</v>
      </c>
      <c r="B220" t="s">
        <v>6</v>
      </c>
      <c r="C220" t="s">
        <v>172</v>
      </c>
      <c r="D220" t="s">
        <v>22</v>
      </c>
      <c r="F220" t="s">
        <v>305</v>
      </c>
      <c r="G220" s="10">
        <v>46053</v>
      </c>
      <c r="H220" s="11">
        <v>46063</v>
      </c>
      <c r="K220" t="str">
        <f>T_進路入力[[#This Row],[学籍番号]]&amp;T_進路入力[[#This Row],[進路決定]]</f>
        <v>2410006</v>
      </c>
      <c r="L220" s="36" t="str">
        <f>_xlfn.IFNA(RIGHT(VLOOKUP(T_進路入力[[#This Row],[学籍番号]]&amp;"○",T_進路入力[進路決定確認ワーク],1,FALSE),1),"")</f>
        <v>○</v>
      </c>
    </row>
    <row r="221" spans="1:12" ht="13.5" customHeight="1" x14ac:dyDescent="0.15">
      <c r="A221">
        <v>2404028</v>
      </c>
      <c r="B221" t="s">
        <v>11</v>
      </c>
      <c r="C221" t="s">
        <v>173</v>
      </c>
      <c r="E221" t="s">
        <v>707</v>
      </c>
      <c r="F221" t="s">
        <v>295</v>
      </c>
      <c r="G221" s="10">
        <v>46039</v>
      </c>
      <c r="H221" s="11"/>
      <c r="I221" t="s">
        <v>707</v>
      </c>
      <c r="K221" t="str">
        <f>T_進路入力[[#This Row],[学籍番号]]&amp;T_進路入力[[#This Row],[進路決定]]</f>
        <v>2404028</v>
      </c>
      <c r="L221" s="36" t="str">
        <f>_xlfn.IFNA(RIGHT(VLOOKUP(T_進路入力[[#This Row],[学籍番号]]&amp;"○",T_進路入力[進路決定確認ワーク],1,FALSE),1),"")</f>
        <v/>
      </c>
    </row>
    <row r="222" spans="1:12" ht="13.5" customHeight="1" x14ac:dyDescent="0.15">
      <c r="A222">
        <v>2404032</v>
      </c>
      <c r="B222" t="s">
        <v>11</v>
      </c>
      <c r="C222" t="s">
        <v>174</v>
      </c>
      <c r="D222" t="s">
        <v>286</v>
      </c>
      <c r="E222" t="s">
        <v>696</v>
      </c>
      <c r="F222" t="s">
        <v>304</v>
      </c>
      <c r="G222" s="10">
        <v>46005</v>
      </c>
      <c r="H222" s="11">
        <v>46014</v>
      </c>
      <c r="J222" t="s">
        <v>47</v>
      </c>
      <c r="K222" t="str">
        <f>T_進路入力[[#This Row],[学籍番号]]&amp;T_進路入力[[#This Row],[進路決定]]</f>
        <v>2404032○</v>
      </c>
      <c r="L222" s="36" t="str">
        <f>_xlfn.IFNA(RIGHT(VLOOKUP(T_進路入力[[#This Row],[学籍番号]]&amp;"○",T_進路入力[進路決定確認ワーク],1,FALSE),1),"")</f>
        <v>○</v>
      </c>
    </row>
    <row r="223" spans="1:12" ht="13.5" customHeight="1" x14ac:dyDescent="0.15">
      <c r="A223">
        <v>2404039</v>
      </c>
      <c r="B223" t="s">
        <v>11</v>
      </c>
      <c r="C223" t="s">
        <v>175</v>
      </c>
      <c r="D223" t="s">
        <v>299</v>
      </c>
      <c r="E223" t="s">
        <v>672</v>
      </c>
      <c r="F223" t="s">
        <v>304</v>
      </c>
      <c r="G223" s="10">
        <v>46005</v>
      </c>
      <c r="H223" s="11">
        <v>46016</v>
      </c>
      <c r="J223" t="s">
        <v>47</v>
      </c>
      <c r="K223" t="str">
        <f>T_進路入力[[#This Row],[学籍番号]]&amp;T_進路入力[[#This Row],[進路決定]]</f>
        <v>2404039○</v>
      </c>
      <c r="L223" s="36" t="str">
        <f>_xlfn.IFNA(RIGHT(VLOOKUP(T_進路入力[[#This Row],[学籍番号]]&amp;"○",T_進路入力[進路決定確認ワーク],1,FALSE),1),"")</f>
        <v>○</v>
      </c>
    </row>
    <row r="224" spans="1:12" ht="13.5" customHeight="1" x14ac:dyDescent="0.15">
      <c r="A224">
        <v>2404052</v>
      </c>
      <c r="B224" t="s">
        <v>11</v>
      </c>
      <c r="C224" t="s">
        <v>176</v>
      </c>
      <c r="D224" t="s">
        <v>407</v>
      </c>
      <c r="E224" t="s">
        <v>408</v>
      </c>
      <c r="F224" t="s">
        <v>325</v>
      </c>
      <c r="G224" s="10">
        <v>45969</v>
      </c>
      <c r="H224" s="11"/>
      <c r="K224" t="str">
        <f>T_進路入力[[#This Row],[学籍番号]]&amp;T_進路入力[[#This Row],[進路決定]]</f>
        <v>2404052</v>
      </c>
      <c r="L224" s="36" t="str">
        <f>_xlfn.IFNA(RIGHT(VLOOKUP(T_進路入力[[#This Row],[学籍番号]]&amp;"○",T_進路入力[進路決定確認ワーク],1,FALSE),1),"")</f>
        <v>○</v>
      </c>
    </row>
    <row r="225" spans="1:12" ht="13.5" customHeight="1" x14ac:dyDescent="0.15">
      <c r="A225">
        <v>2404052</v>
      </c>
      <c r="B225" t="s">
        <v>11</v>
      </c>
      <c r="C225" t="s">
        <v>176</v>
      </c>
      <c r="D225" t="s">
        <v>285</v>
      </c>
      <c r="E225" t="s">
        <v>697</v>
      </c>
      <c r="F225" t="s">
        <v>304</v>
      </c>
      <c r="G225" s="10">
        <v>46011</v>
      </c>
      <c r="H225" s="11">
        <v>46017</v>
      </c>
      <c r="J225" t="s">
        <v>47</v>
      </c>
      <c r="K225" t="str">
        <f>T_進路入力[[#This Row],[学籍番号]]&amp;T_進路入力[[#This Row],[進路決定]]</f>
        <v>2404052○</v>
      </c>
      <c r="L225" s="36" t="str">
        <f>_xlfn.IFNA(RIGHT(VLOOKUP(T_進路入力[[#This Row],[学籍番号]]&amp;"○",T_進路入力[進路決定確認ワーク],1,FALSE),1),"")</f>
        <v>○</v>
      </c>
    </row>
    <row r="226" spans="1:12" ht="13.5" customHeight="1" x14ac:dyDescent="0.15">
      <c r="A226">
        <v>2404053</v>
      </c>
      <c r="B226" t="s">
        <v>11</v>
      </c>
      <c r="C226" t="s">
        <v>177</v>
      </c>
      <c r="D226" t="s">
        <v>311</v>
      </c>
      <c r="E226" t="s">
        <v>609</v>
      </c>
      <c r="F226" t="s">
        <v>325</v>
      </c>
      <c r="G226" s="10">
        <v>45955</v>
      </c>
      <c r="H226" s="11"/>
      <c r="K226" t="str">
        <f>T_進路入力[[#This Row],[学籍番号]]&amp;T_進路入力[[#This Row],[進路決定]]</f>
        <v>2404053</v>
      </c>
      <c r="L226" s="36" t="str">
        <f>_xlfn.IFNA(RIGHT(VLOOKUP(T_進路入力[[#This Row],[学籍番号]]&amp;"○",T_進路入力[進路決定確認ワーク],1,FALSE),1),"")</f>
        <v>○</v>
      </c>
    </row>
    <row r="227" spans="1:12" ht="13.5" customHeight="1" x14ac:dyDescent="0.15">
      <c r="A227">
        <v>2404053</v>
      </c>
      <c r="B227" t="s">
        <v>11</v>
      </c>
      <c r="C227" t="s">
        <v>177</v>
      </c>
      <c r="D227" t="s">
        <v>346</v>
      </c>
      <c r="E227" t="s">
        <v>609</v>
      </c>
      <c r="F227" t="s">
        <v>304</v>
      </c>
      <c r="G227" s="10">
        <v>45986</v>
      </c>
      <c r="H227" s="11"/>
      <c r="J227" t="s">
        <v>47</v>
      </c>
      <c r="K227" t="str">
        <f>T_進路入力[[#This Row],[学籍番号]]&amp;T_進路入力[[#This Row],[進路決定]]</f>
        <v>2404053○</v>
      </c>
      <c r="L227" s="36" t="str">
        <f>_xlfn.IFNA(RIGHT(VLOOKUP(T_進路入力[[#This Row],[学籍番号]]&amp;"○",T_進路入力[進路決定確認ワーク],1,FALSE),1),"")</f>
        <v>○</v>
      </c>
    </row>
    <row r="228" spans="1:12" ht="13.5" customHeight="1" x14ac:dyDescent="0.15">
      <c r="A228">
        <v>2404083</v>
      </c>
      <c r="B228" t="s">
        <v>11</v>
      </c>
      <c r="C228" t="s">
        <v>178</v>
      </c>
      <c r="D228" t="s">
        <v>406</v>
      </c>
      <c r="E228" t="s">
        <v>696</v>
      </c>
      <c r="F228" t="s">
        <v>304</v>
      </c>
      <c r="G228" s="10">
        <v>45948</v>
      </c>
      <c r="H228" s="11">
        <v>45965</v>
      </c>
      <c r="J228" t="s">
        <v>47</v>
      </c>
      <c r="K228" t="str">
        <f>T_進路入力[[#This Row],[学籍番号]]&amp;T_進路入力[[#This Row],[進路決定]]</f>
        <v>2404083○</v>
      </c>
      <c r="L228" s="36" t="str">
        <f>_xlfn.IFNA(RIGHT(VLOOKUP(T_進路入力[[#This Row],[学籍番号]]&amp;"○",T_進路入力[進路決定確認ワーク],1,FALSE),1),"")</f>
        <v>○</v>
      </c>
    </row>
    <row r="229" spans="1:12" ht="13.5" customHeight="1" x14ac:dyDescent="0.15">
      <c r="A229">
        <v>2404098</v>
      </c>
      <c r="B229" t="s">
        <v>11</v>
      </c>
      <c r="C229" t="s">
        <v>179</v>
      </c>
      <c r="D229" t="s">
        <v>307</v>
      </c>
      <c r="E229" t="s">
        <v>610</v>
      </c>
      <c r="F229" t="s">
        <v>304</v>
      </c>
      <c r="H229" s="11">
        <v>45966</v>
      </c>
      <c r="J229" t="s">
        <v>47</v>
      </c>
      <c r="K229" t="str">
        <f>T_進路入力[[#This Row],[学籍番号]]&amp;T_進路入力[[#This Row],[進路決定]]</f>
        <v>2404098○</v>
      </c>
      <c r="L229" s="36" t="str">
        <f>_xlfn.IFNA(RIGHT(VLOOKUP(T_進路入力[[#This Row],[学籍番号]]&amp;"○",T_進路入力[進路決定確認ワーク],1,FALSE),1),"")</f>
        <v>○</v>
      </c>
    </row>
    <row r="230" spans="1:12" ht="13.5" customHeight="1" x14ac:dyDescent="0.15">
      <c r="A230">
        <v>2404100</v>
      </c>
      <c r="B230" t="s">
        <v>11</v>
      </c>
      <c r="C230" t="s">
        <v>180</v>
      </c>
      <c r="D230" t="s">
        <v>365</v>
      </c>
      <c r="E230" t="s">
        <v>33</v>
      </c>
      <c r="F230" t="s">
        <v>321</v>
      </c>
      <c r="H230" s="11">
        <v>45938</v>
      </c>
      <c r="J230" t="s">
        <v>47</v>
      </c>
      <c r="K230" t="str">
        <f>T_進路入力[[#This Row],[学籍番号]]&amp;T_進路入力[[#This Row],[進路決定]]</f>
        <v>2404100○</v>
      </c>
      <c r="L230" s="36" t="str">
        <f>_xlfn.IFNA(RIGHT(VLOOKUP(T_進路入力[[#This Row],[学籍番号]]&amp;"○",T_進路入力[進路決定確認ワーク],1,FALSE),1),"")</f>
        <v>○</v>
      </c>
    </row>
    <row r="231" spans="1:12" ht="13.5" customHeight="1" x14ac:dyDescent="0.15">
      <c r="A231">
        <v>2404103</v>
      </c>
      <c r="B231" t="s">
        <v>11</v>
      </c>
      <c r="C231" t="s">
        <v>181</v>
      </c>
      <c r="D231" t="s">
        <v>406</v>
      </c>
      <c r="E231" t="s">
        <v>404</v>
      </c>
      <c r="F231" t="s">
        <v>304</v>
      </c>
      <c r="G231" s="10">
        <v>45948</v>
      </c>
      <c r="H231" s="11">
        <v>45965</v>
      </c>
      <c r="J231" t="s">
        <v>47</v>
      </c>
      <c r="K231" t="str">
        <f>T_進路入力[[#This Row],[学籍番号]]&amp;T_進路入力[[#This Row],[進路決定]]</f>
        <v>2404103○</v>
      </c>
      <c r="L231" s="36" t="str">
        <f>_xlfn.IFNA(RIGHT(VLOOKUP(T_進路入力[[#This Row],[学籍番号]]&amp;"○",T_進路入力[進路決定確認ワーク],1,FALSE),1),"")</f>
        <v>○</v>
      </c>
    </row>
    <row r="232" spans="1:12" ht="13.5" customHeight="1" x14ac:dyDescent="0.15">
      <c r="A232">
        <v>2404136</v>
      </c>
      <c r="B232" t="s">
        <v>11</v>
      </c>
      <c r="C232" t="s">
        <v>719</v>
      </c>
      <c r="D232" t="s">
        <v>365</v>
      </c>
      <c r="E232" t="s">
        <v>698</v>
      </c>
      <c r="F232" t="s">
        <v>321</v>
      </c>
      <c r="H232" s="11">
        <v>45881</v>
      </c>
      <c r="J232" t="s">
        <v>47</v>
      </c>
      <c r="K232" t="str">
        <f>T_進路入力[[#This Row],[学籍番号]]&amp;T_進路入力[[#This Row],[進路決定]]</f>
        <v>2404136○</v>
      </c>
      <c r="L232" s="36" t="str">
        <f>_xlfn.IFNA(RIGHT(VLOOKUP(T_進路入力[[#This Row],[学籍番号]]&amp;"○",T_進路入力[進路決定確認ワーク],1,FALSE),1),"")</f>
        <v>○</v>
      </c>
    </row>
    <row r="233" spans="1:12" ht="13.5" customHeight="1" x14ac:dyDescent="0.15">
      <c r="A233">
        <v>2404141</v>
      </c>
      <c r="B233" t="s">
        <v>11</v>
      </c>
      <c r="C233" t="s">
        <v>405</v>
      </c>
      <c r="D233" t="s">
        <v>307</v>
      </c>
      <c r="E233" t="s">
        <v>610</v>
      </c>
      <c r="F233" t="s">
        <v>304</v>
      </c>
      <c r="G233" s="10">
        <v>45972</v>
      </c>
      <c r="H233" s="11">
        <v>45981</v>
      </c>
      <c r="J233" t="s">
        <v>47</v>
      </c>
      <c r="K233" t="str">
        <f>T_進路入力[[#This Row],[学籍番号]]&amp;T_進路入力[[#This Row],[進路決定]]</f>
        <v>2404141○</v>
      </c>
      <c r="L233" s="36" t="str">
        <f>_xlfn.IFNA(RIGHT(VLOOKUP(T_進路入力[[#This Row],[学籍番号]]&amp;"○",T_進路入力[進路決定確認ワーク],1,FALSE),1),"")</f>
        <v>○</v>
      </c>
    </row>
    <row r="234" spans="1:12" ht="13.5" customHeight="1" x14ac:dyDescent="0.15">
      <c r="A234">
        <v>2404143</v>
      </c>
      <c r="B234" t="s">
        <v>11</v>
      </c>
      <c r="C234" t="s">
        <v>182</v>
      </c>
      <c r="D234" t="s">
        <v>285</v>
      </c>
      <c r="E234" t="s">
        <v>699</v>
      </c>
      <c r="F234" t="s">
        <v>304</v>
      </c>
      <c r="G234" s="10">
        <v>45948</v>
      </c>
      <c r="H234" s="11">
        <v>45965</v>
      </c>
      <c r="J234" t="s">
        <v>47</v>
      </c>
      <c r="K234" t="str">
        <f>T_進路入力[[#This Row],[学籍番号]]&amp;T_進路入力[[#This Row],[進路決定]]</f>
        <v>2404143○</v>
      </c>
      <c r="L234" s="36" t="str">
        <f>_xlfn.IFNA(RIGHT(VLOOKUP(T_進路入力[[#This Row],[学籍番号]]&amp;"○",T_進路入力[進路決定確認ワーク],1,FALSE),1),"")</f>
        <v>○</v>
      </c>
    </row>
    <row r="235" spans="1:12" ht="13.5" customHeight="1" x14ac:dyDescent="0.15">
      <c r="A235">
        <v>2404162</v>
      </c>
      <c r="B235" t="s">
        <v>11</v>
      </c>
      <c r="C235" t="s">
        <v>183</v>
      </c>
      <c r="D235" t="s">
        <v>19</v>
      </c>
      <c r="E235" t="s">
        <v>403</v>
      </c>
      <c r="F235" t="s">
        <v>321</v>
      </c>
      <c r="H235" s="11">
        <v>45834</v>
      </c>
      <c r="J235" t="s">
        <v>47</v>
      </c>
      <c r="K235" t="str">
        <f>T_進路入力[[#This Row],[学籍番号]]&amp;T_進路入力[[#This Row],[進路決定]]</f>
        <v>2404162○</v>
      </c>
      <c r="L235" s="36" t="str">
        <f>_xlfn.IFNA(RIGHT(VLOOKUP(T_進路入力[[#This Row],[学籍番号]]&amp;"○",T_進路入力[進路決定確認ワーク],1,FALSE),1),"")</f>
        <v>○</v>
      </c>
    </row>
    <row r="236" spans="1:12" ht="13.5" customHeight="1" x14ac:dyDescent="0.15">
      <c r="A236">
        <v>2404173</v>
      </c>
      <c r="B236" t="s">
        <v>11</v>
      </c>
      <c r="C236" t="s">
        <v>184</v>
      </c>
      <c r="D236" t="s">
        <v>387</v>
      </c>
      <c r="F236" t="s">
        <v>304</v>
      </c>
      <c r="H236" s="11"/>
      <c r="J236" t="s">
        <v>47</v>
      </c>
      <c r="K236" t="str">
        <f>T_進路入力[[#This Row],[学籍番号]]&amp;T_進路入力[[#This Row],[進路決定]]</f>
        <v>2404173○</v>
      </c>
      <c r="L236" s="36" t="str">
        <f>_xlfn.IFNA(RIGHT(VLOOKUP(T_進路入力[[#This Row],[学籍番号]]&amp;"○",T_進路入力[進路決定確認ワーク],1,FALSE),1),"")</f>
        <v>○</v>
      </c>
    </row>
    <row r="237" spans="1:12" ht="13.5" customHeight="1" x14ac:dyDescent="0.15">
      <c r="A237">
        <v>2404174</v>
      </c>
      <c r="B237" t="s">
        <v>11</v>
      </c>
      <c r="C237" t="s">
        <v>185</v>
      </c>
      <c r="D237" t="s">
        <v>401</v>
      </c>
      <c r="E237" t="s">
        <v>700</v>
      </c>
      <c r="F237" t="s">
        <v>304</v>
      </c>
      <c r="G237" s="10">
        <v>45963</v>
      </c>
      <c r="H237" s="11">
        <v>45972</v>
      </c>
      <c r="J237" t="s">
        <v>47</v>
      </c>
      <c r="K237" t="str">
        <f>T_進路入力[[#This Row],[学籍番号]]&amp;T_進路入力[[#This Row],[進路決定]]</f>
        <v>2404174○</v>
      </c>
      <c r="L237" s="36" t="str">
        <f>_xlfn.IFNA(RIGHT(VLOOKUP(T_進路入力[[#This Row],[学籍番号]]&amp;"○",T_進路入力[進路決定確認ワーク],1,FALSE),1),"")</f>
        <v>○</v>
      </c>
    </row>
    <row r="238" spans="1:12" ht="13.5" customHeight="1" x14ac:dyDescent="0.15">
      <c r="A238">
        <v>2404180</v>
      </c>
      <c r="B238" t="s">
        <v>11</v>
      </c>
      <c r="C238" t="s">
        <v>186</v>
      </c>
      <c r="D238" t="s">
        <v>365</v>
      </c>
      <c r="F238" t="s">
        <v>317</v>
      </c>
      <c r="H238" s="11">
        <v>45881</v>
      </c>
      <c r="K238" t="str">
        <f>T_進路入力[[#This Row],[学籍番号]]&amp;T_進路入力[[#This Row],[進路決定]]</f>
        <v>2404180</v>
      </c>
      <c r="L238" s="36" t="str">
        <f>_xlfn.IFNA(RIGHT(VLOOKUP(T_進路入力[[#This Row],[学籍番号]]&amp;"○",T_進路入力[進路決定確認ワーク],1,FALSE),1),"")</f>
        <v>○</v>
      </c>
    </row>
    <row r="239" spans="1:12" ht="13.5" customHeight="1" x14ac:dyDescent="0.15">
      <c r="A239">
        <v>2404180</v>
      </c>
      <c r="B239" t="s">
        <v>11</v>
      </c>
      <c r="C239" t="s">
        <v>186</v>
      </c>
      <c r="D239" t="s">
        <v>402</v>
      </c>
      <c r="E239" t="s">
        <v>408</v>
      </c>
      <c r="F239" t="s">
        <v>304</v>
      </c>
      <c r="G239" s="10">
        <v>45947</v>
      </c>
      <c r="H239" s="11"/>
      <c r="J239" t="s">
        <v>47</v>
      </c>
      <c r="K239" t="str">
        <f>T_進路入力[[#This Row],[学籍番号]]&amp;T_進路入力[[#This Row],[進路決定]]</f>
        <v>2404180○</v>
      </c>
      <c r="L239" s="36" t="str">
        <f>_xlfn.IFNA(RIGHT(VLOOKUP(T_進路入力[[#This Row],[学籍番号]]&amp;"○",T_進路入力[進路決定確認ワーク],1,FALSE),1),"")</f>
        <v>○</v>
      </c>
    </row>
    <row r="240" spans="1:12" ht="13.5" customHeight="1" x14ac:dyDescent="0.15">
      <c r="A240">
        <v>2407012</v>
      </c>
      <c r="B240" t="s">
        <v>11</v>
      </c>
      <c r="C240" t="s">
        <v>187</v>
      </c>
      <c r="D240" t="s">
        <v>311</v>
      </c>
      <c r="E240" t="s">
        <v>556</v>
      </c>
      <c r="F240" t="s">
        <v>325</v>
      </c>
      <c r="G240" s="10">
        <v>45955</v>
      </c>
      <c r="H240" s="11">
        <v>45959</v>
      </c>
      <c r="K240" t="str">
        <f>T_進路入力[[#This Row],[学籍番号]]&amp;T_進路入力[[#This Row],[進路決定]]</f>
        <v>2407012</v>
      </c>
      <c r="L240" s="36" t="str">
        <f>_xlfn.IFNA(RIGHT(VLOOKUP(T_進路入力[[#This Row],[学籍番号]]&amp;"○",T_進路入力[進路決定確認ワーク],1,FALSE),1),"")</f>
        <v>○</v>
      </c>
    </row>
    <row r="241" spans="1:12" ht="13.5" customHeight="1" x14ac:dyDescent="0.15">
      <c r="A241">
        <v>2407012</v>
      </c>
      <c r="B241" t="s">
        <v>11</v>
      </c>
      <c r="C241" t="s">
        <v>187</v>
      </c>
      <c r="D241" t="s">
        <v>586</v>
      </c>
      <c r="E241" t="s">
        <v>33</v>
      </c>
      <c r="F241" t="s">
        <v>304</v>
      </c>
      <c r="G241" s="10">
        <v>45969</v>
      </c>
      <c r="H241" s="11">
        <v>45978</v>
      </c>
      <c r="J241" t="s">
        <v>47</v>
      </c>
      <c r="K241" t="str">
        <f>T_進路入力[[#This Row],[学籍番号]]&amp;T_進路入力[[#This Row],[進路決定]]</f>
        <v>2407012○</v>
      </c>
      <c r="L241" s="36" t="str">
        <f>_xlfn.IFNA(RIGHT(VLOOKUP(T_進路入力[[#This Row],[学籍番号]]&amp;"○",T_進路入力[進路決定確認ワーク],1,FALSE),1),"")</f>
        <v>○</v>
      </c>
    </row>
    <row r="242" spans="1:12" ht="13.5" customHeight="1" x14ac:dyDescent="0.15">
      <c r="A242">
        <v>2407027</v>
      </c>
      <c r="B242" t="s">
        <v>11</v>
      </c>
      <c r="C242" t="s">
        <v>188</v>
      </c>
      <c r="D242" t="s">
        <v>311</v>
      </c>
      <c r="E242" t="s">
        <v>609</v>
      </c>
      <c r="F242" t="s">
        <v>304</v>
      </c>
      <c r="G242" s="10">
        <v>45955</v>
      </c>
      <c r="H242" s="11">
        <v>45959</v>
      </c>
      <c r="J242" t="s">
        <v>47</v>
      </c>
      <c r="K242" t="str">
        <f>T_進路入力[[#This Row],[学籍番号]]&amp;T_進路入力[[#This Row],[進路決定]]</f>
        <v>2407027○</v>
      </c>
      <c r="L242" s="36" t="str">
        <f>_xlfn.IFNA(RIGHT(VLOOKUP(T_進路入力[[#This Row],[学籍番号]]&amp;"○",T_進路入力[進路決定確認ワーク],1,FALSE),1),"")</f>
        <v>○</v>
      </c>
    </row>
    <row r="243" spans="1:12" ht="13.5" customHeight="1" x14ac:dyDescent="0.15">
      <c r="A243">
        <v>2407061</v>
      </c>
      <c r="B243" t="s">
        <v>11</v>
      </c>
      <c r="C243" t="s">
        <v>189</v>
      </c>
      <c r="D243" t="s">
        <v>400</v>
      </c>
      <c r="E243" t="s">
        <v>692</v>
      </c>
      <c r="F243" t="s">
        <v>304</v>
      </c>
      <c r="G243" s="10">
        <v>46011</v>
      </c>
      <c r="H243" s="11"/>
      <c r="J243" t="s">
        <v>47</v>
      </c>
      <c r="K243" t="str">
        <f>T_進路入力[[#This Row],[学籍番号]]&amp;T_進路入力[[#This Row],[進路決定]]</f>
        <v>2407061○</v>
      </c>
      <c r="L243" s="36" t="str">
        <f>_xlfn.IFNA(RIGHT(VLOOKUP(T_進路入力[[#This Row],[学籍番号]]&amp;"○",T_進路入力[進路決定確認ワーク],1,FALSE),1),"")</f>
        <v>○</v>
      </c>
    </row>
    <row r="244" spans="1:12" ht="13.5" customHeight="1" x14ac:dyDescent="0.15">
      <c r="A244">
        <v>2404007</v>
      </c>
      <c r="B244" t="s">
        <v>7</v>
      </c>
      <c r="C244" t="s">
        <v>190</v>
      </c>
      <c r="D244" t="s">
        <v>394</v>
      </c>
      <c r="E244" t="s">
        <v>478</v>
      </c>
      <c r="F244" t="s">
        <v>304</v>
      </c>
      <c r="G244" s="10">
        <v>45997</v>
      </c>
      <c r="H244" s="11">
        <v>46003</v>
      </c>
      <c r="J244" t="s">
        <v>47</v>
      </c>
      <c r="K244" t="str">
        <f>T_進路入力[[#This Row],[学籍番号]]&amp;T_進路入力[[#This Row],[進路決定]]</f>
        <v>2404007○</v>
      </c>
      <c r="L244" s="36" t="str">
        <f>_xlfn.IFNA(RIGHT(VLOOKUP(T_進路入力[[#This Row],[学籍番号]]&amp;"○",T_進路入力[進路決定確認ワーク],1,FALSE),1),"")</f>
        <v>○</v>
      </c>
    </row>
    <row r="245" spans="1:12" ht="13.5" customHeight="1" x14ac:dyDescent="0.15">
      <c r="A245">
        <v>2404033</v>
      </c>
      <c r="B245" t="s">
        <v>7</v>
      </c>
      <c r="C245" t="s">
        <v>191</v>
      </c>
      <c r="D245" t="s">
        <v>502</v>
      </c>
      <c r="E245" t="s">
        <v>479</v>
      </c>
      <c r="F245" t="s">
        <v>304</v>
      </c>
      <c r="G245" s="10">
        <v>45990</v>
      </c>
      <c r="H245" s="11">
        <v>45994</v>
      </c>
      <c r="J245" t="s">
        <v>47</v>
      </c>
      <c r="K245" t="str">
        <f>T_進路入力[[#This Row],[学籍番号]]&amp;T_進路入力[[#This Row],[進路決定]]</f>
        <v>2404033○</v>
      </c>
      <c r="L245" s="36" t="str">
        <f>_xlfn.IFNA(RIGHT(VLOOKUP(T_進路入力[[#This Row],[学籍番号]]&amp;"○",T_進路入力[進路決定確認ワーク],1,FALSE),1),"")</f>
        <v>○</v>
      </c>
    </row>
    <row r="246" spans="1:12" ht="13.5" customHeight="1" x14ac:dyDescent="0.15">
      <c r="A246">
        <v>2404034</v>
      </c>
      <c r="B246" t="s">
        <v>7</v>
      </c>
      <c r="C246" t="s">
        <v>192</v>
      </c>
      <c r="D246" t="s">
        <v>365</v>
      </c>
      <c r="E246" t="s">
        <v>479</v>
      </c>
      <c r="F246" t="s">
        <v>353</v>
      </c>
      <c r="G246" s="11">
        <v>45934</v>
      </c>
      <c r="H246" s="11">
        <v>45938</v>
      </c>
      <c r="K246" t="str">
        <f>T_進路入力[[#This Row],[学籍番号]]&amp;T_進路入力[[#This Row],[進路決定]]</f>
        <v>2404034</v>
      </c>
      <c r="L246" s="36" t="str">
        <f>_xlfn.IFNA(RIGHT(VLOOKUP(T_進路入力[[#This Row],[学籍番号]]&amp;"○",T_進路入力[進路決定確認ワーク],1,FALSE),1),"")</f>
        <v>○</v>
      </c>
    </row>
    <row r="247" spans="1:12" ht="13.5" customHeight="1" x14ac:dyDescent="0.15">
      <c r="A247">
        <v>2404034</v>
      </c>
      <c r="B247" t="s">
        <v>7</v>
      </c>
      <c r="C247" t="s">
        <v>192</v>
      </c>
      <c r="D247" t="s">
        <v>365</v>
      </c>
      <c r="E247" t="s">
        <v>479</v>
      </c>
      <c r="F247" t="s">
        <v>325</v>
      </c>
      <c r="G247" s="10">
        <v>45970</v>
      </c>
      <c r="H247" s="11">
        <v>45973</v>
      </c>
      <c r="K247" t="str">
        <f>T_進路入力[[#This Row],[学籍番号]]&amp;T_進路入力[[#This Row],[進路決定]]</f>
        <v>2404034</v>
      </c>
      <c r="L247" s="36" t="str">
        <f>_xlfn.IFNA(RIGHT(VLOOKUP(T_進路入力[[#This Row],[学籍番号]]&amp;"○",T_進路入力[進路決定確認ワーク],1,FALSE),1),"")</f>
        <v>○</v>
      </c>
    </row>
    <row r="248" spans="1:12" ht="13.5" customHeight="1" x14ac:dyDescent="0.15">
      <c r="A248">
        <v>2404034</v>
      </c>
      <c r="B248" t="s">
        <v>7</v>
      </c>
      <c r="C248" t="s">
        <v>192</v>
      </c>
      <c r="D248" t="s">
        <v>645</v>
      </c>
      <c r="E248" t="s">
        <v>652</v>
      </c>
      <c r="F248" t="s">
        <v>317</v>
      </c>
      <c r="G248" s="10"/>
      <c r="H248" s="11"/>
      <c r="K248" t="str">
        <f>T_進路入力[[#This Row],[学籍番号]]&amp;T_進路入力[[#This Row],[進路決定]]</f>
        <v>2404034</v>
      </c>
      <c r="L248" s="36" t="str">
        <f>_xlfn.IFNA(RIGHT(VLOOKUP(T_進路入力[[#This Row],[学籍番号]]&amp;"○",T_進路入力[進路決定確認ワーク],1,FALSE),1),"")</f>
        <v>○</v>
      </c>
    </row>
    <row r="249" spans="1:12" ht="13.5" customHeight="1" x14ac:dyDescent="0.15">
      <c r="A249">
        <v>2404034</v>
      </c>
      <c r="B249" t="s">
        <v>7</v>
      </c>
      <c r="C249" t="s">
        <v>192</v>
      </c>
      <c r="D249" t="s">
        <v>687</v>
      </c>
      <c r="E249" t="s">
        <v>688</v>
      </c>
      <c r="F249" t="s">
        <v>304</v>
      </c>
      <c r="G249" s="10">
        <v>46050</v>
      </c>
      <c r="H249" s="11">
        <v>46057</v>
      </c>
      <c r="J249" t="s">
        <v>47</v>
      </c>
      <c r="K249" t="str">
        <f>T_進路入力[[#This Row],[学籍番号]]&amp;T_進路入力[[#This Row],[進路決定]]</f>
        <v>2404034○</v>
      </c>
      <c r="L249" s="36" t="str">
        <f>_xlfn.IFNA(RIGHT(VLOOKUP(T_進路入力[[#This Row],[学籍番号]]&amp;"○",T_進路入力[進路決定確認ワーク],1,FALSE),1),"")</f>
        <v>○</v>
      </c>
    </row>
    <row r="250" spans="1:12" ht="13.5" customHeight="1" x14ac:dyDescent="0.15">
      <c r="A250">
        <v>2404037</v>
      </c>
      <c r="B250" t="s">
        <v>7</v>
      </c>
      <c r="C250" t="s">
        <v>193</v>
      </c>
      <c r="D250" t="s">
        <v>365</v>
      </c>
      <c r="E250" t="s">
        <v>480</v>
      </c>
      <c r="F250" t="s">
        <v>353</v>
      </c>
      <c r="G250" s="11">
        <v>45910</v>
      </c>
      <c r="H250" s="11">
        <v>45926</v>
      </c>
      <c r="K250" t="str">
        <f>T_進路入力[[#This Row],[学籍番号]]&amp;T_進路入力[[#This Row],[進路決定]]</f>
        <v>2404037</v>
      </c>
      <c r="L250" s="36" t="str">
        <f>_xlfn.IFNA(RIGHT(VLOOKUP(T_進路入力[[#This Row],[学籍番号]]&amp;"○",T_進路入力[進路決定確認ワーク],1,FALSE),1),"")</f>
        <v>○</v>
      </c>
    </row>
    <row r="251" spans="1:12" ht="13.5" customHeight="1" x14ac:dyDescent="0.15">
      <c r="A251">
        <v>2404037</v>
      </c>
      <c r="B251" t="s">
        <v>7</v>
      </c>
      <c r="C251" t="s">
        <v>193</v>
      </c>
      <c r="D251" t="s">
        <v>365</v>
      </c>
      <c r="E251" t="s">
        <v>481</v>
      </c>
      <c r="F251" t="s">
        <v>325</v>
      </c>
      <c r="G251" s="11">
        <v>45970</v>
      </c>
      <c r="H251" s="11">
        <v>45973</v>
      </c>
      <c r="K251" t="str">
        <f>T_進路入力[[#This Row],[学籍番号]]&amp;T_進路入力[[#This Row],[進路決定]]</f>
        <v>2404037</v>
      </c>
      <c r="L251" s="36" t="str">
        <f>_xlfn.IFNA(RIGHT(VLOOKUP(T_進路入力[[#This Row],[学籍番号]]&amp;"○",T_進路入力[進路決定確認ワーク],1,FALSE),1),"")</f>
        <v>○</v>
      </c>
    </row>
    <row r="252" spans="1:12" ht="13.5" customHeight="1" x14ac:dyDescent="0.15">
      <c r="A252">
        <v>2404037</v>
      </c>
      <c r="B252" t="s">
        <v>7</v>
      </c>
      <c r="C252" t="s">
        <v>193</v>
      </c>
      <c r="D252" t="s">
        <v>645</v>
      </c>
      <c r="E252" t="s">
        <v>652</v>
      </c>
      <c r="F252" t="s">
        <v>317</v>
      </c>
      <c r="G252" s="11"/>
      <c r="H252" s="11"/>
      <c r="K252" t="str">
        <f>T_進路入力[[#This Row],[学籍番号]]&amp;T_進路入力[[#This Row],[進路決定]]</f>
        <v>2404037</v>
      </c>
      <c r="L252" s="36" t="str">
        <f>_xlfn.IFNA(RIGHT(VLOOKUP(T_進路入力[[#This Row],[学籍番号]]&amp;"○",T_進路入力[進路決定確認ワーク],1,FALSE),1),"")</f>
        <v>○</v>
      </c>
    </row>
    <row r="253" spans="1:12" ht="13.5" customHeight="1" x14ac:dyDescent="0.15">
      <c r="A253">
        <v>2404037</v>
      </c>
      <c r="B253" t="s">
        <v>7</v>
      </c>
      <c r="C253" t="s">
        <v>193</v>
      </c>
      <c r="D253" t="s">
        <v>687</v>
      </c>
      <c r="E253" t="s">
        <v>688</v>
      </c>
      <c r="F253" t="s">
        <v>304</v>
      </c>
      <c r="G253" s="10">
        <v>46050</v>
      </c>
      <c r="H253" s="11">
        <v>46057</v>
      </c>
      <c r="J253" t="s">
        <v>47</v>
      </c>
      <c r="K253" t="str">
        <f>T_進路入力[[#This Row],[学籍番号]]&amp;T_進路入力[[#This Row],[進路決定]]</f>
        <v>2404037○</v>
      </c>
      <c r="L253" s="36" t="str">
        <f>_xlfn.IFNA(RIGHT(VLOOKUP(T_進路入力[[#This Row],[学籍番号]]&amp;"○",T_進路入力[進路決定確認ワーク],1,FALSE),1),"")</f>
        <v>○</v>
      </c>
    </row>
    <row r="254" spans="1:12" ht="13.5" customHeight="1" x14ac:dyDescent="0.15">
      <c r="A254">
        <v>2404082</v>
      </c>
      <c r="B254" t="s">
        <v>7</v>
      </c>
      <c r="C254" t="s">
        <v>194</v>
      </c>
      <c r="D254" t="s">
        <v>365</v>
      </c>
      <c r="E254" t="s">
        <v>482</v>
      </c>
      <c r="F254" t="s">
        <v>321</v>
      </c>
      <c r="G254" s="11">
        <v>45849</v>
      </c>
      <c r="H254" s="11">
        <v>45917</v>
      </c>
      <c r="J254" t="s">
        <v>47</v>
      </c>
      <c r="K254" t="str">
        <f>T_進路入力[[#This Row],[学籍番号]]&amp;T_進路入力[[#This Row],[進路決定]]</f>
        <v>2404082○</v>
      </c>
      <c r="L254" s="36" t="str">
        <f>_xlfn.IFNA(RIGHT(VLOOKUP(T_進路入力[[#This Row],[学籍番号]]&amp;"○",T_進路入力[進路決定確認ワーク],1,FALSE),1),"")</f>
        <v>○</v>
      </c>
    </row>
    <row r="255" spans="1:12" ht="13.5" customHeight="1" x14ac:dyDescent="0.15">
      <c r="A255">
        <v>2404095</v>
      </c>
      <c r="B255" t="s">
        <v>7</v>
      </c>
      <c r="C255" t="s">
        <v>195</v>
      </c>
      <c r="D255" t="s">
        <v>365</v>
      </c>
      <c r="E255" t="s">
        <v>479</v>
      </c>
      <c r="F255" t="s">
        <v>353</v>
      </c>
      <c r="G255" s="11">
        <v>45934</v>
      </c>
      <c r="H255" s="11">
        <v>45938</v>
      </c>
      <c r="K255" t="str">
        <f>T_進路入力[[#This Row],[学籍番号]]&amp;T_進路入力[[#This Row],[進路決定]]</f>
        <v>2404095</v>
      </c>
      <c r="L255" s="36" t="str">
        <f>_xlfn.IFNA(RIGHT(VLOOKUP(T_進路入力[[#This Row],[学籍番号]]&amp;"○",T_進路入力[進路決定確認ワーク],1,FALSE),1),"")</f>
        <v>○</v>
      </c>
    </row>
    <row r="256" spans="1:12" ht="13.5" customHeight="1" x14ac:dyDescent="0.15">
      <c r="A256">
        <v>2404095</v>
      </c>
      <c r="B256" t="s">
        <v>7</v>
      </c>
      <c r="C256" t="s">
        <v>195</v>
      </c>
      <c r="D256" t="s">
        <v>569</v>
      </c>
      <c r="E256" t="s">
        <v>653</v>
      </c>
      <c r="F256" t="s">
        <v>304</v>
      </c>
      <c r="G256" s="11">
        <v>46015</v>
      </c>
      <c r="H256" s="11">
        <v>46017</v>
      </c>
      <c r="J256" t="s">
        <v>47</v>
      </c>
      <c r="K256" t="str">
        <f>T_進路入力[[#This Row],[学籍番号]]&amp;T_進路入力[[#This Row],[進路決定]]</f>
        <v>2404095○</v>
      </c>
      <c r="L256" s="36" t="str">
        <f>_xlfn.IFNA(RIGHT(VLOOKUP(T_進路入力[[#This Row],[学籍番号]]&amp;"○",T_進路入力[進路決定確認ワーク],1,FALSE),1),"")</f>
        <v>○</v>
      </c>
    </row>
    <row r="257" spans="1:12" ht="13.5" customHeight="1" x14ac:dyDescent="0.15">
      <c r="A257">
        <v>2404109</v>
      </c>
      <c r="B257" t="s">
        <v>7</v>
      </c>
      <c r="C257" t="s">
        <v>196</v>
      </c>
      <c r="D257" t="s">
        <v>397</v>
      </c>
      <c r="F257" t="s">
        <v>304</v>
      </c>
      <c r="G257" s="10">
        <v>45876</v>
      </c>
      <c r="H257" s="11">
        <v>45910</v>
      </c>
      <c r="J257" t="s">
        <v>47</v>
      </c>
      <c r="K257" t="str">
        <f>T_進路入力[[#This Row],[学籍番号]]&amp;T_進路入力[[#This Row],[進路決定]]</f>
        <v>2404109○</v>
      </c>
      <c r="L257" s="36" t="str">
        <f>_xlfn.IFNA(RIGHT(VLOOKUP(T_進路入力[[#This Row],[学籍番号]]&amp;"○",T_進路入力[進路決定確認ワーク],1,FALSE),1),"")</f>
        <v>○</v>
      </c>
    </row>
    <row r="258" spans="1:12" ht="13.5" customHeight="1" x14ac:dyDescent="0.15">
      <c r="A258">
        <v>2404115</v>
      </c>
      <c r="B258" t="s">
        <v>7</v>
      </c>
      <c r="C258" t="s">
        <v>197</v>
      </c>
      <c r="D258" t="s">
        <v>365</v>
      </c>
      <c r="E258" t="s">
        <v>479</v>
      </c>
      <c r="F258" t="s">
        <v>325</v>
      </c>
      <c r="G258" s="11">
        <v>45934</v>
      </c>
      <c r="H258" s="11">
        <v>45938</v>
      </c>
      <c r="K258" t="str">
        <f>T_進路入力[[#This Row],[学籍番号]]&amp;T_進路入力[[#This Row],[進路決定]]</f>
        <v>2404115</v>
      </c>
      <c r="L258" s="36" t="str">
        <f>_xlfn.IFNA(RIGHT(VLOOKUP(T_進路入力[[#This Row],[学籍番号]]&amp;"○",T_進路入力[進路決定確認ワーク],1,FALSE),1),"")</f>
        <v>○</v>
      </c>
    </row>
    <row r="259" spans="1:12" ht="13.5" customHeight="1" x14ac:dyDescent="0.15">
      <c r="A259">
        <v>2404115</v>
      </c>
      <c r="B259" t="s">
        <v>7</v>
      </c>
      <c r="C259" t="s">
        <v>197</v>
      </c>
      <c r="D259" t="s">
        <v>396</v>
      </c>
      <c r="E259" t="s">
        <v>476</v>
      </c>
      <c r="F259" t="s">
        <v>325</v>
      </c>
      <c r="G259" s="10">
        <v>45955</v>
      </c>
      <c r="H259" s="11">
        <v>45959</v>
      </c>
      <c r="K259" t="str">
        <f>T_進路入力[[#This Row],[学籍番号]]&amp;T_進路入力[[#This Row],[進路決定]]</f>
        <v>2404115</v>
      </c>
      <c r="L259" s="36" t="str">
        <f>_xlfn.IFNA(RIGHT(VLOOKUP(T_進路入力[[#This Row],[学籍番号]]&amp;"○",T_進路入力[進路決定確認ワーク],1,FALSE),1),"")</f>
        <v>○</v>
      </c>
    </row>
    <row r="260" spans="1:12" ht="13.5" customHeight="1" x14ac:dyDescent="0.15">
      <c r="A260">
        <v>2404115</v>
      </c>
      <c r="B260" t="s">
        <v>7</v>
      </c>
      <c r="C260" t="s">
        <v>197</v>
      </c>
      <c r="D260" t="s">
        <v>365</v>
      </c>
      <c r="E260" t="s">
        <v>479</v>
      </c>
      <c r="F260" t="s">
        <v>325</v>
      </c>
      <c r="G260" s="10">
        <v>45970</v>
      </c>
      <c r="H260" s="11">
        <v>45973</v>
      </c>
      <c r="K260" t="str">
        <f>T_進路入力[[#This Row],[学籍番号]]&amp;T_進路入力[[#This Row],[進路決定]]</f>
        <v>2404115</v>
      </c>
      <c r="L260" s="36" t="str">
        <f>_xlfn.IFNA(RIGHT(VLOOKUP(T_進路入力[[#This Row],[学籍番号]]&amp;"○",T_進路入力[進路決定確認ワーク],1,FALSE),1),"")</f>
        <v>○</v>
      </c>
    </row>
    <row r="261" spans="1:12" ht="13.5" customHeight="1" x14ac:dyDescent="0.15">
      <c r="A261">
        <v>2404115</v>
      </c>
      <c r="B261" t="s">
        <v>7</v>
      </c>
      <c r="C261" t="s">
        <v>197</v>
      </c>
      <c r="D261" t="s">
        <v>558</v>
      </c>
      <c r="E261" t="s">
        <v>581</v>
      </c>
      <c r="F261" t="s">
        <v>325</v>
      </c>
      <c r="G261" s="10">
        <v>45997</v>
      </c>
      <c r="H261" s="11">
        <v>46002</v>
      </c>
      <c r="K261" t="str">
        <f>T_進路入力[[#This Row],[学籍番号]]&amp;T_進路入力[[#This Row],[進路決定]]</f>
        <v>2404115</v>
      </c>
      <c r="L261" s="36" t="str">
        <f>_xlfn.IFNA(RIGHT(VLOOKUP(T_進路入力[[#This Row],[学籍番号]]&amp;"○",T_進路入力[進路決定確認ワーク],1,FALSE),1),"")</f>
        <v>○</v>
      </c>
    </row>
    <row r="262" spans="1:12" ht="13.5" customHeight="1" x14ac:dyDescent="0.15">
      <c r="A262">
        <v>2404115</v>
      </c>
      <c r="B262" t="s">
        <v>7</v>
      </c>
      <c r="C262" t="s">
        <v>197</v>
      </c>
      <c r="D262" t="s">
        <v>566</v>
      </c>
      <c r="E262" t="s">
        <v>567</v>
      </c>
      <c r="F262" t="s">
        <v>325</v>
      </c>
      <c r="G262" s="10">
        <v>46004</v>
      </c>
      <c r="H262" s="11">
        <v>46013</v>
      </c>
      <c r="K262" t="str">
        <f>T_進路入力[[#This Row],[学籍番号]]&amp;T_進路入力[[#This Row],[進路決定]]</f>
        <v>2404115</v>
      </c>
      <c r="L262" s="36" t="str">
        <f>_xlfn.IFNA(RIGHT(VLOOKUP(T_進路入力[[#This Row],[学籍番号]]&amp;"○",T_進路入力[進路決定確認ワーク],1,FALSE),1),"")</f>
        <v>○</v>
      </c>
    </row>
    <row r="263" spans="1:12" ht="13.5" customHeight="1" x14ac:dyDescent="0.15">
      <c r="A263">
        <v>2404115</v>
      </c>
      <c r="B263" t="s">
        <v>7</v>
      </c>
      <c r="C263" t="s">
        <v>197</v>
      </c>
      <c r="D263" t="s">
        <v>569</v>
      </c>
      <c r="E263" t="s">
        <v>653</v>
      </c>
      <c r="F263" t="s">
        <v>304</v>
      </c>
      <c r="G263" s="10">
        <v>46015</v>
      </c>
      <c r="H263" s="11">
        <v>46017</v>
      </c>
      <c r="J263" t="s">
        <v>47</v>
      </c>
      <c r="K263" t="str">
        <f>T_進路入力[[#This Row],[学籍番号]]&amp;T_進路入力[[#This Row],[進路決定]]</f>
        <v>2404115○</v>
      </c>
      <c r="L263" s="36" t="str">
        <f>_xlfn.IFNA(RIGHT(VLOOKUP(T_進路入力[[#This Row],[学籍番号]]&amp;"○",T_進路入力[進路決定確認ワーク],1,FALSE),1),"")</f>
        <v>○</v>
      </c>
    </row>
    <row r="264" spans="1:12" ht="13.5" customHeight="1" x14ac:dyDescent="0.15">
      <c r="A264">
        <v>2404137</v>
      </c>
      <c r="B264" t="s">
        <v>7</v>
      </c>
      <c r="C264" t="s">
        <v>198</v>
      </c>
      <c r="D264" t="s">
        <v>338</v>
      </c>
      <c r="E264" t="s">
        <v>483</v>
      </c>
      <c r="F264" t="s">
        <v>325</v>
      </c>
      <c r="G264" s="10">
        <v>45960</v>
      </c>
      <c r="H264" s="11">
        <v>45968</v>
      </c>
      <c r="K264" t="str">
        <f>T_進路入力[[#This Row],[学籍番号]]&amp;T_進路入力[[#This Row],[進路決定]]</f>
        <v>2404137</v>
      </c>
      <c r="L264" s="36" t="str">
        <f>_xlfn.IFNA(RIGHT(VLOOKUP(T_進路入力[[#This Row],[学籍番号]]&amp;"○",T_進路入力[進路決定確認ワーク],1,FALSE),1),"")</f>
        <v>○</v>
      </c>
    </row>
    <row r="265" spans="1:12" ht="13.5" customHeight="1" x14ac:dyDescent="0.15">
      <c r="A265">
        <v>2404137</v>
      </c>
      <c r="B265" t="s">
        <v>7</v>
      </c>
      <c r="C265" t="s">
        <v>198</v>
      </c>
      <c r="D265" t="s">
        <v>646</v>
      </c>
      <c r="E265" t="s">
        <v>701</v>
      </c>
      <c r="F265" t="s">
        <v>325</v>
      </c>
      <c r="G265" s="10">
        <v>46032</v>
      </c>
      <c r="H265" s="11">
        <v>46036</v>
      </c>
      <c r="K265" t="str">
        <f>T_進路入力[[#This Row],[学籍番号]]&amp;T_進路入力[[#This Row],[進路決定]]</f>
        <v>2404137</v>
      </c>
      <c r="L265" s="36" t="str">
        <f>_xlfn.IFNA(RIGHT(VLOOKUP(T_進路入力[[#This Row],[学籍番号]]&amp;"○",T_進路入力[進路決定確認ワーク],1,FALSE),1),"")</f>
        <v>○</v>
      </c>
    </row>
    <row r="266" spans="1:12" ht="13.5" customHeight="1" x14ac:dyDescent="0.15">
      <c r="A266">
        <v>2404137</v>
      </c>
      <c r="B266" t="s">
        <v>7</v>
      </c>
      <c r="C266" t="s">
        <v>198</v>
      </c>
      <c r="D266" t="s">
        <v>22</v>
      </c>
      <c r="E266" t="s">
        <v>730</v>
      </c>
      <c r="F266" t="s">
        <v>304</v>
      </c>
      <c r="G266" s="10">
        <v>46053</v>
      </c>
      <c r="H266" s="11">
        <v>46063</v>
      </c>
      <c r="J266" t="s">
        <v>47</v>
      </c>
      <c r="K266" t="str">
        <f>T_進路入力[[#This Row],[学籍番号]]&amp;T_進路入力[[#This Row],[進路決定]]</f>
        <v>2404137○</v>
      </c>
      <c r="L266" s="36" t="str">
        <f>_xlfn.IFNA(RIGHT(VLOOKUP(T_進路入力[[#This Row],[学籍番号]]&amp;"○",T_進路入力[進路決定確認ワーク],1,FALSE),1),"")</f>
        <v>○</v>
      </c>
    </row>
    <row r="267" spans="1:12" ht="13.5" customHeight="1" x14ac:dyDescent="0.15">
      <c r="A267">
        <v>2404138</v>
      </c>
      <c r="B267" t="s">
        <v>7</v>
      </c>
      <c r="C267" t="s">
        <v>199</v>
      </c>
      <c r="D267" t="s">
        <v>398</v>
      </c>
      <c r="E267" t="s">
        <v>484</v>
      </c>
      <c r="F267" t="s">
        <v>325</v>
      </c>
      <c r="G267" s="10">
        <v>45944</v>
      </c>
      <c r="H267" s="11">
        <v>45952</v>
      </c>
      <c r="K267" t="str">
        <f>T_進路入力[[#This Row],[学籍番号]]&amp;T_進路入力[[#This Row],[進路決定]]</f>
        <v>2404138</v>
      </c>
      <c r="L267" s="36" t="str">
        <f>_xlfn.IFNA(RIGHT(VLOOKUP(T_進路入力[[#This Row],[学籍番号]]&amp;"○",T_進路入力[進路決定確認ワーク],1,FALSE),1),"")</f>
        <v>○</v>
      </c>
    </row>
    <row r="268" spans="1:12" ht="13.5" customHeight="1" x14ac:dyDescent="0.15">
      <c r="A268">
        <v>2404138</v>
      </c>
      <c r="B268" t="s">
        <v>7</v>
      </c>
      <c r="C268" t="s">
        <v>199</v>
      </c>
      <c r="D268" t="s">
        <v>566</v>
      </c>
      <c r="E268" t="s">
        <v>568</v>
      </c>
      <c r="F268" t="s">
        <v>304</v>
      </c>
      <c r="G268" s="10">
        <v>45688</v>
      </c>
      <c r="H268" s="11">
        <v>46062</v>
      </c>
      <c r="J268" t="s">
        <v>47</v>
      </c>
      <c r="K268" t="str">
        <f>T_進路入力[[#This Row],[学籍番号]]&amp;T_進路入力[[#This Row],[進路決定]]</f>
        <v>2404138○</v>
      </c>
      <c r="L268" s="36" t="str">
        <f>_xlfn.IFNA(RIGHT(VLOOKUP(T_進路入力[[#This Row],[学籍番号]]&amp;"○",T_進路入力[進路決定確認ワーク],1,FALSE),1),"")</f>
        <v>○</v>
      </c>
    </row>
    <row r="269" spans="1:12" ht="13.5" customHeight="1" x14ac:dyDescent="0.15">
      <c r="A269">
        <v>2404142</v>
      </c>
      <c r="B269" t="s">
        <v>7</v>
      </c>
      <c r="C269" t="s">
        <v>200</v>
      </c>
      <c r="D269" t="s">
        <v>365</v>
      </c>
      <c r="E269" t="s">
        <v>485</v>
      </c>
      <c r="F269" t="s">
        <v>325</v>
      </c>
      <c r="G269" s="10">
        <v>45835</v>
      </c>
      <c r="H269" s="11">
        <v>45849</v>
      </c>
      <c r="K269" t="str">
        <f>T_進路入力[[#This Row],[学籍番号]]&amp;T_進路入力[[#This Row],[進路決定]]</f>
        <v>2404142</v>
      </c>
      <c r="L269" s="36" t="str">
        <f>_xlfn.IFNA(RIGHT(VLOOKUP(T_進路入力[[#This Row],[学籍番号]]&amp;"○",T_進路入力[進路決定確認ワーク],1,FALSE),1),"")</f>
        <v>○</v>
      </c>
    </row>
    <row r="270" spans="1:12" ht="13.5" customHeight="1" x14ac:dyDescent="0.15">
      <c r="A270">
        <v>2404142</v>
      </c>
      <c r="B270" t="s">
        <v>7</v>
      </c>
      <c r="C270" t="s">
        <v>200</v>
      </c>
      <c r="D270" t="s">
        <v>331</v>
      </c>
      <c r="E270" t="s">
        <v>486</v>
      </c>
      <c r="F270" t="s">
        <v>304</v>
      </c>
      <c r="G270" s="10">
        <v>45876</v>
      </c>
      <c r="H270" s="11">
        <v>45889</v>
      </c>
      <c r="J270" t="s">
        <v>47</v>
      </c>
      <c r="K270" t="str">
        <f>T_進路入力[[#This Row],[学籍番号]]&amp;T_進路入力[[#This Row],[進路決定]]</f>
        <v>2404142○</v>
      </c>
      <c r="L270" s="36" t="str">
        <f>_xlfn.IFNA(RIGHT(VLOOKUP(T_進路入力[[#This Row],[学籍番号]]&amp;"○",T_進路入力[進路決定確認ワーク],1,FALSE),1),"")</f>
        <v>○</v>
      </c>
    </row>
    <row r="271" spans="1:12" ht="13.5" customHeight="1" x14ac:dyDescent="0.15">
      <c r="A271">
        <v>2404153</v>
      </c>
      <c r="B271" t="s">
        <v>7</v>
      </c>
      <c r="C271" t="s">
        <v>201</v>
      </c>
      <c r="D271" t="s">
        <v>365</v>
      </c>
      <c r="E271" t="s">
        <v>487</v>
      </c>
      <c r="F271" t="s">
        <v>304</v>
      </c>
      <c r="G271" s="11">
        <v>45934</v>
      </c>
      <c r="H271" s="11">
        <v>45938</v>
      </c>
      <c r="J271" t="s">
        <v>47</v>
      </c>
      <c r="K271" t="str">
        <f>T_進路入力[[#This Row],[学籍番号]]&amp;T_進路入力[[#This Row],[進路決定]]</f>
        <v>2404153○</v>
      </c>
      <c r="L271" s="36" t="str">
        <f>_xlfn.IFNA(RIGHT(VLOOKUP(T_進路入力[[#This Row],[学籍番号]]&amp;"○",T_進路入力[進路決定確認ワーク],1,FALSE),1),"")</f>
        <v>○</v>
      </c>
    </row>
    <row r="272" spans="1:12" ht="13.5" customHeight="1" x14ac:dyDescent="0.15">
      <c r="A272">
        <v>2404164</v>
      </c>
      <c r="B272" t="s">
        <v>7</v>
      </c>
      <c r="C272" t="s">
        <v>202</v>
      </c>
      <c r="D272" t="s">
        <v>365</v>
      </c>
      <c r="E272" t="s">
        <v>482</v>
      </c>
      <c r="F272" t="s">
        <v>304</v>
      </c>
      <c r="G272" s="10">
        <v>45854</v>
      </c>
      <c r="H272" s="11">
        <v>45880</v>
      </c>
      <c r="J272" t="s">
        <v>47</v>
      </c>
      <c r="K272" t="str">
        <f>T_進路入力[[#This Row],[学籍番号]]&amp;T_進路入力[[#This Row],[進路決定]]</f>
        <v>2404164○</v>
      </c>
      <c r="L272" s="36" t="str">
        <f>_xlfn.IFNA(RIGHT(VLOOKUP(T_進路入力[[#This Row],[学籍番号]]&amp;"○",T_進路入力[進路決定確認ワーク],1,FALSE),1),"")</f>
        <v>○</v>
      </c>
    </row>
    <row r="273" spans="1:12" ht="13.5" customHeight="1" x14ac:dyDescent="0.15">
      <c r="A273">
        <v>2404175</v>
      </c>
      <c r="B273" t="s">
        <v>7</v>
      </c>
      <c r="C273" t="s">
        <v>203</v>
      </c>
      <c r="D273" t="s">
        <v>331</v>
      </c>
      <c r="E273" t="s">
        <v>486</v>
      </c>
      <c r="F273" t="s">
        <v>304</v>
      </c>
      <c r="G273" s="11">
        <v>45889</v>
      </c>
      <c r="H273" s="11">
        <v>45930</v>
      </c>
      <c r="J273" t="s">
        <v>47</v>
      </c>
      <c r="K273" t="str">
        <f>T_進路入力[[#This Row],[学籍番号]]&amp;T_進路入力[[#This Row],[進路決定]]</f>
        <v>2404175○</v>
      </c>
      <c r="L273" s="36" t="str">
        <f>_xlfn.IFNA(RIGHT(VLOOKUP(T_進路入力[[#This Row],[学籍番号]]&amp;"○",T_進路入力[進路決定確認ワーク],1,FALSE),1),"")</f>
        <v>○</v>
      </c>
    </row>
    <row r="274" spans="1:12" ht="13.5" customHeight="1" x14ac:dyDescent="0.15">
      <c r="A274">
        <v>2404176</v>
      </c>
      <c r="B274" t="s">
        <v>7</v>
      </c>
      <c r="C274" t="s">
        <v>204</v>
      </c>
      <c r="D274" t="s">
        <v>399</v>
      </c>
      <c r="E274" t="s">
        <v>488</v>
      </c>
      <c r="F274" t="s">
        <v>304</v>
      </c>
      <c r="G274" s="10">
        <v>45876</v>
      </c>
      <c r="H274" s="11">
        <v>45891</v>
      </c>
      <c r="J274" t="s">
        <v>47</v>
      </c>
      <c r="K274" t="str">
        <f>T_進路入力[[#This Row],[学籍番号]]&amp;T_進路入力[[#This Row],[進路決定]]</f>
        <v>2404176○</v>
      </c>
      <c r="L274" s="36" t="str">
        <f>_xlfn.IFNA(RIGHT(VLOOKUP(T_進路入力[[#This Row],[学籍番号]]&amp;"○",T_進路入力[進路決定確認ワーク],1,FALSE),1),"")</f>
        <v>○</v>
      </c>
    </row>
    <row r="275" spans="1:12" ht="13.5" customHeight="1" x14ac:dyDescent="0.15">
      <c r="A275">
        <v>2404179</v>
      </c>
      <c r="B275" t="s">
        <v>7</v>
      </c>
      <c r="C275" t="s">
        <v>205</v>
      </c>
      <c r="D275" t="s">
        <v>331</v>
      </c>
      <c r="E275" t="s">
        <v>489</v>
      </c>
      <c r="F275" t="s">
        <v>304</v>
      </c>
      <c r="G275" s="11">
        <v>45889</v>
      </c>
      <c r="H275" s="11">
        <v>45930</v>
      </c>
      <c r="J275" t="s">
        <v>47</v>
      </c>
      <c r="K275" t="str">
        <f>T_進路入力[[#This Row],[学籍番号]]&amp;T_進路入力[[#This Row],[進路決定]]</f>
        <v>2404179○</v>
      </c>
      <c r="L275" s="36" t="str">
        <f>_xlfn.IFNA(RIGHT(VLOOKUP(T_進路入力[[#This Row],[学籍番号]]&amp;"○",T_進路入力[進路決定確認ワーク],1,FALSE),1),"")</f>
        <v>○</v>
      </c>
    </row>
    <row r="276" spans="1:12" ht="13.5" customHeight="1" x14ac:dyDescent="0.15">
      <c r="A276">
        <v>2407023</v>
      </c>
      <c r="B276" t="s">
        <v>7</v>
      </c>
      <c r="C276" t="s">
        <v>206</v>
      </c>
      <c r="D276" t="s">
        <v>394</v>
      </c>
      <c r="E276" t="s">
        <v>468</v>
      </c>
      <c r="F276" t="s">
        <v>304</v>
      </c>
      <c r="G276" s="10">
        <v>45997</v>
      </c>
      <c r="H276" s="11">
        <v>46003</v>
      </c>
      <c r="J276" t="s">
        <v>47</v>
      </c>
      <c r="K276" t="str">
        <f>T_進路入力[[#This Row],[学籍番号]]&amp;T_進路入力[[#This Row],[進路決定]]</f>
        <v>2407023○</v>
      </c>
      <c r="L276" s="36" t="str">
        <f>_xlfn.IFNA(RIGHT(VLOOKUP(T_進路入力[[#This Row],[学籍番号]]&amp;"○",T_進路入力[進路決定確認ワーク],1,FALSE),1),"")</f>
        <v>○</v>
      </c>
    </row>
    <row r="277" spans="1:12" ht="13.5" customHeight="1" x14ac:dyDescent="0.15">
      <c r="A277">
        <v>2407035</v>
      </c>
      <c r="B277" t="s">
        <v>7</v>
      </c>
      <c r="C277" t="s">
        <v>207</v>
      </c>
      <c r="D277" t="s">
        <v>417</v>
      </c>
      <c r="E277" t="s">
        <v>477</v>
      </c>
      <c r="F277" t="s">
        <v>321</v>
      </c>
      <c r="G277" s="10">
        <v>45868</v>
      </c>
      <c r="H277" s="11">
        <v>45896</v>
      </c>
      <c r="J277" t="s">
        <v>47</v>
      </c>
      <c r="K277" t="str">
        <f>T_進路入力[[#This Row],[学籍番号]]&amp;T_進路入力[[#This Row],[進路決定]]</f>
        <v>2407035○</v>
      </c>
      <c r="L277" s="36" t="str">
        <f>_xlfn.IFNA(RIGHT(VLOOKUP(T_進路入力[[#This Row],[学籍番号]]&amp;"○",T_進路入力[進路決定確認ワーク],1,FALSE),1),"")</f>
        <v>○</v>
      </c>
    </row>
    <row r="278" spans="1:12" ht="13.5" customHeight="1" x14ac:dyDescent="0.15">
      <c r="A278">
        <v>2407036</v>
      </c>
      <c r="B278" t="s">
        <v>7</v>
      </c>
      <c r="C278" t="s">
        <v>208</v>
      </c>
      <c r="D278" t="s">
        <v>394</v>
      </c>
      <c r="E278" t="s">
        <v>468</v>
      </c>
      <c r="F278" t="s">
        <v>304</v>
      </c>
      <c r="G278" s="10">
        <v>45997</v>
      </c>
      <c r="H278" s="11">
        <v>46003</v>
      </c>
      <c r="J278" t="s">
        <v>47</v>
      </c>
      <c r="K278" t="str">
        <f>T_進路入力[[#This Row],[学籍番号]]&amp;T_進路入力[[#This Row],[進路決定]]</f>
        <v>2407036○</v>
      </c>
      <c r="L278" s="36" t="str">
        <f>_xlfn.IFNA(RIGHT(VLOOKUP(T_進路入力[[#This Row],[学籍番号]]&amp;"○",T_進路入力[進路決定確認ワーク],1,FALSE),1),"")</f>
        <v>○</v>
      </c>
    </row>
    <row r="279" spans="1:12" ht="13.5" customHeight="1" x14ac:dyDescent="0.15">
      <c r="A279">
        <v>2407039</v>
      </c>
      <c r="B279" t="s">
        <v>7</v>
      </c>
      <c r="C279" t="s">
        <v>209</v>
      </c>
      <c r="D279" t="s">
        <v>394</v>
      </c>
      <c r="E279" t="s">
        <v>468</v>
      </c>
      <c r="F279" t="s">
        <v>304</v>
      </c>
      <c r="G279" s="10">
        <v>45997</v>
      </c>
      <c r="H279" s="11">
        <v>46003</v>
      </c>
      <c r="J279" t="s">
        <v>47</v>
      </c>
      <c r="K279" t="str">
        <f>T_進路入力[[#This Row],[学籍番号]]&amp;T_進路入力[[#This Row],[進路決定]]</f>
        <v>2407039○</v>
      </c>
      <c r="L279" s="36" t="str">
        <f>_xlfn.IFNA(RIGHT(VLOOKUP(T_進路入力[[#This Row],[学籍番号]]&amp;"○",T_進路入力[進路決定確認ワーク],1,FALSE),1),"")</f>
        <v>○</v>
      </c>
    </row>
    <row r="280" spans="1:12" ht="13.5" customHeight="1" x14ac:dyDescent="0.15">
      <c r="A280">
        <v>2404010</v>
      </c>
      <c r="B280" t="s">
        <v>12</v>
      </c>
      <c r="C280" t="s">
        <v>210</v>
      </c>
      <c r="D280" t="s">
        <v>387</v>
      </c>
      <c r="E280" t="s">
        <v>342</v>
      </c>
      <c r="F280" t="s">
        <v>353</v>
      </c>
      <c r="H280" s="11">
        <v>45865</v>
      </c>
      <c r="K280" t="str">
        <f>T_進路入力[[#This Row],[学籍番号]]&amp;T_進路入力[[#This Row],[進路決定]]</f>
        <v>2404010</v>
      </c>
      <c r="L280" s="36" t="str">
        <f>_xlfn.IFNA(RIGHT(VLOOKUP(T_進路入力[[#This Row],[学籍番号]]&amp;"○",T_進路入力[進路決定確認ワーク],1,FALSE),1),"")</f>
        <v>○</v>
      </c>
    </row>
    <row r="281" spans="1:12" ht="13.5" customHeight="1" x14ac:dyDescent="0.15">
      <c r="A281">
        <v>2404010</v>
      </c>
      <c r="B281" t="s">
        <v>12</v>
      </c>
      <c r="C281" t="s">
        <v>210</v>
      </c>
      <c r="D281" t="s">
        <v>385</v>
      </c>
      <c r="E281" t="s">
        <v>342</v>
      </c>
      <c r="F281" t="s">
        <v>321</v>
      </c>
      <c r="H281" s="11">
        <v>45912</v>
      </c>
      <c r="J281" t="s">
        <v>47</v>
      </c>
      <c r="K281" t="str">
        <f>T_進路入力[[#This Row],[学籍番号]]&amp;T_進路入力[[#This Row],[進路決定]]</f>
        <v>2404010○</v>
      </c>
      <c r="L281" s="36" t="str">
        <f>_xlfn.IFNA(RIGHT(VLOOKUP(T_進路入力[[#This Row],[学籍番号]]&amp;"○",T_進路入力[進路決定確認ワーク],1,FALSE),1),"")</f>
        <v>○</v>
      </c>
    </row>
    <row r="282" spans="1:12" ht="13.5" customHeight="1" x14ac:dyDescent="0.15">
      <c r="A282">
        <v>2404074</v>
      </c>
      <c r="B282" t="s">
        <v>12</v>
      </c>
      <c r="C282" t="s">
        <v>211</v>
      </c>
      <c r="D282" t="s">
        <v>365</v>
      </c>
      <c r="E282" t="s">
        <v>391</v>
      </c>
      <c r="F282" t="s">
        <v>353</v>
      </c>
      <c r="H282" s="11">
        <v>45938</v>
      </c>
      <c r="K282" t="str">
        <f>T_進路入力[[#This Row],[学籍番号]]&amp;T_進路入力[[#This Row],[進路決定]]</f>
        <v>2404074</v>
      </c>
      <c r="L282" s="36" t="str">
        <f>_xlfn.IFNA(RIGHT(VLOOKUP(T_進路入力[[#This Row],[学籍番号]]&amp;"○",T_進路入力[進路決定確認ワーク],1,FALSE),1),"")</f>
        <v>○</v>
      </c>
    </row>
    <row r="283" spans="1:12" ht="13.5" customHeight="1" x14ac:dyDescent="0.15">
      <c r="A283">
        <v>2404074</v>
      </c>
      <c r="B283" t="s">
        <v>12</v>
      </c>
      <c r="C283" t="s">
        <v>211</v>
      </c>
      <c r="D283" t="s">
        <v>365</v>
      </c>
      <c r="E283" t="s">
        <v>392</v>
      </c>
      <c r="F283" t="s">
        <v>325</v>
      </c>
      <c r="G283" s="10">
        <v>45970</v>
      </c>
      <c r="H283" s="11">
        <v>45973</v>
      </c>
      <c r="K283" t="str">
        <f>T_進路入力[[#This Row],[学籍番号]]&amp;T_進路入力[[#This Row],[進路決定]]</f>
        <v>2404074</v>
      </c>
      <c r="L283" s="36" t="str">
        <f>_xlfn.IFNA(RIGHT(VLOOKUP(T_進路入力[[#This Row],[学籍番号]]&amp;"○",T_進路入力[進路決定確認ワーク],1,FALSE),1),"")</f>
        <v>○</v>
      </c>
    </row>
    <row r="284" spans="1:12" ht="13.5" customHeight="1" x14ac:dyDescent="0.15">
      <c r="A284">
        <v>2404074</v>
      </c>
      <c r="B284" t="s">
        <v>12</v>
      </c>
      <c r="C284" t="s">
        <v>211</v>
      </c>
      <c r="D284" t="s">
        <v>515</v>
      </c>
      <c r="E284" t="s">
        <v>548</v>
      </c>
      <c r="F284" t="s">
        <v>325</v>
      </c>
      <c r="G284" s="10">
        <v>45975</v>
      </c>
      <c r="H284" s="11">
        <v>45982</v>
      </c>
      <c r="K284" t="str">
        <f>T_進路入力[[#This Row],[学籍番号]]&amp;T_進路入力[[#This Row],[進路決定]]</f>
        <v>2404074</v>
      </c>
      <c r="L284" s="36" t="str">
        <f>_xlfn.IFNA(RIGHT(VLOOKUP(T_進路入力[[#This Row],[学籍番号]]&amp;"○",T_進路入力[進路決定確認ワーク],1,FALSE),1),"")</f>
        <v>○</v>
      </c>
    </row>
    <row r="285" spans="1:12" ht="13.5" customHeight="1" x14ac:dyDescent="0.15">
      <c r="A285">
        <v>2404074</v>
      </c>
      <c r="B285" t="s">
        <v>12</v>
      </c>
      <c r="C285" t="s">
        <v>211</v>
      </c>
      <c r="D285" t="s">
        <v>558</v>
      </c>
      <c r="E285" t="s">
        <v>580</v>
      </c>
      <c r="F285" t="s">
        <v>325</v>
      </c>
      <c r="G285" s="10">
        <v>45997</v>
      </c>
      <c r="H285" s="11">
        <v>46003</v>
      </c>
      <c r="K285" t="str">
        <f>T_進路入力[[#This Row],[学籍番号]]&amp;T_進路入力[[#This Row],[進路決定]]</f>
        <v>2404074</v>
      </c>
      <c r="L285" s="36" t="str">
        <f>_xlfn.IFNA(RIGHT(VLOOKUP(T_進路入力[[#This Row],[学籍番号]]&amp;"○",T_進路入力[進路決定確認ワーク],1,FALSE),1),"")</f>
        <v>○</v>
      </c>
    </row>
    <row r="286" spans="1:12" ht="13.5" customHeight="1" x14ac:dyDescent="0.15">
      <c r="A286">
        <v>2404074</v>
      </c>
      <c r="B286" t="s">
        <v>12</v>
      </c>
      <c r="C286" t="s">
        <v>211</v>
      </c>
      <c r="D286" t="s">
        <v>608</v>
      </c>
      <c r="E286" t="s">
        <v>661</v>
      </c>
      <c r="F286" t="s">
        <v>304</v>
      </c>
      <c r="G286" s="10">
        <v>46015</v>
      </c>
      <c r="H286" s="10">
        <v>46015</v>
      </c>
      <c r="J286" t="s">
        <v>47</v>
      </c>
      <c r="K286" t="str">
        <f>T_進路入力[[#This Row],[学籍番号]]&amp;T_進路入力[[#This Row],[進路決定]]</f>
        <v>2404074○</v>
      </c>
      <c r="L286" s="36" t="str">
        <f>_xlfn.IFNA(RIGHT(VLOOKUP(T_進路入力[[#This Row],[学籍番号]]&amp;"○",T_進路入力[進路決定確認ワーク],1,FALSE),1),"")</f>
        <v>○</v>
      </c>
    </row>
    <row r="287" spans="1:12" ht="13.5" customHeight="1" x14ac:dyDescent="0.15">
      <c r="A287">
        <v>2404076</v>
      </c>
      <c r="B287" t="s">
        <v>12</v>
      </c>
      <c r="C287" t="s">
        <v>212</v>
      </c>
      <c r="D287" t="s">
        <v>361</v>
      </c>
      <c r="F287" t="s">
        <v>304</v>
      </c>
      <c r="G287" s="10">
        <v>45948</v>
      </c>
      <c r="H287" s="11">
        <v>45965</v>
      </c>
      <c r="J287" t="s">
        <v>47</v>
      </c>
      <c r="K287" t="str">
        <f>T_進路入力[[#This Row],[学籍番号]]&amp;T_進路入力[[#This Row],[進路決定]]</f>
        <v>2404076○</v>
      </c>
      <c r="L287" s="36" t="str">
        <f>_xlfn.IFNA(RIGHT(VLOOKUP(T_進路入力[[#This Row],[学籍番号]]&amp;"○",T_進路入力[進路決定確認ワーク],1,FALSE),1),"")</f>
        <v>○</v>
      </c>
    </row>
    <row r="288" spans="1:12" ht="13.5" customHeight="1" x14ac:dyDescent="0.15">
      <c r="A288">
        <v>2404086</v>
      </c>
      <c r="B288" t="s">
        <v>12</v>
      </c>
      <c r="C288" t="s">
        <v>213</v>
      </c>
      <c r="D288" t="s">
        <v>365</v>
      </c>
      <c r="E288" t="s">
        <v>342</v>
      </c>
      <c r="F288" t="s">
        <v>325</v>
      </c>
      <c r="H288" s="11">
        <v>45828</v>
      </c>
      <c r="K288" t="str">
        <f>T_進路入力[[#This Row],[学籍番号]]&amp;T_進路入力[[#This Row],[進路決定]]</f>
        <v>2404086</v>
      </c>
      <c r="L288" s="36" t="str">
        <f>_xlfn.IFNA(RIGHT(VLOOKUP(T_進路入力[[#This Row],[学籍番号]]&amp;"○",T_進路入力[進路決定確認ワーク],1,FALSE),1),"")</f>
        <v>○</v>
      </c>
    </row>
    <row r="289" spans="1:12" ht="13.5" customHeight="1" x14ac:dyDescent="0.15">
      <c r="A289">
        <v>2404086</v>
      </c>
      <c r="B289" t="s">
        <v>12</v>
      </c>
      <c r="C289" t="s">
        <v>213</v>
      </c>
      <c r="D289" t="s">
        <v>331</v>
      </c>
      <c r="F289" t="s">
        <v>321</v>
      </c>
      <c r="H289" s="11">
        <v>45889</v>
      </c>
      <c r="J289" t="s">
        <v>47</v>
      </c>
      <c r="K289" t="str">
        <f>T_進路入力[[#This Row],[学籍番号]]&amp;T_進路入力[[#This Row],[進路決定]]</f>
        <v>2404086○</v>
      </c>
      <c r="L289" s="36" t="str">
        <f>_xlfn.IFNA(RIGHT(VLOOKUP(T_進路入力[[#This Row],[学籍番号]]&amp;"○",T_進路入力[進路決定確認ワーク],1,FALSE),1),"")</f>
        <v>○</v>
      </c>
    </row>
    <row r="290" spans="1:12" ht="13.5" customHeight="1" x14ac:dyDescent="0.15">
      <c r="A290">
        <v>2404089</v>
      </c>
      <c r="B290" t="s">
        <v>12</v>
      </c>
      <c r="C290" t="s">
        <v>214</v>
      </c>
      <c r="D290" t="s">
        <v>390</v>
      </c>
      <c r="E290" t="s">
        <v>342</v>
      </c>
      <c r="F290" t="s">
        <v>321</v>
      </c>
      <c r="H290" s="11">
        <v>45827</v>
      </c>
      <c r="J290" t="s">
        <v>47</v>
      </c>
      <c r="K290" t="str">
        <f>T_進路入力[[#This Row],[学籍番号]]&amp;T_進路入力[[#This Row],[進路決定]]</f>
        <v>2404089○</v>
      </c>
      <c r="L290" s="36" t="str">
        <f>_xlfn.IFNA(RIGHT(VLOOKUP(T_進路入力[[#This Row],[学籍番号]]&amp;"○",T_進路入力[進路決定確認ワーク],1,FALSE),1),"")</f>
        <v>○</v>
      </c>
    </row>
    <row r="291" spans="1:12" ht="13.5" customHeight="1" x14ac:dyDescent="0.15">
      <c r="A291">
        <v>2404092</v>
      </c>
      <c r="B291" t="s">
        <v>12</v>
      </c>
      <c r="C291" t="s">
        <v>215</v>
      </c>
      <c r="D291" t="s">
        <v>360</v>
      </c>
      <c r="E291" t="s">
        <v>435</v>
      </c>
      <c r="F291" t="s">
        <v>304</v>
      </c>
      <c r="G291" s="10">
        <v>45941</v>
      </c>
      <c r="H291" s="11">
        <v>45962</v>
      </c>
      <c r="J291" t="s">
        <v>47</v>
      </c>
      <c r="K291" t="str">
        <f>T_進路入力[[#This Row],[学籍番号]]&amp;T_進路入力[[#This Row],[進路決定]]</f>
        <v>2404092○</v>
      </c>
      <c r="L291" s="36" t="str">
        <f>_xlfn.IFNA(RIGHT(VLOOKUP(T_進路入力[[#This Row],[学籍番号]]&amp;"○",T_進路入力[進路決定確認ワーク],1,FALSE),1),"")</f>
        <v>○</v>
      </c>
    </row>
    <row r="292" spans="1:12" ht="13.5" customHeight="1" x14ac:dyDescent="0.15">
      <c r="A292">
        <v>2404117</v>
      </c>
      <c r="B292" t="s">
        <v>12</v>
      </c>
      <c r="C292" t="s">
        <v>216</v>
      </c>
      <c r="D292" t="s">
        <v>389</v>
      </c>
      <c r="E292" t="s">
        <v>368</v>
      </c>
      <c r="F292" t="s">
        <v>304</v>
      </c>
      <c r="H292" s="11">
        <v>45901</v>
      </c>
      <c r="J292" t="s">
        <v>47</v>
      </c>
      <c r="K292" t="str">
        <f>T_進路入力[[#This Row],[学籍番号]]&amp;T_進路入力[[#This Row],[進路決定]]</f>
        <v>2404117○</v>
      </c>
      <c r="L292" s="36" t="str">
        <f>_xlfn.IFNA(RIGHT(VLOOKUP(T_進路入力[[#This Row],[学籍番号]]&amp;"○",T_進路入力[進路決定確認ワーク],1,FALSE),1),"")</f>
        <v>○</v>
      </c>
    </row>
    <row r="293" spans="1:12" ht="13.5" customHeight="1" x14ac:dyDescent="0.15">
      <c r="A293">
        <v>2404118</v>
      </c>
      <c r="B293" t="s">
        <v>12</v>
      </c>
      <c r="C293" t="s">
        <v>217</v>
      </c>
      <c r="D293" t="s">
        <v>361</v>
      </c>
      <c r="F293" t="s">
        <v>304</v>
      </c>
      <c r="G293" s="10">
        <v>45948</v>
      </c>
      <c r="H293" s="11">
        <v>45965</v>
      </c>
      <c r="J293" t="s">
        <v>47</v>
      </c>
      <c r="K293" t="str">
        <f>T_進路入力[[#This Row],[学籍番号]]&amp;T_進路入力[[#This Row],[進路決定]]</f>
        <v>2404118○</v>
      </c>
      <c r="L293" s="36" t="str">
        <f>_xlfn.IFNA(RIGHT(VLOOKUP(T_進路入力[[#This Row],[学籍番号]]&amp;"○",T_進路入力[進路決定確認ワーク],1,FALSE),1),"")</f>
        <v>○</v>
      </c>
    </row>
    <row r="294" spans="1:12" ht="13.5" customHeight="1" x14ac:dyDescent="0.15">
      <c r="A294">
        <v>2404123</v>
      </c>
      <c r="B294" t="s">
        <v>12</v>
      </c>
      <c r="C294" t="s">
        <v>218</v>
      </c>
      <c r="D294" t="s">
        <v>48</v>
      </c>
      <c r="E294" t="s">
        <v>419</v>
      </c>
      <c r="F294" t="s">
        <v>304</v>
      </c>
      <c r="H294" s="11">
        <v>45933</v>
      </c>
      <c r="J294" t="s">
        <v>47</v>
      </c>
      <c r="K294" t="str">
        <f>T_進路入力[[#This Row],[学籍番号]]&amp;T_進路入力[[#This Row],[進路決定]]</f>
        <v>2404123○</v>
      </c>
      <c r="L294" s="36" t="str">
        <f>_xlfn.IFNA(RIGHT(VLOOKUP(T_進路入力[[#This Row],[学籍番号]]&amp;"○",T_進路入力[進路決定確認ワーク],1,FALSE),1),"")</f>
        <v>○</v>
      </c>
    </row>
    <row r="295" spans="1:12" ht="13.5" customHeight="1" x14ac:dyDescent="0.15">
      <c r="A295">
        <v>2404124</v>
      </c>
      <c r="B295" t="s">
        <v>12</v>
      </c>
      <c r="C295" t="s">
        <v>219</v>
      </c>
      <c r="D295" t="s">
        <v>48</v>
      </c>
      <c r="E295" t="s">
        <v>419</v>
      </c>
      <c r="F295" t="s">
        <v>325</v>
      </c>
      <c r="H295" s="11">
        <v>45933</v>
      </c>
      <c r="K295" t="str">
        <f>T_進路入力[[#This Row],[学籍番号]]&amp;T_進路入力[[#This Row],[進路決定]]</f>
        <v>2404124</v>
      </c>
      <c r="L295" s="36" t="str">
        <f>_xlfn.IFNA(RIGHT(VLOOKUP(T_進路入力[[#This Row],[学籍番号]]&amp;"○",T_進路入力[進路決定確認ワーク],1,FALSE),1),"")</f>
        <v>○</v>
      </c>
    </row>
    <row r="296" spans="1:12" ht="13.5" customHeight="1" x14ac:dyDescent="0.15">
      <c r="A296">
        <v>2404124</v>
      </c>
      <c r="B296" t="s">
        <v>12</v>
      </c>
      <c r="C296" t="s">
        <v>219</v>
      </c>
      <c r="D296" t="s">
        <v>365</v>
      </c>
      <c r="E296" t="s">
        <v>388</v>
      </c>
      <c r="F296" t="s">
        <v>325</v>
      </c>
      <c r="G296" s="10">
        <v>45955</v>
      </c>
      <c r="H296" s="11">
        <v>45959</v>
      </c>
      <c r="K296" t="str">
        <f>T_進路入力[[#This Row],[学籍番号]]&amp;T_進路入力[[#This Row],[進路決定]]</f>
        <v>2404124</v>
      </c>
      <c r="L296" s="36" t="str">
        <f>_xlfn.IFNA(RIGHT(VLOOKUP(T_進路入力[[#This Row],[学籍番号]]&amp;"○",T_進路入力[進路決定確認ワーク],1,FALSE),1),"")</f>
        <v>○</v>
      </c>
    </row>
    <row r="297" spans="1:12" ht="13.5" customHeight="1" x14ac:dyDescent="0.15">
      <c r="A297">
        <v>2404124</v>
      </c>
      <c r="B297" t="s">
        <v>12</v>
      </c>
      <c r="C297" t="s">
        <v>219</v>
      </c>
      <c r="D297" t="s">
        <v>344</v>
      </c>
      <c r="E297" t="s">
        <v>392</v>
      </c>
      <c r="F297" t="s">
        <v>325</v>
      </c>
      <c r="G297" s="10">
        <v>45970</v>
      </c>
      <c r="H297" s="11">
        <v>45973</v>
      </c>
      <c r="K297" t="str">
        <f>T_進路入力[[#This Row],[学籍番号]]&amp;T_進路入力[[#This Row],[進路決定]]</f>
        <v>2404124</v>
      </c>
      <c r="L297" s="36" t="str">
        <f>_xlfn.IFNA(RIGHT(VLOOKUP(T_進路入力[[#This Row],[学籍番号]]&amp;"○",T_進路入力[進路決定確認ワーク],1,FALSE),1),"")</f>
        <v>○</v>
      </c>
    </row>
    <row r="298" spans="1:12" ht="13.5" customHeight="1" x14ac:dyDescent="0.15">
      <c r="A298">
        <v>2404124</v>
      </c>
      <c r="B298" t="s">
        <v>12</v>
      </c>
      <c r="C298" t="s">
        <v>219</v>
      </c>
      <c r="D298" t="s">
        <v>515</v>
      </c>
      <c r="E298" t="s">
        <v>548</v>
      </c>
      <c r="F298" t="s">
        <v>304</v>
      </c>
      <c r="G298" s="10">
        <v>45975</v>
      </c>
      <c r="H298" s="11">
        <v>45982</v>
      </c>
      <c r="J298" t="s">
        <v>47</v>
      </c>
      <c r="K298" t="str">
        <f>T_進路入力[[#This Row],[学籍番号]]&amp;T_進路入力[[#This Row],[進路決定]]</f>
        <v>2404124○</v>
      </c>
      <c r="L298" s="36" t="str">
        <f>_xlfn.IFNA(RIGHT(VLOOKUP(T_進路入力[[#This Row],[学籍番号]]&amp;"○",T_進路入力[進路決定確認ワーク],1,FALSE),1),"")</f>
        <v>○</v>
      </c>
    </row>
    <row r="299" spans="1:12" ht="13.5" customHeight="1" x14ac:dyDescent="0.15">
      <c r="A299">
        <v>2404124</v>
      </c>
      <c r="B299" t="s">
        <v>12</v>
      </c>
      <c r="C299" t="s">
        <v>219</v>
      </c>
      <c r="D299" t="s">
        <v>500</v>
      </c>
      <c r="E299" t="s">
        <v>501</v>
      </c>
      <c r="F299" t="s">
        <v>317</v>
      </c>
      <c r="G299" s="10">
        <v>45976</v>
      </c>
      <c r="H299" s="11">
        <v>45986</v>
      </c>
      <c r="K299" t="str">
        <f>T_進路入力[[#This Row],[学籍番号]]&amp;T_進路入力[[#This Row],[進路決定]]</f>
        <v>2404124</v>
      </c>
      <c r="L299" s="36" t="str">
        <f>_xlfn.IFNA(RIGHT(VLOOKUP(T_進路入力[[#This Row],[学籍番号]]&amp;"○",T_進路入力[進路決定確認ワーク],1,FALSE),1),"")</f>
        <v>○</v>
      </c>
    </row>
    <row r="300" spans="1:12" ht="13.5" customHeight="1" x14ac:dyDescent="0.15">
      <c r="A300">
        <v>2404131</v>
      </c>
      <c r="B300" t="s">
        <v>12</v>
      </c>
      <c r="C300" t="s">
        <v>220</v>
      </c>
      <c r="D300" t="s">
        <v>360</v>
      </c>
      <c r="E300" t="s">
        <v>435</v>
      </c>
      <c r="F300" t="s">
        <v>304</v>
      </c>
      <c r="G300" s="10">
        <v>45941</v>
      </c>
      <c r="H300" s="11">
        <v>45962</v>
      </c>
      <c r="J300" t="s">
        <v>47</v>
      </c>
      <c r="K300" t="str">
        <f>T_進路入力[[#This Row],[学籍番号]]&amp;T_進路入力[[#This Row],[進路決定]]</f>
        <v>2404131○</v>
      </c>
      <c r="L300" s="36" t="str">
        <f>_xlfn.IFNA(RIGHT(VLOOKUP(T_進路入力[[#This Row],[学籍番号]]&amp;"○",T_進路入力[進路決定確認ワーク],1,FALSE),1),"")</f>
        <v>○</v>
      </c>
    </row>
    <row r="301" spans="1:12" ht="13.5" customHeight="1" x14ac:dyDescent="0.15">
      <c r="A301">
        <v>2404132</v>
      </c>
      <c r="B301" t="s">
        <v>12</v>
      </c>
      <c r="C301" t="s">
        <v>221</v>
      </c>
      <c r="D301" t="s">
        <v>48</v>
      </c>
      <c r="E301" t="s">
        <v>420</v>
      </c>
      <c r="F301" t="s">
        <v>304</v>
      </c>
      <c r="H301" s="11">
        <v>45933</v>
      </c>
      <c r="J301" t="s">
        <v>47</v>
      </c>
      <c r="K301" t="str">
        <f>T_進路入力[[#This Row],[学籍番号]]&amp;T_進路入力[[#This Row],[進路決定]]</f>
        <v>2404132○</v>
      </c>
      <c r="L301" s="36" t="str">
        <f>_xlfn.IFNA(RIGHT(VLOOKUP(T_進路入力[[#This Row],[学籍番号]]&amp;"○",T_進路入力[進路決定確認ワーク],1,FALSE),1),"")</f>
        <v>○</v>
      </c>
    </row>
    <row r="302" spans="1:12" ht="13.5" customHeight="1" x14ac:dyDescent="0.15">
      <c r="A302">
        <v>2404145</v>
      </c>
      <c r="B302" t="s">
        <v>12</v>
      </c>
      <c r="C302" t="s">
        <v>222</v>
      </c>
      <c r="D302" t="s">
        <v>331</v>
      </c>
      <c r="F302" t="s">
        <v>304</v>
      </c>
      <c r="H302" s="10">
        <v>45889</v>
      </c>
      <c r="J302" t="s">
        <v>47</v>
      </c>
      <c r="K302" t="str">
        <f>T_進路入力[[#This Row],[学籍番号]]&amp;T_進路入力[[#This Row],[進路決定]]</f>
        <v>2404145○</v>
      </c>
      <c r="L302" s="36" t="str">
        <f>_xlfn.IFNA(RIGHT(VLOOKUP(T_進路入力[[#This Row],[学籍番号]]&amp;"○",T_進路入力[進路決定確認ワーク],1,FALSE),1),"")</f>
        <v>○</v>
      </c>
    </row>
    <row r="303" spans="1:12" ht="13.5" customHeight="1" x14ac:dyDescent="0.15">
      <c r="A303">
        <v>2404150</v>
      </c>
      <c r="B303" t="s">
        <v>12</v>
      </c>
      <c r="C303" t="s">
        <v>223</v>
      </c>
      <c r="D303" t="s">
        <v>331</v>
      </c>
      <c r="E303" t="s">
        <v>342</v>
      </c>
      <c r="F303" t="s">
        <v>353</v>
      </c>
      <c r="H303" s="10">
        <v>45889</v>
      </c>
      <c r="K303" t="str">
        <f>T_進路入力[[#This Row],[学籍番号]]&amp;T_進路入力[[#This Row],[進路決定]]</f>
        <v>2404150</v>
      </c>
      <c r="L303" s="36" t="str">
        <f>_xlfn.IFNA(RIGHT(VLOOKUP(T_進路入力[[#This Row],[学籍番号]]&amp;"○",T_進路入力[進路決定確認ワーク],1,FALSE),1),"")</f>
        <v>○</v>
      </c>
    </row>
    <row r="304" spans="1:12" ht="13.5" customHeight="1" x14ac:dyDescent="0.15">
      <c r="A304">
        <v>2404150</v>
      </c>
      <c r="B304" t="s">
        <v>12</v>
      </c>
      <c r="C304" t="s">
        <v>223</v>
      </c>
      <c r="D304" t="s">
        <v>385</v>
      </c>
      <c r="E304" t="s">
        <v>342</v>
      </c>
      <c r="F304" t="s">
        <v>353</v>
      </c>
      <c r="G304" s="10">
        <v>45933</v>
      </c>
      <c r="H304" s="11"/>
      <c r="K304" t="str">
        <f>T_進路入力[[#This Row],[学籍番号]]&amp;T_進路入力[[#This Row],[進路決定]]</f>
        <v>2404150</v>
      </c>
      <c r="L304" s="36" t="str">
        <f>_xlfn.IFNA(RIGHT(VLOOKUP(T_進路入力[[#This Row],[学籍番号]]&amp;"○",T_進路入力[進路決定確認ワーク],1,FALSE),1),"")</f>
        <v>○</v>
      </c>
    </row>
    <row r="305" spans="1:12" ht="13.5" customHeight="1" x14ac:dyDescent="0.15">
      <c r="A305">
        <v>2404150</v>
      </c>
      <c r="B305" t="s">
        <v>12</v>
      </c>
      <c r="C305" t="s">
        <v>223</v>
      </c>
      <c r="D305" t="s">
        <v>412</v>
      </c>
      <c r="E305" t="s">
        <v>581</v>
      </c>
      <c r="F305" t="s">
        <v>304</v>
      </c>
      <c r="G305" s="10">
        <v>45990</v>
      </c>
      <c r="H305" s="11">
        <v>45999</v>
      </c>
      <c r="J305" t="s">
        <v>2</v>
      </c>
      <c r="K305" t="str">
        <f>T_進路入力[[#This Row],[学籍番号]]&amp;T_進路入力[[#This Row],[進路決定]]</f>
        <v>2404150○</v>
      </c>
      <c r="L305" s="36" t="str">
        <f>_xlfn.IFNA(RIGHT(VLOOKUP(T_進路入力[[#This Row],[学籍番号]]&amp;"○",T_進路入力[進路決定確認ワーク],1,FALSE),1),"")</f>
        <v>○</v>
      </c>
    </row>
    <row r="306" spans="1:12" ht="13.5" customHeight="1" x14ac:dyDescent="0.15">
      <c r="A306">
        <v>2404151</v>
      </c>
      <c r="B306" t="s">
        <v>12</v>
      </c>
      <c r="C306" t="s">
        <v>224</v>
      </c>
      <c r="D306" t="s">
        <v>387</v>
      </c>
      <c r="E306" t="s">
        <v>342</v>
      </c>
      <c r="F306" t="s">
        <v>321</v>
      </c>
      <c r="G306" s="10"/>
      <c r="H306" s="10">
        <v>45926</v>
      </c>
      <c r="J306" t="s">
        <v>47</v>
      </c>
      <c r="K306" t="str">
        <f>T_進路入力[[#This Row],[学籍番号]]&amp;T_進路入力[[#This Row],[進路決定]]</f>
        <v>2404151○</v>
      </c>
      <c r="L306" s="36" t="str">
        <f>_xlfn.IFNA(RIGHT(VLOOKUP(T_進路入力[[#This Row],[学籍番号]]&amp;"○",T_進路入力[進路決定確認ワーク],1,FALSE),1),"")</f>
        <v>○</v>
      </c>
    </row>
    <row r="307" spans="1:12" ht="13.5" customHeight="1" x14ac:dyDescent="0.15">
      <c r="A307">
        <v>2404156</v>
      </c>
      <c r="B307" t="s">
        <v>12</v>
      </c>
      <c r="C307" t="s">
        <v>225</v>
      </c>
      <c r="D307" t="s">
        <v>387</v>
      </c>
      <c r="E307" t="s">
        <v>342</v>
      </c>
      <c r="F307" t="s">
        <v>353</v>
      </c>
      <c r="G307" s="10">
        <v>45887</v>
      </c>
      <c r="H307" s="11"/>
      <c r="K307" t="str">
        <f>T_進路入力[[#This Row],[学籍番号]]&amp;T_進路入力[[#This Row],[進路決定]]</f>
        <v>2404156</v>
      </c>
      <c r="L307" s="36" t="str">
        <f>_xlfn.IFNA(RIGHT(VLOOKUP(T_進路入力[[#This Row],[学籍番号]]&amp;"○",T_進路入力[進路決定確認ワーク],1,FALSE),1),"")</f>
        <v>○</v>
      </c>
    </row>
    <row r="308" spans="1:12" ht="13.5" customHeight="1" x14ac:dyDescent="0.15">
      <c r="A308">
        <v>2404156</v>
      </c>
      <c r="B308" t="s">
        <v>12</v>
      </c>
      <c r="C308" t="s">
        <v>225</v>
      </c>
      <c r="D308" t="s">
        <v>385</v>
      </c>
      <c r="E308" t="s">
        <v>342</v>
      </c>
      <c r="F308" t="s">
        <v>304</v>
      </c>
      <c r="H308" s="11">
        <v>45933</v>
      </c>
      <c r="J308" t="s">
        <v>2</v>
      </c>
      <c r="K308" t="str">
        <f>T_進路入力[[#This Row],[学籍番号]]&amp;T_進路入力[[#This Row],[進路決定]]</f>
        <v>2404156○</v>
      </c>
      <c r="L308" s="36" t="str">
        <f>_xlfn.IFNA(RIGHT(VLOOKUP(T_進路入力[[#This Row],[学籍番号]]&amp;"○",T_進路入力[進路決定確認ワーク],1,FALSE),1),"")</f>
        <v>○</v>
      </c>
    </row>
    <row r="309" spans="1:12" ht="13.5" customHeight="1" x14ac:dyDescent="0.15">
      <c r="A309">
        <v>2404166</v>
      </c>
      <c r="B309" t="s">
        <v>12</v>
      </c>
      <c r="C309" t="s">
        <v>226</v>
      </c>
      <c r="D309" t="s">
        <v>322</v>
      </c>
      <c r="F309" t="s">
        <v>304</v>
      </c>
      <c r="H309" s="11">
        <v>45965</v>
      </c>
      <c r="J309" t="s">
        <v>47</v>
      </c>
      <c r="K309" t="str">
        <f>T_進路入力[[#This Row],[学籍番号]]&amp;T_進路入力[[#This Row],[進路決定]]</f>
        <v>2404166○</v>
      </c>
      <c r="L309" s="36" t="str">
        <f>_xlfn.IFNA(RIGHT(VLOOKUP(T_進路入力[[#This Row],[学籍番号]]&amp;"○",T_進路入力[進路決定確認ワーク],1,FALSE),1),"")</f>
        <v>○</v>
      </c>
    </row>
    <row r="310" spans="1:12" ht="13.5" customHeight="1" x14ac:dyDescent="0.15">
      <c r="A310">
        <v>2404169</v>
      </c>
      <c r="B310" t="s">
        <v>12</v>
      </c>
      <c r="C310" t="s">
        <v>227</v>
      </c>
      <c r="D310" t="s">
        <v>359</v>
      </c>
      <c r="E310" t="s">
        <v>561</v>
      </c>
      <c r="F310" t="s">
        <v>325</v>
      </c>
      <c r="G310" s="10">
        <v>45951</v>
      </c>
      <c r="H310" s="11">
        <v>45962</v>
      </c>
      <c r="K310" t="str">
        <f>T_進路入力[[#This Row],[学籍番号]]&amp;T_進路入力[[#This Row],[進路決定]]</f>
        <v>2404169</v>
      </c>
      <c r="L310" s="36" t="str">
        <f>_xlfn.IFNA(RIGHT(VLOOKUP(T_進路入力[[#This Row],[学籍番号]]&amp;"○",T_進路入力[進路決定確認ワーク],1,FALSE),1),"")</f>
        <v>○</v>
      </c>
    </row>
    <row r="311" spans="1:12" ht="13.5" customHeight="1" x14ac:dyDescent="0.15">
      <c r="A311">
        <v>2404169</v>
      </c>
      <c r="B311" t="s">
        <v>12</v>
      </c>
      <c r="C311" t="s">
        <v>227</v>
      </c>
      <c r="D311" t="s">
        <v>393</v>
      </c>
      <c r="F311" t="s">
        <v>304</v>
      </c>
      <c r="G311" s="10">
        <v>46006</v>
      </c>
      <c r="H311" s="11">
        <v>46013</v>
      </c>
      <c r="J311" t="s">
        <v>47</v>
      </c>
      <c r="K311" t="str">
        <f>T_進路入力[[#This Row],[学籍番号]]&amp;T_進路入力[[#This Row],[進路決定]]</f>
        <v>2404169○</v>
      </c>
      <c r="L311" s="36" t="str">
        <f>_xlfn.IFNA(RIGHT(VLOOKUP(T_進路入力[[#This Row],[学籍番号]]&amp;"○",T_進路入力[進路決定確認ワーク],1,FALSE),1),"")</f>
        <v>○</v>
      </c>
    </row>
    <row r="312" spans="1:12" ht="13.5" customHeight="1" x14ac:dyDescent="0.15">
      <c r="A312">
        <v>2404178</v>
      </c>
      <c r="B312" t="s">
        <v>12</v>
      </c>
      <c r="C312" t="s">
        <v>228</v>
      </c>
      <c r="D312" t="s">
        <v>331</v>
      </c>
      <c r="F312" t="s">
        <v>304</v>
      </c>
      <c r="H312" s="11">
        <v>45889</v>
      </c>
      <c r="J312" t="s">
        <v>47</v>
      </c>
      <c r="K312" t="str">
        <f>T_進路入力[[#This Row],[学籍番号]]&amp;T_進路入力[[#This Row],[進路決定]]</f>
        <v>2404178○</v>
      </c>
      <c r="L312" s="36" t="str">
        <f>_xlfn.IFNA(RIGHT(VLOOKUP(T_進路入力[[#This Row],[学籍番号]]&amp;"○",T_進路入力[進路決定確認ワーク],1,FALSE),1),"")</f>
        <v>○</v>
      </c>
    </row>
    <row r="313" spans="1:12" ht="13.5" customHeight="1" x14ac:dyDescent="0.15">
      <c r="A313">
        <v>2404181</v>
      </c>
      <c r="B313" t="s">
        <v>12</v>
      </c>
      <c r="C313" t="s">
        <v>229</v>
      </c>
      <c r="D313" t="s">
        <v>365</v>
      </c>
      <c r="F313" t="s">
        <v>325</v>
      </c>
      <c r="H313" s="11">
        <v>45835</v>
      </c>
      <c r="K313" t="str">
        <f>T_進路入力[[#This Row],[学籍番号]]&amp;T_進路入力[[#This Row],[進路決定]]</f>
        <v>2404181</v>
      </c>
      <c r="L313" s="36" t="str">
        <f>_xlfn.IFNA(RIGHT(VLOOKUP(T_進路入力[[#This Row],[学籍番号]]&amp;"○",T_進路入力[進路決定確認ワーク],1,FALSE),1),"")</f>
        <v>○</v>
      </c>
    </row>
    <row r="314" spans="1:12" ht="13.5" customHeight="1" x14ac:dyDescent="0.15">
      <c r="A314">
        <v>2404181</v>
      </c>
      <c r="B314" t="s">
        <v>12</v>
      </c>
      <c r="C314" t="s">
        <v>229</v>
      </c>
      <c r="D314" t="s">
        <v>386</v>
      </c>
      <c r="F314" t="s">
        <v>325</v>
      </c>
      <c r="H314" s="11">
        <v>45926</v>
      </c>
      <c r="K314" t="str">
        <f>T_進路入力[[#This Row],[学籍番号]]&amp;T_進路入力[[#This Row],[進路決定]]</f>
        <v>2404181</v>
      </c>
      <c r="L314" s="36" t="str">
        <f>_xlfn.IFNA(RIGHT(VLOOKUP(T_進路入力[[#This Row],[学籍番号]]&amp;"○",T_進路入力[進路決定確認ワーク],1,FALSE),1),"")</f>
        <v>○</v>
      </c>
    </row>
    <row r="315" spans="1:12" ht="13.5" customHeight="1" x14ac:dyDescent="0.15">
      <c r="A315">
        <v>2404181</v>
      </c>
      <c r="B315" t="s">
        <v>12</v>
      </c>
      <c r="C315" t="s">
        <v>229</v>
      </c>
      <c r="D315" t="s">
        <v>385</v>
      </c>
      <c r="E315" t="s">
        <v>342</v>
      </c>
      <c r="F315" t="s">
        <v>304</v>
      </c>
      <c r="H315" s="11">
        <v>45938</v>
      </c>
      <c r="J315" t="s">
        <v>47</v>
      </c>
      <c r="K315" t="str">
        <f>T_進路入力[[#This Row],[学籍番号]]&amp;T_進路入力[[#This Row],[進路決定]]</f>
        <v>2404181○</v>
      </c>
      <c r="L315" s="36" t="str">
        <f>_xlfn.IFNA(RIGHT(VLOOKUP(T_進路入力[[#This Row],[学籍番号]]&amp;"○",T_進路入力[進路決定確認ワーク],1,FALSE),1),"")</f>
        <v>○</v>
      </c>
    </row>
    <row r="316" spans="1:12" ht="13.5" customHeight="1" x14ac:dyDescent="0.15">
      <c r="A316">
        <v>2404035</v>
      </c>
      <c r="B316" t="s">
        <v>13</v>
      </c>
      <c r="C316" t="s">
        <v>230</v>
      </c>
      <c r="D316" t="s">
        <v>365</v>
      </c>
      <c r="E316" t="s">
        <v>494</v>
      </c>
      <c r="F316" t="s">
        <v>321</v>
      </c>
      <c r="G316" s="10">
        <v>45922</v>
      </c>
      <c r="H316" s="11">
        <v>45936</v>
      </c>
      <c r="J316" t="s">
        <v>47</v>
      </c>
      <c r="K316" t="str">
        <f>T_進路入力[[#This Row],[学籍番号]]&amp;T_進路入力[[#This Row],[進路決定]]</f>
        <v>2404035○</v>
      </c>
      <c r="L316" s="36" t="str">
        <f>_xlfn.IFNA(RIGHT(VLOOKUP(T_進路入力[[#This Row],[学籍番号]]&amp;"○",T_進路入力[進路決定確認ワーク],1,FALSE),1),"")</f>
        <v>○</v>
      </c>
    </row>
    <row r="317" spans="1:12" ht="13.5" customHeight="1" x14ac:dyDescent="0.15">
      <c r="A317">
        <v>2404056</v>
      </c>
      <c r="B317" t="s">
        <v>13</v>
      </c>
      <c r="C317" t="s">
        <v>231</v>
      </c>
      <c r="D317" t="s">
        <v>48</v>
      </c>
      <c r="E317" t="s">
        <v>493</v>
      </c>
      <c r="F317" t="s">
        <v>321</v>
      </c>
      <c r="G317" s="10">
        <v>45927</v>
      </c>
      <c r="H317" s="11">
        <v>45933</v>
      </c>
      <c r="J317" t="s">
        <v>47</v>
      </c>
      <c r="K317" t="str">
        <f>T_進路入力[[#This Row],[学籍番号]]&amp;T_進路入力[[#This Row],[進路決定]]</f>
        <v>2404056○</v>
      </c>
      <c r="L317" s="36" t="str">
        <f>_xlfn.IFNA(RIGHT(VLOOKUP(T_進路入力[[#This Row],[学籍番号]]&amp;"○",T_進路入力[進路決定確認ワーク],1,FALSE),1),"")</f>
        <v>○</v>
      </c>
    </row>
    <row r="318" spans="1:12" ht="13.5" customHeight="1" x14ac:dyDescent="0.15">
      <c r="A318">
        <v>2404077</v>
      </c>
      <c r="B318" t="s">
        <v>13</v>
      </c>
      <c r="C318" t="s">
        <v>232</v>
      </c>
      <c r="D318" t="s">
        <v>384</v>
      </c>
      <c r="E318" t="s">
        <v>383</v>
      </c>
      <c r="F318" t="s">
        <v>321</v>
      </c>
      <c r="G318" s="10">
        <v>45856</v>
      </c>
      <c r="H318" s="11">
        <v>45863</v>
      </c>
      <c r="J318" t="s">
        <v>47</v>
      </c>
      <c r="K318" t="str">
        <f>T_進路入力[[#This Row],[学籍番号]]&amp;T_進路入力[[#This Row],[進路決定]]</f>
        <v>2404077○</v>
      </c>
      <c r="L318" s="36" t="str">
        <f>_xlfn.IFNA(RIGHT(VLOOKUP(T_進路入力[[#This Row],[学籍番号]]&amp;"○",T_進路入力[進路決定確認ワーク],1,FALSE),1),"")</f>
        <v>○</v>
      </c>
    </row>
    <row r="319" spans="1:12" ht="13.5" customHeight="1" x14ac:dyDescent="0.15">
      <c r="A319">
        <v>2404096</v>
      </c>
      <c r="B319" t="s">
        <v>13</v>
      </c>
      <c r="C319" t="s">
        <v>233</v>
      </c>
      <c r="D319" t="s">
        <v>384</v>
      </c>
      <c r="E319" t="s">
        <v>383</v>
      </c>
      <c r="F319" t="s">
        <v>321</v>
      </c>
      <c r="G319" s="10">
        <v>45856</v>
      </c>
      <c r="H319" s="11">
        <v>45863</v>
      </c>
      <c r="J319" t="s">
        <v>47</v>
      </c>
      <c r="K319" t="str">
        <f>T_進路入力[[#This Row],[学籍番号]]&amp;T_進路入力[[#This Row],[進路決定]]</f>
        <v>2404096○</v>
      </c>
      <c r="L319" s="36" t="str">
        <f>_xlfn.IFNA(RIGHT(VLOOKUP(T_進路入力[[#This Row],[学籍番号]]&amp;"○",T_進路入力[進路決定確認ワーク],1,FALSE),1),"")</f>
        <v>○</v>
      </c>
    </row>
    <row r="320" spans="1:12" ht="13.5" customHeight="1" x14ac:dyDescent="0.15">
      <c r="A320">
        <v>2404099</v>
      </c>
      <c r="B320" t="s">
        <v>13</v>
      </c>
      <c r="C320" t="s">
        <v>234</v>
      </c>
      <c r="D320" t="s">
        <v>382</v>
      </c>
      <c r="E320" t="s">
        <v>510</v>
      </c>
      <c r="F320" t="s">
        <v>317</v>
      </c>
      <c r="G320" s="10">
        <v>45901</v>
      </c>
      <c r="H320" s="11">
        <v>45916</v>
      </c>
      <c r="K320" t="str">
        <f>T_進路入力[[#This Row],[学籍番号]]&amp;T_進路入力[[#This Row],[進路決定]]</f>
        <v>2404099</v>
      </c>
      <c r="L320" s="36" t="str">
        <f>_xlfn.IFNA(RIGHT(VLOOKUP(T_進路入力[[#This Row],[学籍番号]]&amp;"○",T_進路入力[進路決定確認ワーク],1,FALSE),1),"")</f>
        <v>○</v>
      </c>
    </row>
    <row r="321" spans="1:12" ht="13.5" customHeight="1" x14ac:dyDescent="0.15">
      <c r="A321">
        <v>2404099</v>
      </c>
      <c r="B321" t="s">
        <v>13</v>
      </c>
      <c r="C321" t="s">
        <v>234</v>
      </c>
      <c r="D321" t="s">
        <v>464</v>
      </c>
      <c r="E321" t="s">
        <v>511</v>
      </c>
      <c r="F321" t="s">
        <v>325</v>
      </c>
      <c r="G321" s="10">
        <v>45937</v>
      </c>
      <c r="H321" s="11">
        <v>46309</v>
      </c>
      <c r="K321" t="str">
        <f>T_進路入力[[#This Row],[学籍番号]]&amp;T_進路入力[[#This Row],[進路決定]]</f>
        <v>2404099</v>
      </c>
      <c r="L321" s="36" t="str">
        <f>_xlfn.IFNA(RIGHT(VLOOKUP(T_進路入力[[#This Row],[学籍番号]]&amp;"○",T_進路入力[進路決定確認ワーク],1,FALSE),1),"")</f>
        <v>○</v>
      </c>
    </row>
    <row r="322" spans="1:12" ht="13.5" customHeight="1" x14ac:dyDescent="0.15">
      <c r="A322">
        <v>2404099</v>
      </c>
      <c r="B322" t="s">
        <v>13</v>
      </c>
      <c r="C322" t="s">
        <v>234</v>
      </c>
      <c r="D322" t="s">
        <v>465</v>
      </c>
      <c r="E322" t="s">
        <v>499</v>
      </c>
      <c r="F322" t="s">
        <v>325</v>
      </c>
      <c r="G322" s="10">
        <v>45948</v>
      </c>
      <c r="H322" s="11">
        <v>46323</v>
      </c>
      <c r="K322" t="str">
        <f>T_進路入力[[#This Row],[学籍番号]]&amp;T_進路入力[[#This Row],[進路決定]]</f>
        <v>2404099</v>
      </c>
      <c r="L322" s="36" t="str">
        <f>_xlfn.IFNA(RIGHT(VLOOKUP(T_進路入力[[#This Row],[学籍番号]]&amp;"○",T_進路入力[進路決定確認ワーク],1,FALSE),1),"")</f>
        <v>○</v>
      </c>
    </row>
    <row r="323" spans="1:12" ht="13.5" customHeight="1" x14ac:dyDescent="0.15">
      <c r="A323">
        <v>2404099</v>
      </c>
      <c r="B323" t="s">
        <v>13</v>
      </c>
      <c r="C323" t="s">
        <v>234</v>
      </c>
      <c r="D323" t="s">
        <v>508</v>
      </c>
      <c r="E323" t="s">
        <v>564</v>
      </c>
      <c r="F323" t="s">
        <v>304</v>
      </c>
      <c r="G323" s="10">
        <v>45993</v>
      </c>
      <c r="H323" s="11">
        <v>46002</v>
      </c>
      <c r="J323" t="s">
        <v>47</v>
      </c>
      <c r="K323" t="str">
        <f>T_進路入力[[#This Row],[学籍番号]]&amp;T_進路入力[[#This Row],[進路決定]]</f>
        <v>2404099○</v>
      </c>
      <c r="L323" s="36" t="str">
        <f>_xlfn.IFNA(RIGHT(VLOOKUP(T_進路入力[[#This Row],[学籍番号]]&amp;"○",T_進路入力[進路決定確認ワーク],1,FALSE),1),"")</f>
        <v>○</v>
      </c>
    </row>
    <row r="324" spans="1:12" ht="13.5" customHeight="1" x14ac:dyDescent="0.15">
      <c r="A324">
        <v>2404112</v>
      </c>
      <c r="B324" t="s">
        <v>13</v>
      </c>
      <c r="C324" t="s">
        <v>235</v>
      </c>
      <c r="D324" t="s">
        <v>382</v>
      </c>
      <c r="E324" t="s">
        <v>495</v>
      </c>
      <c r="F324" t="s">
        <v>304</v>
      </c>
      <c r="G324" s="10">
        <v>45901</v>
      </c>
      <c r="H324" s="11">
        <v>45916</v>
      </c>
      <c r="J324" t="s">
        <v>47</v>
      </c>
      <c r="K324" t="str">
        <f>T_進路入力[[#This Row],[学籍番号]]&amp;T_進路入力[[#This Row],[進路決定]]</f>
        <v>2404112○</v>
      </c>
      <c r="L324" s="36" t="str">
        <f>_xlfn.IFNA(RIGHT(VLOOKUP(T_進路入力[[#This Row],[学籍番号]]&amp;"○",T_進路入力[進路決定確認ワーク],1,FALSE),1),"")</f>
        <v>○</v>
      </c>
    </row>
    <row r="325" spans="1:12" ht="13.5" customHeight="1" x14ac:dyDescent="0.15">
      <c r="A325">
        <v>2404120</v>
      </c>
      <c r="B325" t="s">
        <v>13</v>
      </c>
      <c r="C325" t="s">
        <v>236</v>
      </c>
      <c r="D325" t="s">
        <v>285</v>
      </c>
      <c r="E325" t="s">
        <v>565</v>
      </c>
      <c r="F325" t="s">
        <v>304</v>
      </c>
      <c r="G325" s="10">
        <v>45948</v>
      </c>
      <c r="H325" s="11">
        <v>45965</v>
      </c>
      <c r="J325" t="s">
        <v>47</v>
      </c>
      <c r="K325" t="str">
        <f>T_進路入力[[#This Row],[学籍番号]]&amp;T_進路入力[[#This Row],[進路決定]]</f>
        <v>2404120○</v>
      </c>
      <c r="L325" s="36" t="str">
        <f>_xlfn.IFNA(RIGHT(VLOOKUP(T_進路入力[[#This Row],[学籍番号]]&amp;"○",T_進路入力[進路決定確認ワーク],1,FALSE),1),"")</f>
        <v>○</v>
      </c>
    </row>
    <row r="326" spans="1:12" ht="13.5" customHeight="1" x14ac:dyDescent="0.15">
      <c r="A326">
        <v>2404121</v>
      </c>
      <c r="B326" t="s">
        <v>13</v>
      </c>
      <c r="C326" t="s">
        <v>290</v>
      </c>
      <c r="D326" t="s">
        <v>285</v>
      </c>
      <c r="E326" t="s">
        <v>565</v>
      </c>
      <c r="F326" t="s">
        <v>304</v>
      </c>
      <c r="G326" s="10">
        <v>45948</v>
      </c>
      <c r="H326" s="11">
        <v>45965</v>
      </c>
      <c r="J326" t="s">
        <v>47</v>
      </c>
      <c r="K326" t="str">
        <f>T_進路入力[[#This Row],[学籍番号]]&amp;T_進路入力[[#This Row],[進路決定]]</f>
        <v>2404121○</v>
      </c>
      <c r="L326" s="36" t="str">
        <f>_xlfn.IFNA(RIGHT(VLOOKUP(T_進路入力[[#This Row],[学籍番号]]&amp;"○",T_進路入力[進路決定確認ワーク],1,FALSE),1),"")</f>
        <v>○</v>
      </c>
    </row>
    <row r="327" spans="1:12" ht="13.5" customHeight="1" x14ac:dyDescent="0.15">
      <c r="A327">
        <v>2404122</v>
      </c>
      <c r="B327" t="s">
        <v>13</v>
      </c>
      <c r="C327" t="s">
        <v>237</v>
      </c>
      <c r="D327" t="s">
        <v>381</v>
      </c>
      <c r="E327" t="s">
        <v>496</v>
      </c>
      <c r="F327" t="s">
        <v>321</v>
      </c>
      <c r="G327" s="10">
        <v>45910</v>
      </c>
      <c r="H327" s="11">
        <v>45930</v>
      </c>
      <c r="J327" t="s">
        <v>47</v>
      </c>
      <c r="K327" t="str">
        <f>T_進路入力[[#This Row],[学籍番号]]&amp;T_進路入力[[#This Row],[進路決定]]</f>
        <v>2404122○</v>
      </c>
      <c r="L327" s="36" t="str">
        <f>_xlfn.IFNA(RIGHT(VLOOKUP(T_進路入力[[#This Row],[学籍番号]]&amp;"○",T_進路入力[進路決定確認ワーク],1,FALSE),1),"")</f>
        <v>○</v>
      </c>
    </row>
    <row r="328" spans="1:12" ht="13.5" customHeight="1" x14ac:dyDescent="0.15">
      <c r="A328">
        <v>2404125</v>
      </c>
      <c r="B328" t="s">
        <v>13</v>
      </c>
      <c r="C328" t="s">
        <v>238</v>
      </c>
      <c r="D328" t="s">
        <v>285</v>
      </c>
      <c r="E328" t="s">
        <v>565</v>
      </c>
      <c r="F328" t="s">
        <v>304</v>
      </c>
      <c r="G328" s="10">
        <v>45948</v>
      </c>
      <c r="H328" s="11">
        <v>45965</v>
      </c>
      <c r="J328" t="s">
        <v>47</v>
      </c>
      <c r="K328" t="str">
        <f>T_進路入力[[#This Row],[学籍番号]]&amp;T_進路入力[[#This Row],[進路決定]]</f>
        <v>2404125○</v>
      </c>
      <c r="L328" s="36" t="str">
        <f>_xlfn.IFNA(RIGHT(VLOOKUP(T_進路入力[[#This Row],[学籍番号]]&amp;"○",T_進路入力[進路決定確認ワーク],1,FALSE),1),"")</f>
        <v>○</v>
      </c>
    </row>
    <row r="329" spans="1:12" ht="13.5" customHeight="1" x14ac:dyDescent="0.15">
      <c r="A329">
        <v>2404144</v>
      </c>
      <c r="B329" t="s">
        <v>13</v>
      </c>
      <c r="C329" t="s">
        <v>239</v>
      </c>
      <c r="D329" t="s">
        <v>307</v>
      </c>
      <c r="E329" t="s">
        <v>497</v>
      </c>
      <c r="F329" t="s">
        <v>321</v>
      </c>
      <c r="G329" s="10">
        <v>45913</v>
      </c>
      <c r="H329" s="10">
        <v>45918</v>
      </c>
      <c r="J329" t="s">
        <v>47</v>
      </c>
      <c r="K329" t="str">
        <f>T_進路入力[[#This Row],[学籍番号]]&amp;T_進路入力[[#This Row],[進路決定]]</f>
        <v>2404144○</v>
      </c>
      <c r="L329" s="36" t="str">
        <f>_xlfn.IFNA(RIGHT(VLOOKUP(T_進路入力[[#This Row],[学籍番号]]&amp;"○",T_進路入力[進路決定確認ワーク],1,FALSE),1),"")</f>
        <v>○</v>
      </c>
    </row>
    <row r="330" spans="1:12" ht="13.5" customHeight="1" x14ac:dyDescent="0.15">
      <c r="A330">
        <v>2404160</v>
      </c>
      <c r="B330" t="s">
        <v>13</v>
      </c>
      <c r="C330" t="s">
        <v>240</v>
      </c>
      <c r="D330" t="s">
        <v>338</v>
      </c>
      <c r="E330" t="s">
        <v>498</v>
      </c>
      <c r="F330" t="s">
        <v>321</v>
      </c>
      <c r="G330" s="10">
        <v>45926</v>
      </c>
      <c r="H330" s="11">
        <v>45938</v>
      </c>
      <c r="J330" t="s">
        <v>47</v>
      </c>
      <c r="K330" t="str">
        <f>T_進路入力[[#This Row],[学籍番号]]&amp;T_進路入力[[#This Row],[進路決定]]</f>
        <v>2404160○</v>
      </c>
      <c r="L330" s="36" t="str">
        <f>_xlfn.IFNA(RIGHT(VLOOKUP(T_進路入力[[#This Row],[学籍番号]]&amp;"○",T_進路入力[進路決定確認ワーク],1,FALSE),1),"")</f>
        <v>○</v>
      </c>
    </row>
    <row r="331" spans="1:12" ht="13.5" customHeight="1" x14ac:dyDescent="0.15">
      <c r="A331">
        <v>2410003</v>
      </c>
      <c r="B331" t="s">
        <v>13</v>
      </c>
      <c r="C331" t="s">
        <v>241</v>
      </c>
      <c r="D331" t="s">
        <v>285</v>
      </c>
      <c r="E331" t="s">
        <v>509</v>
      </c>
      <c r="F331" t="s">
        <v>317</v>
      </c>
      <c r="G331" s="10">
        <v>46011</v>
      </c>
      <c r="H331" s="11">
        <v>46017</v>
      </c>
      <c r="K331" t="str">
        <f>T_進路入力[[#This Row],[学籍番号]]&amp;T_進路入力[[#This Row],[進路決定]]</f>
        <v>2410003</v>
      </c>
      <c r="L331" s="36" t="str">
        <f>_xlfn.IFNA(RIGHT(VLOOKUP(T_進路入力[[#This Row],[学籍番号]]&amp;"○",T_進路入力[進路決定確認ワーク],1,FALSE),1),"")</f>
        <v>○</v>
      </c>
    </row>
    <row r="332" spans="1:12" ht="13.5" customHeight="1" x14ac:dyDescent="0.15">
      <c r="A332">
        <v>2410003</v>
      </c>
      <c r="B332" t="s">
        <v>13</v>
      </c>
      <c r="C332" t="s">
        <v>241</v>
      </c>
      <c r="D332" t="s">
        <v>289</v>
      </c>
      <c r="E332" t="s">
        <v>637</v>
      </c>
      <c r="F332" t="s">
        <v>304</v>
      </c>
      <c r="G332" s="10">
        <v>46005</v>
      </c>
      <c r="H332" s="11">
        <v>46016</v>
      </c>
      <c r="J332" t="s">
        <v>47</v>
      </c>
      <c r="K332" t="str">
        <f>T_進路入力[[#This Row],[学籍番号]]&amp;T_進路入力[[#This Row],[進路決定]]</f>
        <v>2410003○</v>
      </c>
      <c r="L332" s="36" t="str">
        <f>_xlfn.IFNA(RIGHT(VLOOKUP(T_進路入力[[#This Row],[学籍番号]]&amp;"○",T_進路入力[進路決定確認ワーク],1,FALSE),1),"")</f>
        <v>○</v>
      </c>
    </row>
    <row r="333" spans="1:12" ht="13.5" customHeight="1" x14ac:dyDescent="0.15">
      <c r="A333">
        <v>2404038</v>
      </c>
      <c r="B333" t="s">
        <v>14</v>
      </c>
      <c r="C333" t="s">
        <v>681</v>
      </c>
      <c r="E333" t="s">
        <v>707</v>
      </c>
      <c r="F333" t="s">
        <v>295</v>
      </c>
      <c r="G333" s="10">
        <v>46038</v>
      </c>
      <c r="H333" s="11">
        <v>46070</v>
      </c>
      <c r="I333" t="s">
        <v>707</v>
      </c>
      <c r="J333" t="s">
        <v>47</v>
      </c>
      <c r="K333" t="str">
        <f>T_進路入力[[#This Row],[学籍番号]]&amp;T_進路入力[[#This Row],[進路決定]]</f>
        <v>2404038○</v>
      </c>
      <c r="L333" s="36" t="str">
        <f>_xlfn.IFNA(RIGHT(VLOOKUP(T_進路入力[[#This Row],[学籍番号]]&amp;"○",T_進路入力[進路決定確認ワーク],1,FALSE),1),"")</f>
        <v>○</v>
      </c>
    </row>
    <row r="334" spans="1:12" ht="13.5" customHeight="1" x14ac:dyDescent="0.15">
      <c r="A334">
        <v>2404057</v>
      </c>
      <c r="B334" t="s">
        <v>14</v>
      </c>
      <c r="C334" t="s">
        <v>242</v>
      </c>
      <c r="E334" t="s">
        <v>707</v>
      </c>
      <c r="F334" t="s">
        <v>295</v>
      </c>
      <c r="H334" s="11">
        <v>46070</v>
      </c>
      <c r="I334" t="s">
        <v>707</v>
      </c>
      <c r="K334" t="str">
        <f>T_進路入力[[#This Row],[学籍番号]]&amp;T_進路入力[[#This Row],[進路決定]]</f>
        <v>2404057</v>
      </c>
      <c r="L334" s="36" t="str">
        <f>_xlfn.IFNA(RIGHT(VLOOKUP(T_進路入力[[#This Row],[学籍番号]]&amp;"○",T_進路入力[進路決定確認ワーク],1,FALSE),1),"")</f>
        <v/>
      </c>
    </row>
    <row r="335" spans="1:12" ht="13.5" customHeight="1" x14ac:dyDescent="0.15">
      <c r="A335">
        <v>2404152</v>
      </c>
      <c r="B335" t="s">
        <v>14</v>
      </c>
      <c r="C335" t="s">
        <v>243</v>
      </c>
      <c r="D335" t="s">
        <v>347</v>
      </c>
      <c r="F335" t="s">
        <v>304</v>
      </c>
      <c r="G335" s="10">
        <v>45930</v>
      </c>
      <c r="H335" s="11">
        <v>45938</v>
      </c>
      <c r="J335" t="s">
        <v>47</v>
      </c>
      <c r="K335" t="str">
        <f>T_進路入力[[#This Row],[学籍番号]]&amp;T_進路入力[[#This Row],[進路決定]]</f>
        <v>2404152○</v>
      </c>
      <c r="L335" s="36" t="str">
        <f>_xlfn.IFNA(RIGHT(VLOOKUP(T_進路入力[[#This Row],[学籍番号]]&amp;"○",T_進路入力[進路決定確認ワーク],1,FALSE),1),"")</f>
        <v>○</v>
      </c>
    </row>
    <row r="336" spans="1:12" ht="13.5" customHeight="1" x14ac:dyDescent="0.15">
      <c r="A336">
        <v>2404157</v>
      </c>
      <c r="B336" t="s">
        <v>14</v>
      </c>
      <c r="C336" t="s">
        <v>244</v>
      </c>
      <c r="D336" t="s">
        <v>365</v>
      </c>
      <c r="E336" t="s">
        <v>357</v>
      </c>
      <c r="F336" t="s">
        <v>321</v>
      </c>
      <c r="G336" s="10">
        <v>46197</v>
      </c>
      <c r="H336" s="11">
        <v>46214</v>
      </c>
      <c r="J336" t="s">
        <v>47</v>
      </c>
      <c r="K336" t="str">
        <f>T_進路入力[[#This Row],[学籍番号]]&amp;T_進路入力[[#This Row],[進路決定]]</f>
        <v>2404157○</v>
      </c>
      <c r="L336" s="36" t="str">
        <f>_xlfn.IFNA(RIGHT(VLOOKUP(T_進路入力[[#This Row],[学籍番号]]&amp;"○",T_進路入力[進路決定確認ワーク],1,FALSE),1),"")</f>
        <v>○</v>
      </c>
    </row>
    <row r="337" spans="1:12" ht="13.5" customHeight="1" x14ac:dyDescent="0.15">
      <c r="A337">
        <v>2407001</v>
      </c>
      <c r="B337" t="s">
        <v>14</v>
      </c>
      <c r="C337" t="s">
        <v>245</v>
      </c>
      <c r="D337" t="s">
        <v>299</v>
      </c>
      <c r="E337" t="s">
        <v>506</v>
      </c>
      <c r="F337" t="s">
        <v>304</v>
      </c>
      <c r="G337" s="10">
        <v>45942</v>
      </c>
      <c r="H337" s="11">
        <v>45962</v>
      </c>
      <c r="J337" t="s">
        <v>47</v>
      </c>
      <c r="K337" t="str">
        <f>T_進路入力[[#This Row],[学籍番号]]&amp;T_進路入力[[#This Row],[進路決定]]</f>
        <v>2407001○</v>
      </c>
      <c r="L337" s="36" t="str">
        <f>_xlfn.IFNA(RIGHT(VLOOKUP(T_進路入力[[#This Row],[学籍番号]]&amp;"○",T_進路入力[進路決定確認ワーク],1,FALSE),1),"")</f>
        <v>○</v>
      </c>
    </row>
    <row r="338" spans="1:12" ht="13.5" customHeight="1" x14ac:dyDescent="0.15">
      <c r="A338">
        <v>2407011</v>
      </c>
      <c r="B338" t="s">
        <v>14</v>
      </c>
      <c r="C338" t="s">
        <v>246</v>
      </c>
      <c r="E338" t="s">
        <v>707</v>
      </c>
      <c r="F338" t="s">
        <v>295</v>
      </c>
      <c r="G338" s="10">
        <v>46038</v>
      </c>
      <c r="H338" s="11">
        <v>46070</v>
      </c>
      <c r="I338" t="s">
        <v>707</v>
      </c>
      <c r="J338" t="s">
        <v>47</v>
      </c>
      <c r="K338" t="str">
        <f>T_進路入力[[#This Row],[学籍番号]]&amp;T_進路入力[[#This Row],[進路決定]]</f>
        <v>2407011○</v>
      </c>
      <c r="L338" s="36" t="str">
        <f>_xlfn.IFNA(RIGHT(VLOOKUP(T_進路入力[[#This Row],[学籍番号]]&amp;"○",T_進路入力[進路決定確認ワーク],1,FALSE),1),"")</f>
        <v>○</v>
      </c>
    </row>
    <row r="339" spans="1:12" ht="13.5" customHeight="1" x14ac:dyDescent="0.15">
      <c r="A339">
        <v>2407022</v>
      </c>
      <c r="B339" t="s">
        <v>14</v>
      </c>
      <c r="C339" t="s">
        <v>247</v>
      </c>
      <c r="D339" t="s">
        <v>308</v>
      </c>
      <c r="E339" t="s">
        <v>380</v>
      </c>
      <c r="F339" t="s">
        <v>304</v>
      </c>
      <c r="G339" s="10">
        <v>45948</v>
      </c>
      <c r="H339" s="11">
        <v>45965</v>
      </c>
      <c r="J339" t="s">
        <v>47</v>
      </c>
      <c r="K339" t="str">
        <f>T_進路入力[[#This Row],[学籍番号]]&amp;T_進路入力[[#This Row],[進路決定]]</f>
        <v>2407022○</v>
      </c>
      <c r="L339" s="36" t="str">
        <f>_xlfn.IFNA(RIGHT(VLOOKUP(T_進路入力[[#This Row],[学籍番号]]&amp;"○",T_進路入力[進路決定確認ワーク],1,FALSE),1),"")</f>
        <v>○</v>
      </c>
    </row>
    <row r="340" spans="1:12" ht="13.5" customHeight="1" x14ac:dyDescent="0.15">
      <c r="A340">
        <v>2407026</v>
      </c>
      <c r="B340" t="s">
        <v>14</v>
      </c>
      <c r="C340" t="s">
        <v>248</v>
      </c>
      <c r="D340" t="s">
        <v>375</v>
      </c>
      <c r="E340" t="s">
        <v>342</v>
      </c>
      <c r="F340" t="s">
        <v>304</v>
      </c>
      <c r="G340" s="10">
        <v>45948</v>
      </c>
      <c r="H340" s="11">
        <v>45957</v>
      </c>
      <c r="J340" t="s">
        <v>47</v>
      </c>
      <c r="K340" t="str">
        <f>T_進路入力[[#This Row],[学籍番号]]&amp;T_進路入力[[#This Row],[進路決定]]</f>
        <v>2407026○</v>
      </c>
      <c r="L340" s="36" t="str">
        <f>_xlfn.IFNA(RIGHT(VLOOKUP(T_進路入力[[#This Row],[学籍番号]]&amp;"○",T_進路入力[進路決定確認ワーク],1,FALSE),1),"")</f>
        <v>○</v>
      </c>
    </row>
    <row r="341" spans="1:12" ht="13.5" customHeight="1" x14ac:dyDescent="0.15">
      <c r="A341">
        <v>2407031</v>
      </c>
      <c r="B341" t="s">
        <v>14</v>
      </c>
      <c r="C341" t="s">
        <v>249</v>
      </c>
      <c r="E341" t="s">
        <v>707</v>
      </c>
      <c r="F341" t="s">
        <v>295</v>
      </c>
      <c r="G341" s="10">
        <v>46039</v>
      </c>
      <c r="H341" s="11">
        <v>46070</v>
      </c>
      <c r="I341" t="s">
        <v>707</v>
      </c>
      <c r="K341" t="str">
        <f>T_進路入力[[#This Row],[学籍番号]]&amp;T_進路入力[[#This Row],[進路決定]]</f>
        <v>2407031</v>
      </c>
      <c r="L341" s="36" t="str">
        <f>_xlfn.IFNA(RIGHT(VLOOKUP(T_進路入力[[#This Row],[学籍番号]]&amp;"○",T_進路入力[進路決定確認ワーク],1,FALSE),1),"")</f>
        <v/>
      </c>
    </row>
    <row r="342" spans="1:12" ht="13.5" customHeight="1" x14ac:dyDescent="0.15">
      <c r="A342">
        <v>2407032</v>
      </c>
      <c r="B342" t="s">
        <v>14</v>
      </c>
      <c r="C342" t="s">
        <v>250</v>
      </c>
      <c r="D342" t="s">
        <v>312</v>
      </c>
      <c r="E342" t="s">
        <v>641</v>
      </c>
      <c r="F342" t="s">
        <v>304</v>
      </c>
      <c r="G342" s="10">
        <v>45990</v>
      </c>
      <c r="H342" s="11">
        <v>45993</v>
      </c>
      <c r="J342" t="s">
        <v>47</v>
      </c>
      <c r="K342" t="str">
        <f>T_進路入力[[#This Row],[学籍番号]]&amp;T_進路入力[[#This Row],[進路決定]]</f>
        <v>2407032○</v>
      </c>
      <c r="L342" s="36" t="str">
        <f>_xlfn.IFNA(RIGHT(VLOOKUP(T_進路入力[[#This Row],[学籍番号]]&amp;"○",T_進路入力[進路決定確認ワーク],1,FALSE),1),"")</f>
        <v>○</v>
      </c>
    </row>
    <row r="343" spans="1:12" ht="13.5" customHeight="1" x14ac:dyDescent="0.15">
      <c r="A343">
        <v>2407033</v>
      </c>
      <c r="B343" t="s">
        <v>14</v>
      </c>
      <c r="C343" t="s">
        <v>251</v>
      </c>
      <c r="D343" t="s">
        <v>379</v>
      </c>
      <c r="E343" t="s">
        <v>378</v>
      </c>
      <c r="F343" t="s">
        <v>321</v>
      </c>
      <c r="G343" s="10">
        <v>46233</v>
      </c>
      <c r="H343" s="11">
        <v>46266</v>
      </c>
      <c r="J343" t="s">
        <v>47</v>
      </c>
      <c r="K343" t="str">
        <f>T_進路入力[[#This Row],[学籍番号]]&amp;T_進路入力[[#This Row],[進路決定]]</f>
        <v>2407033○</v>
      </c>
      <c r="L343" s="36" t="str">
        <f>_xlfn.IFNA(RIGHT(VLOOKUP(T_進路入力[[#This Row],[学籍番号]]&amp;"○",T_進路入力[進路決定確認ワーク],1,FALSE),1),"")</f>
        <v>○</v>
      </c>
    </row>
    <row r="344" spans="1:12" ht="13.5" customHeight="1" x14ac:dyDescent="0.15">
      <c r="A344">
        <v>2407050</v>
      </c>
      <c r="B344" t="s">
        <v>14</v>
      </c>
      <c r="C344" t="s">
        <v>252</v>
      </c>
      <c r="D344" t="s">
        <v>379</v>
      </c>
      <c r="E344" t="s">
        <v>446</v>
      </c>
      <c r="F344" t="s">
        <v>325</v>
      </c>
      <c r="G344" s="10">
        <v>46282</v>
      </c>
      <c r="H344" s="11">
        <v>45954</v>
      </c>
      <c r="K344" t="str">
        <f>T_進路入力[[#This Row],[学籍番号]]&amp;T_進路入力[[#This Row],[進路決定]]</f>
        <v>2407050</v>
      </c>
      <c r="L344" s="36" t="str">
        <f>_xlfn.IFNA(RIGHT(VLOOKUP(T_進路入力[[#This Row],[学籍番号]]&amp;"○",T_進路入力[進路決定確認ワーク],1,FALSE),1),"")</f>
        <v>○</v>
      </c>
    </row>
    <row r="345" spans="1:12" ht="13.5" customHeight="1" x14ac:dyDescent="0.15">
      <c r="A345">
        <v>2407050</v>
      </c>
      <c r="B345" t="s">
        <v>14</v>
      </c>
      <c r="C345" t="s">
        <v>252</v>
      </c>
      <c r="D345" t="s">
        <v>312</v>
      </c>
      <c r="E345" t="s">
        <v>507</v>
      </c>
      <c r="F345" t="s">
        <v>304</v>
      </c>
      <c r="G345" s="10">
        <v>45962</v>
      </c>
      <c r="H345" s="11">
        <v>45971</v>
      </c>
      <c r="J345" t="s">
        <v>47</v>
      </c>
      <c r="K345" t="str">
        <f>T_進路入力[[#This Row],[学籍番号]]&amp;T_進路入力[[#This Row],[進路決定]]</f>
        <v>2407050○</v>
      </c>
      <c r="L345" s="36" t="str">
        <f>_xlfn.IFNA(RIGHT(VLOOKUP(T_進路入力[[#This Row],[学籍番号]]&amp;"○",T_進路入力[進路決定確認ワーク],1,FALSE),1),"")</f>
        <v>○</v>
      </c>
    </row>
    <row r="346" spans="1:12" ht="13.5" customHeight="1" x14ac:dyDescent="0.15">
      <c r="A346">
        <v>2407057</v>
      </c>
      <c r="B346" t="s">
        <v>14</v>
      </c>
      <c r="C346" t="s">
        <v>253</v>
      </c>
      <c r="D346" t="s">
        <v>379</v>
      </c>
      <c r="E346" t="s">
        <v>378</v>
      </c>
      <c r="F346" t="s">
        <v>321</v>
      </c>
      <c r="G346" s="10">
        <v>46233</v>
      </c>
      <c r="H346" s="11">
        <v>46266</v>
      </c>
      <c r="J346" t="s">
        <v>47</v>
      </c>
      <c r="K346" t="str">
        <f>T_進路入力[[#This Row],[学籍番号]]&amp;T_進路入力[[#This Row],[進路決定]]</f>
        <v>2407057○</v>
      </c>
      <c r="L346" s="36" t="str">
        <f>_xlfn.IFNA(RIGHT(VLOOKUP(T_進路入力[[#This Row],[学籍番号]]&amp;"○",T_進路入力[進路決定確認ワーク],1,FALSE),1),"")</f>
        <v>○</v>
      </c>
    </row>
    <row r="347" spans="1:12" ht="13.5" customHeight="1" x14ac:dyDescent="0.15">
      <c r="A347">
        <v>2407058</v>
      </c>
      <c r="B347" t="s">
        <v>14</v>
      </c>
      <c r="C347" t="s">
        <v>254</v>
      </c>
      <c r="D347" t="s">
        <v>379</v>
      </c>
      <c r="E347" t="s">
        <v>378</v>
      </c>
      <c r="F347" t="s">
        <v>321</v>
      </c>
      <c r="G347" s="10">
        <v>46233</v>
      </c>
      <c r="H347" s="11">
        <v>46266</v>
      </c>
      <c r="J347" t="s">
        <v>47</v>
      </c>
      <c r="K347" t="str">
        <f>T_進路入力[[#This Row],[学籍番号]]&amp;T_進路入力[[#This Row],[進路決定]]</f>
        <v>2407058○</v>
      </c>
      <c r="L347" s="36" t="str">
        <f>_xlfn.IFNA(RIGHT(VLOOKUP(T_進路入力[[#This Row],[学籍番号]]&amp;"○",T_進路入力[進路決定確認ワーク],1,FALSE),1),"")</f>
        <v>○</v>
      </c>
    </row>
    <row r="348" spans="1:12" ht="13.5" customHeight="1" x14ac:dyDescent="0.15">
      <c r="A348">
        <v>2407063</v>
      </c>
      <c r="B348" t="s">
        <v>14</v>
      </c>
      <c r="C348" t="s">
        <v>255</v>
      </c>
      <c r="D348" t="s">
        <v>375</v>
      </c>
      <c r="E348" t="s">
        <v>342</v>
      </c>
      <c r="F348" t="s">
        <v>304</v>
      </c>
      <c r="G348" s="10">
        <v>45948</v>
      </c>
      <c r="H348" s="11">
        <v>45957</v>
      </c>
      <c r="J348" t="s">
        <v>47</v>
      </c>
      <c r="K348" t="str">
        <f>T_進路入力[[#This Row],[学籍番号]]&amp;T_進路入力[[#This Row],[進路決定]]</f>
        <v>2407063○</v>
      </c>
      <c r="L348" s="36" t="str">
        <f>_xlfn.IFNA(RIGHT(VLOOKUP(T_進路入力[[#This Row],[学籍番号]]&amp;"○",T_進路入力[進路決定確認ワーク],1,FALSE),1),"")</f>
        <v>○</v>
      </c>
    </row>
    <row r="349" spans="1:12" ht="13.5" customHeight="1" x14ac:dyDescent="0.15">
      <c r="A349">
        <v>2407065</v>
      </c>
      <c r="B349" t="s">
        <v>14</v>
      </c>
      <c r="C349" t="s">
        <v>256</v>
      </c>
      <c r="D349" t="s">
        <v>364</v>
      </c>
      <c r="E349" t="s">
        <v>567</v>
      </c>
      <c r="F349" t="s">
        <v>304</v>
      </c>
      <c r="G349" s="10">
        <v>46004</v>
      </c>
      <c r="H349" s="11">
        <v>46013</v>
      </c>
      <c r="J349" t="s">
        <v>47</v>
      </c>
      <c r="K349" t="str">
        <f>T_進路入力[[#This Row],[学籍番号]]&amp;T_進路入力[[#This Row],[進路決定]]</f>
        <v>2407065○</v>
      </c>
      <c r="L349" s="36" t="str">
        <f>_xlfn.IFNA(RIGHT(VLOOKUP(T_進路入力[[#This Row],[学籍番号]]&amp;"○",T_進路入力[進路決定確認ワーク],1,FALSE),1),"")</f>
        <v>○</v>
      </c>
    </row>
    <row r="350" spans="1:12" ht="13.5" customHeight="1" x14ac:dyDescent="0.15">
      <c r="A350">
        <v>2407065</v>
      </c>
      <c r="B350" t="s">
        <v>14</v>
      </c>
      <c r="C350" t="s">
        <v>256</v>
      </c>
      <c r="D350" t="s">
        <v>387</v>
      </c>
      <c r="E350" t="s">
        <v>554</v>
      </c>
      <c r="F350" t="s">
        <v>325</v>
      </c>
      <c r="G350" s="10">
        <v>45976</v>
      </c>
      <c r="H350" s="11">
        <v>45986</v>
      </c>
      <c r="K350" t="str">
        <f>T_進路入力[[#This Row],[学籍番号]]&amp;T_進路入力[[#This Row],[進路決定]]</f>
        <v>2407065</v>
      </c>
      <c r="L350" s="36" t="str">
        <f>_xlfn.IFNA(RIGHT(VLOOKUP(T_進路入力[[#This Row],[学籍番号]]&amp;"○",T_進路入力[進路決定確認ワーク],1,FALSE),1),"")</f>
        <v>○</v>
      </c>
    </row>
    <row r="351" spans="1:12" ht="13.5" customHeight="1" x14ac:dyDescent="0.15">
      <c r="A351">
        <v>2407065</v>
      </c>
      <c r="B351" t="s">
        <v>14</v>
      </c>
      <c r="C351" t="s">
        <v>256</v>
      </c>
      <c r="D351" t="s">
        <v>365</v>
      </c>
      <c r="E351" t="s">
        <v>366</v>
      </c>
      <c r="F351" t="s">
        <v>325</v>
      </c>
      <c r="G351" s="10">
        <v>45934</v>
      </c>
      <c r="H351" s="11">
        <v>45938</v>
      </c>
      <c r="K351" t="str">
        <f>T_進路入力[[#This Row],[学籍番号]]&amp;T_進路入力[[#This Row],[進路決定]]</f>
        <v>2407065</v>
      </c>
      <c r="L351" s="36" t="str">
        <f>_xlfn.IFNA(RIGHT(VLOOKUP(T_進路入力[[#This Row],[学籍番号]]&amp;"○",T_進路入力[進路決定確認ワーク],1,FALSE),1),"")</f>
        <v>○</v>
      </c>
    </row>
    <row r="352" spans="1:12" ht="13.5" customHeight="1" x14ac:dyDescent="0.15">
      <c r="A352">
        <v>2407069</v>
      </c>
      <c r="B352" t="s">
        <v>14</v>
      </c>
      <c r="C352" t="s">
        <v>257</v>
      </c>
      <c r="D352" t="s">
        <v>376</v>
      </c>
      <c r="E352" t="s">
        <v>377</v>
      </c>
      <c r="F352" t="s">
        <v>321</v>
      </c>
      <c r="G352" s="10">
        <v>46197</v>
      </c>
      <c r="H352" s="11">
        <v>46211</v>
      </c>
      <c r="J352" t="s">
        <v>47</v>
      </c>
      <c r="K352" t="str">
        <f>T_進路入力[[#This Row],[学籍番号]]&amp;T_進路入力[[#This Row],[進路決定]]</f>
        <v>2407069○</v>
      </c>
      <c r="L352" s="36" t="str">
        <f>_xlfn.IFNA(RIGHT(VLOOKUP(T_進路入力[[#This Row],[学籍番号]]&amp;"○",T_進路入力[進路決定確認ワーク],1,FALSE),1),"")</f>
        <v>○</v>
      </c>
    </row>
    <row r="353" spans="1:12" ht="13.5" customHeight="1" x14ac:dyDescent="0.15">
      <c r="A353">
        <v>2407071</v>
      </c>
      <c r="B353" t="s">
        <v>14</v>
      </c>
      <c r="C353" t="s">
        <v>258</v>
      </c>
      <c r="D353" t="s">
        <v>375</v>
      </c>
      <c r="E353" t="s">
        <v>342</v>
      </c>
      <c r="F353" t="s">
        <v>321</v>
      </c>
      <c r="G353" s="10">
        <v>46261</v>
      </c>
      <c r="H353" s="11">
        <v>46298</v>
      </c>
      <c r="J353" t="s">
        <v>47</v>
      </c>
      <c r="K353" t="str">
        <f>T_進路入力[[#This Row],[学籍番号]]&amp;T_進路入力[[#This Row],[進路決定]]</f>
        <v>2407071○</v>
      </c>
      <c r="L353" s="36" t="str">
        <f>_xlfn.IFNA(RIGHT(VLOOKUP(T_進路入力[[#This Row],[学籍番号]]&amp;"○",T_進路入力[進路決定確認ワーク],1,FALSE),1),"")</f>
        <v>○</v>
      </c>
    </row>
    <row r="354" spans="1:12" ht="13.5" customHeight="1" x14ac:dyDescent="0.15">
      <c r="A354">
        <v>2407072</v>
      </c>
      <c r="B354" t="s">
        <v>14</v>
      </c>
      <c r="C354" t="s">
        <v>259</v>
      </c>
      <c r="D354" t="s">
        <v>285</v>
      </c>
      <c r="E354" t="s">
        <v>366</v>
      </c>
      <c r="F354" t="s">
        <v>305</v>
      </c>
      <c r="G354" s="10">
        <v>46011</v>
      </c>
      <c r="H354" s="11">
        <v>46017</v>
      </c>
      <c r="K354" t="str">
        <f>T_進路入力[[#This Row],[学籍番号]]&amp;T_進路入力[[#This Row],[進路決定]]</f>
        <v>2407072</v>
      </c>
      <c r="L354" s="36" t="str">
        <f>_xlfn.IFNA(RIGHT(VLOOKUP(T_進路入力[[#This Row],[学籍番号]]&amp;"○",T_進路入力[進路決定確認ワーク],1,FALSE),1),"")</f>
        <v>○</v>
      </c>
    </row>
    <row r="355" spans="1:12" ht="13.5" customHeight="1" x14ac:dyDescent="0.15">
      <c r="A355">
        <v>2407072</v>
      </c>
      <c r="B355" t="s">
        <v>14</v>
      </c>
      <c r="C355" t="s">
        <v>259</v>
      </c>
      <c r="D355" t="s">
        <v>394</v>
      </c>
      <c r="E355" t="s">
        <v>366</v>
      </c>
      <c r="F355" t="s">
        <v>304</v>
      </c>
      <c r="G355" s="10">
        <v>45997</v>
      </c>
      <c r="H355" s="11">
        <v>46006</v>
      </c>
      <c r="J355" t="s">
        <v>47</v>
      </c>
      <c r="K355" t="str">
        <f>T_進路入力[[#This Row],[学籍番号]]&amp;T_進路入力[[#This Row],[進路決定]]</f>
        <v>2407072○</v>
      </c>
      <c r="L355" s="36" t="str">
        <f>_xlfn.IFNA(RIGHT(VLOOKUP(T_進路入力[[#This Row],[学籍番号]]&amp;"○",T_進路入力[進路決定確認ワーク],1,FALSE),1),"")</f>
        <v>○</v>
      </c>
    </row>
    <row r="356" spans="1:12" ht="13.5" customHeight="1" x14ac:dyDescent="0.15">
      <c r="A356">
        <v>2407072</v>
      </c>
      <c r="B356" t="s">
        <v>14</v>
      </c>
      <c r="C356" t="s">
        <v>259</v>
      </c>
      <c r="D356" t="s">
        <v>374</v>
      </c>
      <c r="E356" t="s">
        <v>366</v>
      </c>
      <c r="F356" t="s">
        <v>325</v>
      </c>
      <c r="G356" s="10">
        <v>45942</v>
      </c>
      <c r="H356" s="11">
        <v>45962</v>
      </c>
      <c r="K356" t="str">
        <f>T_進路入力[[#This Row],[学籍番号]]&amp;T_進路入力[[#This Row],[進路決定]]</f>
        <v>2407072</v>
      </c>
      <c r="L356" s="36" t="str">
        <f>_xlfn.IFNA(RIGHT(VLOOKUP(T_進路入力[[#This Row],[学籍番号]]&amp;"○",T_進路入力[進路決定確認ワーク],1,FALSE),1),"")</f>
        <v>○</v>
      </c>
    </row>
    <row r="357" spans="1:12" ht="13.5" customHeight="1" x14ac:dyDescent="0.15">
      <c r="A357">
        <v>2407076</v>
      </c>
      <c r="B357" t="s">
        <v>14</v>
      </c>
      <c r="C357" t="s">
        <v>260</v>
      </c>
      <c r="E357" t="s">
        <v>287</v>
      </c>
      <c r="F357" t="s">
        <v>295</v>
      </c>
      <c r="H357" s="11">
        <v>46070</v>
      </c>
      <c r="I357" t="s">
        <v>18</v>
      </c>
      <c r="K357" t="str">
        <f>T_進路入力[[#This Row],[学籍番号]]&amp;T_進路入力[[#This Row],[進路決定]]</f>
        <v>2407076</v>
      </c>
      <c r="L357" s="36" t="str">
        <f>_xlfn.IFNA(RIGHT(VLOOKUP(T_進路入力[[#This Row],[学籍番号]]&amp;"○",T_進路入力[進路決定確認ワーク],1,FALSE),1),"")</f>
        <v/>
      </c>
    </row>
    <row r="358" spans="1:12" ht="13.5" customHeight="1" x14ac:dyDescent="0.15">
      <c r="A358">
        <v>2404005</v>
      </c>
      <c r="B358" t="s">
        <v>15</v>
      </c>
      <c r="C358" t="s">
        <v>261</v>
      </c>
      <c r="D358" t="s">
        <v>21</v>
      </c>
      <c r="F358" t="s">
        <v>304</v>
      </c>
      <c r="G358" s="10">
        <v>45941</v>
      </c>
      <c r="H358" s="11">
        <v>45962</v>
      </c>
      <c r="J358" t="s">
        <v>47</v>
      </c>
      <c r="K358" t="str">
        <f>T_進路入力[[#This Row],[学籍番号]]&amp;T_進路入力[[#This Row],[進路決定]]</f>
        <v>2404005○</v>
      </c>
      <c r="L358" s="36" t="str">
        <f>_xlfn.IFNA(RIGHT(VLOOKUP(T_進路入力[[#This Row],[学籍番号]]&amp;"○",T_進路入力[進路決定確認ワーク],1,FALSE),1),"")</f>
        <v>○</v>
      </c>
    </row>
    <row r="359" spans="1:12" ht="13.5" customHeight="1" x14ac:dyDescent="0.15">
      <c r="A359">
        <v>2404036</v>
      </c>
      <c r="B359" t="s">
        <v>15</v>
      </c>
      <c r="C359" t="s">
        <v>262</v>
      </c>
      <c r="E359" t="s">
        <v>707</v>
      </c>
      <c r="F359" t="s">
        <v>295</v>
      </c>
      <c r="H359" s="11"/>
      <c r="I359" t="s">
        <v>281</v>
      </c>
      <c r="K359" t="str">
        <f>T_進路入力[[#This Row],[学籍番号]]&amp;T_進路入力[[#This Row],[進路決定]]</f>
        <v>2404036</v>
      </c>
      <c r="L359" s="36" t="str">
        <f>_xlfn.IFNA(RIGHT(VLOOKUP(T_進路入力[[#This Row],[学籍番号]]&amp;"○",T_進路入力[進路決定確認ワーク],1,FALSE),1),"")</f>
        <v/>
      </c>
    </row>
    <row r="360" spans="1:12" ht="13.5" customHeight="1" x14ac:dyDescent="0.15">
      <c r="A360">
        <v>2404041</v>
      </c>
      <c r="B360" t="s">
        <v>15</v>
      </c>
      <c r="C360" t="s">
        <v>263</v>
      </c>
      <c r="D360" t="s">
        <v>373</v>
      </c>
      <c r="F360" t="s">
        <v>325</v>
      </c>
      <c r="H360" s="11"/>
      <c r="K360" t="str">
        <f>T_進路入力[[#This Row],[学籍番号]]&amp;T_進路入力[[#This Row],[進路決定]]</f>
        <v>2404041</v>
      </c>
      <c r="L360" s="36"/>
    </row>
    <row r="361" spans="1:12" ht="13.5" customHeight="1" x14ac:dyDescent="0.15">
      <c r="A361">
        <v>2404041</v>
      </c>
      <c r="B361" t="s">
        <v>15</v>
      </c>
      <c r="C361" t="s">
        <v>263</v>
      </c>
      <c r="D361" t="s">
        <v>365</v>
      </c>
      <c r="F361" t="s">
        <v>325</v>
      </c>
      <c r="H361" s="11"/>
      <c r="K361" t="str">
        <f>T_進路入力[[#This Row],[学籍番号]]&amp;T_進路入力[[#This Row],[進路決定]]</f>
        <v>2404041</v>
      </c>
      <c r="L361" s="36"/>
    </row>
    <row r="362" spans="1:12" ht="13.5" customHeight="1" x14ac:dyDescent="0.15">
      <c r="A362">
        <v>2404041</v>
      </c>
      <c r="B362" t="s">
        <v>15</v>
      </c>
      <c r="C362" t="s">
        <v>263</v>
      </c>
      <c r="D362" t="s">
        <v>576</v>
      </c>
      <c r="E362" t="s">
        <v>577</v>
      </c>
      <c r="F362" t="s">
        <v>325</v>
      </c>
      <c r="G362" s="10">
        <v>45976</v>
      </c>
      <c r="H362" s="11">
        <v>45987</v>
      </c>
      <c r="K362" t="str">
        <f>T_進路入力[[#This Row],[学籍番号]]&amp;T_進路入力[[#This Row],[進路決定]]</f>
        <v>2404041</v>
      </c>
      <c r="L362" s="36"/>
    </row>
    <row r="363" spans="1:12" ht="13.5" customHeight="1" x14ac:dyDescent="0.15">
      <c r="A363">
        <v>2404041</v>
      </c>
      <c r="B363" t="s">
        <v>15</v>
      </c>
      <c r="C363" t="s">
        <v>263</v>
      </c>
      <c r="D363" t="s">
        <v>340</v>
      </c>
      <c r="F363" t="s">
        <v>325</v>
      </c>
      <c r="G363" s="10">
        <v>45991</v>
      </c>
      <c r="H363" s="11"/>
      <c r="K363" t="str">
        <f>T_進路入力[[#This Row],[学籍番号]]&amp;T_進路入力[[#This Row],[進路決定]]</f>
        <v>2404041</v>
      </c>
      <c r="L363" s="36"/>
    </row>
    <row r="364" spans="1:12" ht="13.5" customHeight="1" x14ac:dyDescent="0.15">
      <c r="A364">
        <v>2404041</v>
      </c>
      <c r="B364" t="s">
        <v>15</v>
      </c>
      <c r="C364" t="s">
        <v>263</v>
      </c>
      <c r="D364" t="s">
        <v>675</v>
      </c>
      <c r="E364" t="s">
        <v>676</v>
      </c>
      <c r="F364" t="s">
        <v>317</v>
      </c>
      <c r="G364" s="10">
        <v>46044</v>
      </c>
      <c r="H364" s="11"/>
      <c r="K364" t="str">
        <f>T_進路入力[[#This Row],[学籍番号]]&amp;T_進路入力[[#This Row],[進路決定]]</f>
        <v>2404041</v>
      </c>
      <c r="L364" s="36"/>
    </row>
    <row r="365" spans="1:12" ht="13.5" customHeight="1" x14ac:dyDescent="0.15">
      <c r="A365">
        <v>2404041</v>
      </c>
      <c r="B365" t="s">
        <v>15</v>
      </c>
      <c r="C365" t="s">
        <v>263</v>
      </c>
      <c r="E365" t="s">
        <v>707</v>
      </c>
      <c r="F365" t="s">
        <v>295</v>
      </c>
      <c r="G365" s="10"/>
      <c r="H365" s="11"/>
      <c r="I365" t="s">
        <v>281</v>
      </c>
      <c r="K365" t="str">
        <f>T_進路入力[[#This Row],[学籍番号]]&amp;T_進路入力[[#This Row],[進路決定]]</f>
        <v>2404041</v>
      </c>
      <c r="L365" s="36"/>
    </row>
    <row r="366" spans="1:12" ht="13.5" customHeight="1" x14ac:dyDescent="0.15">
      <c r="A366">
        <v>2404055</v>
      </c>
      <c r="B366" t="s">
        <v>15</v>
      </c>
      <c r="C366" t="s">
        <v>264</v>
      </c>
      <c r="E366" t="s">
        <v>707</v>
      </c>
      <c r="F366" t="s">
        <v>295</v>
      </c>
      <c r="H366" s="11"/>
      <c r="I366" t="s">
        <v>281</v>
      </c>
      <c r="J366" t="s">
        <v>2</v>
      </c>
      <c r="K366" t="str">
        <f>T_進路入力[[#This Row],[学籍番号]]&amp;T_進路入力[[#This Row],[進路決定]]</f>
        <v>2404055○</v>
      </c>
      <c r="L366" s="36" t="str">
        <f>_xlfn.IFNA(RIGHT(VLOOKUP(T_進路入力[[#This Row],[学籍番号]]&amp;"○",T_進路入力[進路決定確認ワーク],1,FALSE),1),"")</f>
        <v>○</v>
      </c>
    </row>
    <row r="367" spans="1:12" ht="13.5" customHeight="1" x14ac:dyDescent="0.15">
      <c r="A367">
        <v>2404066</v>
      </c>
      <c r="B367" t="s">
        <v>15</v>
      </c>
      <c r="C367" t="s">
        <v>265</v>
      </c>
      <c r="D367" t="s">
        <v>372</v>
      </c>
      <c r="F367" t="s">
        <v>304</v>
      </c>
      <c r="H367" s="11">
        <v>45904</v>
      </c>
      <c r="J367" t="s">
        <v>47</v>
      </c>
      <c r="K367" t="str">
        <f>T_進路入力[[#This Row],[学籍番号]]&amp;T_進路入力[[#This Row],[進路決定]]</f>
        <v>2404066○</v>
      </c>
      <c r="L367" s="36" t="str">
        <f>_xlfn.IFNA(RIGHT(VLOOKUP(T_進路入力[[#This Row],[学籍番号]]&amp;"○",T_進路入力[進路決定確認ワーク],1,FALSE),1),"")</f>
        <v>○</v>
      </c>
    </row>
    <row r="368" spans="1:12" ht="13.5" customHeight="1" x14ac:dyDescent="0.15">
      <c r="A368">
        <v>2404071</v>
      </c>
      <c r="B368" t="s">
        <v>15</v>
      </c>
      <c r="C368" t="s">
        <v>266</v>
      </c>
      <c r="D368" t="s">
        <v>22</v>
      </c>
      <c r="F368" t="s">
        <v>304</v>
      </c>
      <c r="G368" s="10">
        <v>45949</v>
      </c>
      <c r="H368" s="11">
        <v>45962</v>
      </c>
      <c r="J368" t="s">
        <v>47</v>
      </c>
      <c r="K368" t="str">
        <f>T_進路入力[[#This Row],[学籍番号]]&amp;T_進路入力[[#This Row],[進路決定]]</f>
        <v>2404071○</v>
      </c>
      <c r="L368" s="36" t="str">
        <f>_xlfn.IFNA(RIGHT(VLOOKUP(T_進路入力[[#This Row],[学籍番号]]&amp;"○",T_進路入力[進路決定確認ワーク],1,FALSE),1),"")</f>
        <v>○</v>
      </c>
    </row>
    <row r="369" spans="1:12" ht="13.5" customHeight="1" x14ac:dyDescent="0.15">
      <c r="A369">
        <v>2404072</v>
      </c>
      <c r="B369" t="s">
        <v>15</v>
      </c>
      <c r="C369" t="s">
        <v>267</v>
      </c>
      <c r="D369" t="s">
        <v>371</v>
      </c>
      <c r="E369" t="s">
        <v>342</v>
      </c>
      <c r="F369" t="s">
        <v>304</v>
      </c>
      <c r="H369" s="11">
        <v>45863</v>
      </c>
      <c r="J369" t="s">
        <v>47</v>
      </c>
      <c r="K369" t="str">
        <f>T_進路入力[[#This Row],[学籍番号]]&amp;T_進路入力[[#This Row],[進路決定]]</f>
        <v>2404072○</v>
      </c>
      <c r="L369" s="36" t="str">
        <f>_xlfn.IFNA(RIGHT(VLOOKUP(T_進路入力[[#This Row],[学籍番号]]&amp;"○",T_進路入力[進路決定確認ワーク],1,FALSE),1),"")</f>
        <v>○</v>
      </c>
    </row>
    <row r="370" spans="1:12" ht="13.5" customHeight="1" x14ac:dyDescent="0.15">
      <c r="A370">
        <v>2404079</v>
      </c>
      <c r="B370" t="s">
        <v>15</v>
      </c>
      <c r="C370" t="s">
        <v>268</v>
      </c>
      <c r="D370" t="s">
        <v>326</v>
      </c>
      <c r="E370" t="s">
        <v>342</v>
      </c>
      <c r="F370" t="s">
        <v>304</v>
      </c>
      <c r="H370" s="11">
        <v>45899</v>
      </c>
      <c r="J370" t="s">
        <v>47</v>
      </c>
      <c r="K370" t="str">
        <f>T_進路入力[[#This Row],[学籍番号]]&amp;T_進路入力[[#This Row],[進路決定]]</f>
        <v>2404079○</v>
      </c>
      <c r="L370" s="36" t="str">
        <f>_xlfn.IFNA(RIGHT(VLOOKUP(T_進路入力[[#This Row],[学籍番号]]&amp;"○",T_進路入力[進路決定確認ワーク],1,FALSE),1),"")</f>
        <v>○</v>
      </c>
    </row>
    <row r="371" spans="1:12" ht="13.5" customHeight="1" x14ac:dyDescent="0.15">
      <c r="A371">
        <v>2404101</v>
      </c>
      <c r="B371" t="s">
        <v>15</v>
      </c>
      <c r="C371" t="s">
        <v>269</v>
      </c>
      <c r="D371" t="s">
        <v>49</v>
      </c>
      <c r="F371" t="s">
        <v>325</v>
      </c>
      <c r="H371" s="11"/>
      <c r="K371" t="str">
        <f>T_進路入力[[#This Row],[学籍番号]]&amp;T_進路入力[[#This Row],[進路決定]]</f>
        <v>2404101</v>
      </c>
      <c r="L371" s="36" t="str">
        <f>_xlfn.IFNA(RIGHT(VLOOKUP(T_進路入力[[#This Row],[学籍番号]]&amp;"○",T_進路入力[進路決定確認ワーク],1,FALSE),1),"")</f>
        <v>○</v>
      </c>
    </row>
    <row r="372" spans="1:12" ht="13.5" customHeight="1" x14ac:dyDescent="0.15">
      <c r="A372">
        <v>2404101</v>
      </c>
      <c r="B372" t="s">
        <v>15</v>
      </c>
      <c r="C372" t="s">
        <v>269</v>
      </c>
      <c r="D372" t="s">
        <v>370</v>
      </c>
      <c r="F372" t="s">
        <v>304</v>
      </c>
      <c r="H372" s="11">
        <v>45916</v>
      </c>
      <c r="J372" t="s">
        <v>47</v>
      </c>
      <c r="K372" t="str">
        <f>T_進路入力[[#This Row],[学籍番号]]&amp;T_進路入力[[#This Row],[進路決定]]</f>
        <v>2404101○</v>
      </c>
      <c r="L372" s="36" t="str">
        <f>_xlfn.IFNA(RIGHT(VLOOKUP(T_進路入力[[#This Row],[学籍番号]]&amp;"○",T_進路入力[進路決定確認ワーク],1,FALSE),1),"")</f>
        <v>○</v>
      </c>
    </row>
    <row r="373" spans="1:12" ht="13.5" customHeight="1" x14ac:dyDescent="0.15">
      <c r="A373">
        <v>2404135</v>
      </c>
      <c r="B373" t="s">
        <v>15</v>
      </c>
      <c r="C373" t="s">
        <v>270</v>
      </c>
      <c r="D373" t="s">
        <v>369</v>
      </c>
      <c r="E373" t="s">
        <v>368</v>
      </c>
      <c r="F373" t="s">
        <v>304</v>
      </c>
      <c r="H373" s="11">
        <v>45889</v>
      </c>
      <c r="J373" t="s">
        <v>47</v>
      </c>
      <c r="K373" t="str">
        <f>T_進路入力[[#This Row],[学籍番号]]&amp;T_進路入力[[#This Row],[進路決定]]</f>
        <v>2404135○</v>
      </c>
      <c r="L373" s="36" t="str">
        <f>_xlfn.IFNA(RIGHT(VLOOKUP(T_進路入力[[#This Row],[学籍番号]]&amp;"○",T_進路入力[進路決定確認ワーク],1,FALSE),1),"")</f>
        <v>○</v>
      </c>
    </row>
    <row r="374" spans="1:12" ht="13.5" customHeight="1" x14ac:dyDescent="0.15">
      <c r="A374">
        <v>2404147</v>
      </c>
      <c r="B374" t="s">
        <v>15</v>
      </c>
      <c r="C374" t="s">
        <v>271</v>
      </c>
      <c r="D374" t="s">
        <v>365</v>
      </c>
      <c r="F374" t="s">
        <v>325</v>
      </c>
      <c r="H374" s="11"/>
      <c r="K374" t="str">
        <f>T_進路入力[[#This Row],[学籍番号]]&amp;T_進路入力[[#This Row],[進路決定]]</f>
        <v>2404147</v>
      </c>
      <c r="L374" s="36" t="str">
        <f>_xlfn.IFNA(RIGHT(VLOOKUP(T_進路入力[[#This Row],[学籍番号]]&amp;"○",T_進路入力[進路決定確認ワーク],1,FALSE),1),"")</f>
        <v>○</v>
      </c>
    </row>
    <row r="375" spans="1:12" ht="13.5" customHeight="1" x14ac:dyDescent="0.15">
      <c r="A375">
        <v>2404147</v>
      </c>
      <c r="B375" t="s">
        <v>15</v>
      </c>
      <c r="C375" t="s">
        <v>271</v>
      </c>
      <c r="D375" t="s">
        <v>331</v>
      </c>
      <c r="E375" t="s">
        <v>342</v>
      </c>
      <c r="F375" t="s">
        <v>304</v>
      </c>
      <c r="H375" s="11">
        <v>45889</v>
      </c>
      <c r="J375" t="s">
        <v>47</v>
      </c>
      <c r="K375" t="str">
        <f>T_進路入力[[#This Row],[学籍番号]]&amp;T_進路入力[[#This Row],[進路決定]]</f>
        <v>2404147○</v>
      </c>
      <c r="L375" s="36" t="str">
        <f>_xlfn.IFNA(RIGHT(VLOOKUP(T_進路入力[[#This Row],[学籍番号]]&amp;"○",T_進路入力[進路決定確認ワーク],1,FALSE),1),"")</f>
        <v>○</v>
      </c>
    </row>
    <row r="376" spans="1:12" ht="13.5" customHeight="1" x14ac:dyDescent="0.15">
      <c r="A376">
        <v>2404161</v>
      </c>
      <c r="B376" t="s">
        <v>15</v>
      </c>
      <c r="C376" t="s">
        <v>272</v>
      </c>
      <c r="D376" t="s">
        <v>331</v>
      </c>
      <c r="E376" t="s">
        <v>342</v>
      </c>
      <c r="F376" t="s">
        <v>304</v>
      </c>
      <c r="H376" s="11">
        <v>45853</v>
      </c>
      <c r="J376" t="s">
        <v>47</v>
      </c>
      <c r="K376" t="str">
        <f>T_進路入力[[#This Row],[学籍番号]]&amp;T_進路入力[[#This Row],[進路決定]]</f>
        <v>2404161○</v>
      </c>
      <c r="L376" s="36" t="str">
        <f>_xlfn.IFNA(RIGHT(VLOOKUP(T_進路入力[[#This Row],[学籍番号]]&amp;"○",T_進路入力[進路決定確認ワーク],1,FALSE),1),"")</f>
        <v>○</v>
      </c>
    </row>
    <row r="377" spans="1:12" ht="13.5" customHeight="1" x14ac:dyDescent="0.15">
      <c r="A377">
        <v>2404167</v>
      </c>
      <c r="B377" t="s">
        <v>15</v>
      </c>
      <c r="C377" t="s">
        <v>273</v>
      </c>
      <c r="D377" t="s">
        <v>369</v>
      </c>
      <c r="E377" t="s">
        <v>368</v>
      </c>
      <c r="F377" t="s">
        <v>304</v>
      </c>
      <c r="H377" s="11">
        <v>45889</v>
      </c>
      <c r="J377" t="s">
        <v>47</v>
      </c>
      <c r="K377" t="str">
        <f>T_進路入力[[#This Row],[学籍番号]]&amp;T_進路入力[[#This Row],[進路決定]]</f>
        <v>2404167○</v>
      </c>
      <c r="L377" s="36" t="str">
        <f>_xlfn.IFNA(RIGHT(VLOOKUP(T_進路入力[[#This Row],[学籍番号]]&amp;"○",T_進路入力[進路決定確認ワーク],1,FALSE),1),"")</f>
        <v>○</v>
      </c>
    </row>
    <row r="378" spans="1:12" ht="13.5" customHeight="1" x14ac:dyDescent="0.15">
      <c r="A378">
        <v>2404168</v>
      </c>
      <c r="B378" t="s">
        <v>15</v>
      </c>
      <c r="C378" t="s">
        <v>274</v>
      </c>
      <c r="D378" t="s">
        <v>365</v>
      </c>
      <c r="F378" t="s">
        <v>325</v>
      </c>
      <c r="H378" s="11"/>
      <c r="K378" t="str">
        <f>T_進路入力[[#This Row],[学籍番号]]&amp;T_進路入力[[#This Row],[進路決定]]</f>
        <v>2404168</v>
      </c>
      <c r="L378" s="36" t="str">
        <f>_xlfn.IFNA(RIGHT(VLOOKUP(T_進路入力[[#This Row],[学籍番号]]&amp;"○",T_進路入力[進路決定確認ワーク],1,FALSE),1),"")</f>
        <v>○</v>
      </c>
    </row>
    <row r="379" spans="1:12" ht="13.5" customHeight="1" x14ac:dyDescent="0.15">
      <c r="A379">
        <v>2404168</v>
      </c>
      <c r="B379" t="s">
        <v>15</v>
      </c>
      <c r="C379" t="s">
        <v>274</v>
      </c>
      <c r="D379" t="s">
        <v>331</v>
      </c>
      <c r="E379" t="s">
        <v>342</v>
      </c>
      <c r="F379" t="s">
        <v>304</v>
      </c>
      <c r="H379" s="11">
        <v>45889</v>
      </c>
      <c r="J379" t="s">
        <v>47</v>
      </c>
      <c r="K379" t="str">
        <f>T_進路入力[[#This Row],[学籍番号]]&amp;T_進路入力[[#This Row],[進路決定]]</f>
        <v>2404168○</v>
      </c>
      <c r="L379" s="36" t="str">
        <f>_xlfn.IFNA(RIGHT(VLOOKUP(T_進路入力[[#This Row],[学籍番号]]&amp;"○",T_進路入力[進路決定確認ワーク],1,FALSE),1),"")</f>
        <v>○</v>
      </c>
    </row>
    <row r="380" spans="1:12" ht="13.5" customHeight="1" x14ac:dyDescent="0.15">
      <c r="A380">
        <v>2407034</v>
      </c>
      <c r="B380" t="s">
        <v>15</v>
      </c>
      <c r="C380" t="s">
        <v>275</v>
      </c>
      <c r="D380" t="s">
        <v>362</v>
      </c>
      <c r="E380" t="s">
        <v>342</v>
      </c>
      <c r="F380" t="s">
        <v>325</v>
      </c>
      <c r="H380" s="11"/>
      <c r="K380" t="str">
        <f>T_進路入力[[#This Row],[学籍番号]]&amp;T_進路入力[[#This Row],[進路決定]]</f>
        <v>2407034</v>
      </c>
      <c r="L380" s="36" t="str">
        <f>_xlfn.IFNA(RIGHT(VLOOKUP(T_進路入力[[#This Row],[学籍番号]]&amp;"○",T_進路入力[進路決定確認ワーク],1,FALSE),1),"")</f>
        <v>○</v>
      </c>
    </row>
    <row r="381" spans="1:12" ht="13.5" customHeight="1" x14ac:dyDescent="0.15">
      <c r="A381">
        <v>2407034</v>
      </c>
      <c r="B381" t="s">
        <v>15</v>
      </c>
      <c r="C381" t="s">
        <v>275</v>
      </c>
      <c r="D381" t="s">
        <v>362</v>
      </c>
      <c r="E381" t="s">
        <v>367</v>
      </c>
      <c r="F381" t="s">
        <v>325</v>
      </c>
      <c r="H381" s="11"/>
      <c r="K381" t="str">
        <f>T_進路入力[[#This Row],[学籍番号]]&amp;T_進路入力[[#This Row],[進路決定]]</f>
        <v>2407034</v>
      </c>
      <c r="L381" s="36" t="str">
        <f>_xlfn.IFNA(RIGHT(VLOOKUP(T_進路入力[[#This Row],[学籍番号]]&amp;"○",T_進路入力[進路決定確認ワーク],1,FALSE),1),"")</f>
        <v>○</v>
      </c>
    </row>
    <row r="382" spans="1:12" ht="13.5" customHeight="1" x14ac:dyDescent="0.15">
      <c r="A382">
        <v>2407034</v>
      </c>
      <c r="B382" t="s">
        <v>15</v>
      </c>
      <c r="C382" t="s">
        <v>275</v>
      </c>
      <c r="D382" t="s">
        <v>365</v>
      </c>
      <c r="F382" t="s">
        <v>325</v>
      </c>
      <c r="G382" s="10">
        <v>45955</v>
      </c>
      <c r="H382" s="11">
        <v>45959</v>
      </c>
      <c r="K382" t="str">
        <f>T_進路入力[[#This Row],[学籍番号]]&amp;T_進路入力[[#This Row],[進路決定]]</f>
        <v>2407034</v>
      </c>
      <c r="L382" s="36" t="str">
        <f>_xlfn.IFNA(RIGHT(VLOOKUP(T_進路入力[[#This Row],[学籍番号]]&amp;"○",T_進路入力[進路決定確認ワーク],1,FALSE),1),"")</f>
        <v>○</v>
      </c>
    </row>
    <row r="383" spans="1:12" ht="13.5" customHeight="1" x14ac:dyDescent="0.15">
      <c r="A383">
        <v>2407034</v>
      </c>
      <c r="B383" t="s">
        <v>15</v>
      </c>
      <c r="C383" t="s">
        <v>275</v>
      </c>
      <c r="D383" t="s">
        <v>313</v>
      </c>
      <c r="E383" t="s">
        <v>518</v>
      </c>
      <c r="F383" t="s">
        <v>304</v>
      </c>
      <c r="G383" s="10">
        <v>45969</v>
      </c>
      <c r="H383" s="11">
        <v>45978</v>
      </c>
      <c r="J383" t="s">
        <v>2</v>
      </c>
      <c r="K383" t="str">
        <f>T_進路入力[[#This Row],[学籍番号]]&amp;T_進路入力[[#This Row],[進路決定]]</f>
        <v>2407034○</v>
      </c>
      <c r="L383" s="36" t="str">
        <f>_xlfn.IFNA(RIGHT(VLOOKUP(T_進路入力[[#This Row],[学籍番号]]&amp;"○",T_進路入力[進路決定確認ワーク],1,FALSE),1),"")</f>
        <v>○</v>
      </c>
    </row>
    <row r="384" spans="1:12" ht="13.5" customHeight="1" x14ac:dyDescent="0.15">
      <c r="A384">
        <v>2407045</v>
      </c>
      <c r="B384" t="s">
        <v>15</v>
      </c>
      <c r="C384" t="s">
        <v>276</v>
      </c>
      <c r="D384" t="s">
        <v>362</v>
      </c>
      <c r="E384" t="s">
        <v>342</v>
      </c>
      <c r="F384" t="s">
        <v>304</v>
      </c>
      <c r="H384" s="11">
        <v>45875</v>
      </c>
      <c r="J384" t="s">
        <v>2</v>
      </c>
      <c r="K384" t="str">
        <f>T_進路入力[[#This Row],[学籍番号]]&amp;T_進路入力[[#This Row],[進路決定]]</f>
        <v>2407045○</v>
      </c>
      <c r="L384" s="36" t="str">
        <f>_xlfn.IFNA(RIGHT(VLOOKUP(T_進路入力[[#This Row],[学籍番号]]&amp;"○",T_進路入力[進路決定確認ワーク],1,FALSE),1),"")</f>
        <v>○</v>
      </c>
    </row>
    <row r="385" spans="1:12" ht="13.5" customHeight="1" x14ac:dyDescent="0.15">
      <c r="A385">
        <v>2407046</v>
      </c>
      <c r="B385" t="s">
        <v>15</v>
      </c>
      <c r="C385" t="s">
        <v>277</v>
      </c>
      <c r="D385" t="s">
        <v>363</v>
      </c>
      <c r="E385" t="s">
        <v>623</v>
      </c>
      <c r="F385" t="s">
        <v>304</v>
      </c>
      <c r="G385" s="10">
        <v>45948</v>
      </c>
      <c r="H385" s="11">
        <v>45965</v>
      </c>
      <c r="J385" t="s">
        <v>47</v>
      </c>
      <c r="K385" t="str">
        <f>T_進路入力[[#This Row],[学籍番号]]&amp;T_進路入力[[#This Row],[進路決定]]</f>
        <v>2407046○</v>
      </c>
      <c r="L385" s="36" t="str">
        <f>_xlfn.IFNA(RIGHT(VLOOKUP(T_進路入力[[#This Row],[学籍番号]]&amp;"○",T_進路入力[進路決定確認ワーク],1,FALSE),1),"")</f>
        <v>○</v>
      </c>
    </row>
    <row r="386" spans="1:12" ht="13.5" customHeight="1" x14ac:dyDescent="0.15">
      <c r="A386">
        <v>2407059</v>
      </c>
      <c r="B386" t="s">
        <v>15</v>
      </c>
      <c r="C386" t="s">
        <v>278</v>
      </c>
      <c r="D386" t="s">
        <v>364</v>
      </c>
      <c r="F386" t="s">
        <v>304</v>
      </c>
      <c r="G386" s="10">
        <v>45941</v>
      </c>
      <c r="H386" s="10">
        <v>45951</v>
      </c>
      <c r="J386" t="s">
        <v>47</v>
      </c>
      <c r="K386" t="str">
        <f>T_進路入力[[#This Row],[学籍番号]]&amp;T_進路入力[[#This Row],[進路決定]]</f>
        <v>2407059○</v>
      </c>
      <c r="L386" s="36" t="str">
        <f>_xlfn.IFNA(RIGHT(VLOOKUP(T_進路入力[[#This Row],[学籍番号]]&amp;"○",T_進路入力[進路決定確認ワーク],1,FALSE),1),"")</f>
        <v>○</v>
      </c>
    </row>
    <row r="387" spans="1:12" ht="13.5" customHeight="1" x14ac:dyDescent="0.15">
      <c r="A387">
        <v>2407073</v>
      </c>
      <c r="B387" t="s">
        <v>15</v>
      </c>
      <c r="C387" t="s">
        <v>279</v>
      </c>
      <c r="D387" t="s">
        <v>331</v>
      </c>
      <c r="E387" t="s">
        <v>342</v>
      </c>
      <c r="F387" t="s">
        <v>321</v>
      </c>
      <c r="H387" s="11">
        <v>45853</v>
      </c>
      <c r="J387" t="s">
        <v>47</v>
      </c>
      <c r="K387" t="str">
        <f>T_進路入力[[#This Row],[学籍番号]]&amp;T_進路入力[[#This Row],[進路決定]]</f>
        <v>2407073○</v>
      </c>
      <c r="L387" s="36" t="str">
        <f>_xlfn.IFNA(RIGHT(VLOOKUP(T_進路入力[[#This Row],[学籍番号]]&amp;"○",T_進路入力[進路決定確認ワーク],1,FALSE),1),"")</f>
        <v>○</v>
      </c>
    </row>
    <row r="388" spans="1:12" ht="13.5" customHeight="1" x14ac:dyDescent="0.15">
      <c r="A388">
        <v>2501003</v>
      </c>
      <c r="B388" t="s">
        <v>15</v>
      </c>
      <c r="C388" t="s">
        <v>280</v>
      </c>
      <c r="E388" t="s">
        <v>283</v>
      </c>
      <c r="F388" t="s">
        <v>295</v>
      </c>
      <c r="H388" s="11"/>
      <c r="I388" t="s">
        <v>34</v>
      </c>
      <c r="K388" t="str">
        <f>T_進路入力[[#This Row],[学籍番号]]&amp;T_進路入力[[#This Row],[進路決定]]</f>
        <v>2501003</v>
      </c>
      <c r="L388" s="36" t="str">
        <f>_xlfn.IFNA(RIGHT(VLOOKUP(T_進路入力[[#This Row],[学籍番号]]&amp;"○",T_進路入力[進路決定確認ワーク],1,FALSE),1),"")</f>
        <v/>
      </c>
    </row>
    <row r="389" spans="1:12" ht="13.5" customHeight="1" x14ac:dyDescent="0.15">
      <c r="A389">
        <v>2510001</v>
      </c>
      <c r="B389" s="10" t="s">
        <v>703</v>
      </c>
      <c r="C389" t="s">
        <v>704</v>
      </c>
      <c r="D389" t="s">
        <v>705</v>
      </c>
      <c r="F389" t="s">
        <v>305</v>
      </c>
      <c r="G389" s="10">
        <v>46368</v>
      </c>
      <c r="H389" s="11">
        <v>46046</v>
      </c>
      <c r="K389" t="str">
        <f>T_進路入力[[#This Row],[学籍番号]]&amp;T_進路入力[[#This Row],[進路決定]]</f>
        <v>2510001</v>
      </c>
      <c r="L389" s="36" t="str">
        <f>_xlfn.IFNA(RIGHT(VLOOKUP(T_進路入力[[#This Row],[学籍番号]]&amp;"○",T_進路入力[進路決定確認ワーク],1,FALSE),1),"")</f>
        <v/>
      </c>
    </row>
  </sheetData>
  <phoneticPr fontId="1"/>
  <conditionalFormatting sqref="A7:C389">
    <cfRule type="expression" dxfId="6" priority="7">
      <formula>$A$7=$A$8</formula>
    </cfRule>
  </conditionalFormatting>
  <dataValidations count="2">
    <dataValidation type="list" allowBlank="1" showInputMessage="1" showErrorMessage="1" sqref="J372:J388 J7:J370" xr:uid="{CF3545C7-9363-4EDE-88E5-D89DE6B477CA}">
      <formula1>",○"</formula1>
    </dataValidation>
    <dataValidation type="list" allowBlank="1" showInputMessage="1" showErrorMessage="1" sqref="F7:F389" xr:uid="{DE70CA25-AF00-4C5F-B895-C62DCD8A669A}">
      <formula1>"未定,検討中,準備中,試験待ち,結果待ち,合格,不合格,辞退,入学取消,進学以外"</formula1>
    </dataValidation>
  </dataValidations>
  <pageMargins left="0.7" right="0.7" top="0.75" bottom="0.75" header="0.3" footer="0.3"/>
  <pageSetup paperSize="9" scale="70" orientation="landscape" horizontalDpi="1200" verticalDpi="1200" r:id="rId1"/>
  <colBreaks count="1" manualBreakCount="1">
    <brk id="12" max="1048575" man="1"/>
  </colBreaks>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345F-691E-4231-9D8D-25F290B8AFB8}">
  <sheetPr filterMode="1">
    <pageSetUpPr fitToPage="1"/>
  </sheetPr>
  <dimension ref="A1:S389"/>
  <sheetViews>
    <sheetView view="pageBreakPreview" zoomScaleNormal="90" zoomScaleSheetLayoutView="100" workbookViewId="0">
      <pane ySplit="5" topLeftCell="A6" activePane="bottomLeft" state="frozen"/>
      <selection activeCell="I9" sqref="I9"/>
      <selection pane="bottomLeft" activeCell="M165" sqref="M165"/>
    </sheetView>
  </sheetViews>
  <sheetFormatPr defaultRowHeight="13.5" x14ac:dyDescent="0.15"/>
  <cols>
    <col min="1" max="1" width="10.75" customWidth="1"/>
    <col min="2" max="2" width="6.375" customWidth="1"/>
    <col min="3" max="3" width="28.375" customWidth="1"/>
    <col min="4" max="4" width="30.125" customWidth="1"/>
    <col min="5" max="5" width="45.375" customWidth="1"/>
    <col min="7" max="7" width="10.5" bestFit="1" customWidth="1"/>
    <col min="8" max="8" width="9.25" customWidth="1"/>
    <col min="11" max="11" width="13.125" hidden="1" customWidth="1"/>
    <col min="12" max="12" width="8.75" customWidth="1"/>
  </cols>
  <sheetData>
    <row r="1" spans="1:12" x14ac:dyDescent="0.15">
      <c r="A1" t="str">
        <f>進路状況入力シート!A1</f>
        <v>卒業予定人数：240名</v>
      </c>
    </row>
    <row r="2" spans="1:12" x14ac:dyDescent="0.15">
      <c r="A2" t="str">
        <f>進路状況入力シート!A2</f>
        <v>進学確定人数：216／217名（99.5%)</v>
      </c>
    </row>
    <row r="3" spans="1:12" x14ac:dyDescent="0.15">
      <c r="A3" t="str">
        <f>進路状況入力シート!A3</f>
        <v>進学以外の人数：23名</v>
      </c>
    </row>
    <row r="5" spans="1:12" ht="31.5" customHeight="1" x14ac:dyDescent="0.15"/>
    <row r="6" spans="1:12" x14ac:dyDescent="0.15">
      <c r="A6" s="34" t="s">
        <v>0</v>
      </c>
      <c r="B6" s="34" t="s">
        <v>26</v>
      </c>
      <c r="C6" s="34" t="s">
        <v>1</v>
      </c>
      <c r="D6" s="34" t="s">
        <v>309</v>
      </c>
      <c r="E6" s="34" t="s">
        <v>343</v>
      </c>
      <c r="F6" s="34" t="s">
        <v>294</v>
      </c>
      <c r="G6" s="34" t="s">
        <v>292</v>
      </c>
      <c r="H6" s="34" t="s">
        <v>395</v>
      </c>
      <c r="I6" s="34" t="s">
        <v>296</v>
      </c>
      <c r="J6" s="34" t="s">
        <v>358</v>
      </c>
      <c r="K6" s="34" t="s">
        <v>432</v>
      </c>
      <c r="L6" s="34" t="s">
        <v>434</v>
      </c>
    </row>
    <row r="7" spans="1:12" x14ac:dyDescent="0.15">
      <c r="A7" cm="1">
        <f t="array" ref="A7:L389">T_進路入力[]</f>
        <v>2404012</v>
      </c>
      <c r="B7" t="str">
        <v>2-1</v>
      </c>
      <c r="C7" t="str">
        <v>KAUNG KHANT KYAW</v>
      </c>
      <c r="D7" s="35">
        <v>0</v>
      </c>
      <c r="E7" s="35" t="str">
        <v>特定活動ビザ希望</v>
      </c>
      <c r="F7" t="str">
        <v>進学以外</v>
      </c>
      <c r="G7" s="11">
        <v>0</v>
      </c>
      <c r="H7" s="11">
        <v>0</v>
      </c>
      <c r="I7" t="str">
        <v>特定活動</v>
      </c>
      <c r="J7">
        <v>0</v>
      </c>
      <c r="K7" t="str">
        <v>2404012</v>
      </c>
      <c r="L7" t="str">
        <v/>
      </c>
    </row>
    <row r="8" spans="1:12" hidden="1" x14ac:dyDescent="0.15">
      <c r="A8">
        <v>2404021</v>
      </c>
      <c r="B8" t="str">
        <v>2-1</v>
      </c>
      <c r="C8" t="str">
        <v>NANG PHWAY WADI OO</v>
      </c>
      <c r="D8" s="35" t="str">
        <v>大手前大学</v>
      </c>
      <c r="E8" s="35">
        <v>0</v>
      </c>
      <c r="F8" t="str">
        <v>不合格</v>
      </c>
      <c r="G8" s="11">
        <v>45967</v>
      </c>
      <c r="H8" s="11">
        <v>45981</v>
      </c>
      <c r="I8">
        <v>0</v>
      </c>
      <c r="J8">
        <v>0</v>
      </c>
      <c r="K8" t="str">
        <v>2404021</v>
      </c>
      <c r="L8" t="str">
        <v>○</v>
      </c>
    </row>
    <row r="9" spans="1:12" hidden="1" x14ac:dyDescent="0.15">
      <c r="A9">
        <v>2404021</v>
      </c>
      <c r="B9" t="str">
        <v>2-1</v>
      </c>
      <c r="C9" t="str">
        <v>NANG PHWAY WADI OO</v>
      </c>
      <c r="D9" s="35" t="str">
        <v>大阪モード学園</v>
      </c>
      <c r="E9" s="35">
        <v>0</v>
      </c>
      <c r="F9" t="str">
        <v>合格</v>
      </c>
      <c r="G9" s="11">
        <v>0</v>
      </c>
      <c r="H9" s="11">
        <v>45992</v>
      </c>
      <c r="I9">
        <v>0</v>
      </c>
      <c r="J9" t="str">
        <v>○</v>
      </c>
      <c r="K9" t="str">
        <v>2404021○</v>
      </c>
      <c r="L9" t="str">
        <v>○</v>
      </c>
    </row>
    <row r="10" spans="1:12" hidden="1" x14ac:dyDescent="0.15">
      <c r="A10">
        <v>2404022</v>
      </c>
      <c r="B10" t="str">
        <v>2-1</v>
      </c>
      <c r="C10" t="str">
        <v>THIRI MAY</v>
      </c>
      <c r="D10" s="35" t="str">
        <v>神戸松蔭大学</v>
      </c>
      <c r="E10" s="35" t="str">
        <v>指定校推薦</v>
      </c>
      <c r="F10" t="str">
        <v>合格</v>
      </c>
      <c r="G10" s="11">
        <v>0</v>
      </c>
      <c r="H10" s="11">
        <v>0</v>
      </c>
      <c r="I10">
        <v>0</v>
      </c>
      <c r="J10" t="str">
        <v>○</v>
      </c>
      <c r="K10" t="str">
        <v>2404022○</v>
      </c>
      <c r="L10" t="str">
        <v>○</v>
      </c>
    </row>
    <row r="11" spans="1:12" hidden="1" x14ac:dyDescent="0.15">
      <c r="A11">
        <v>2404025</v>
      </c>
      <c r="B11" t="str">
        <v>2-1</v>
      </c>
      <c r="C11" t="str">
        <v>MIN THIHA</v>
      </c>
      <c r="D11" s="35" t="str">
        <v>中央工学校OSAKA</v>
      </c>
      <c r="E11" s="35" t="str">
        <v>併願</v>
      </c>
      <c r="F11" t="str">
        <v>検討中</v>
      </c>
      <c r="G11" s="11">
        <v>0</v>
      </c>
      <c r="H11" s="11">
        <v>0</v>
      </c>
      <c r="I11">
        <v>0</v>
      </c>
      <c r="J11">
        <v>0</v>
      </c>
      <c r="K11" t="str">
        <v>2404025</v>
      </c>
      <c r="L11" t="str">
        <v>○</v>
      </c>
    </row>
    <row r="12" spans="1:12" hidden="1" x14ac:dyDescent="0.15">
      <c r="A12">
        <v>2404025</v>
      </c>
      <c r="B12" t="str">
        <v>2-1</v>
      </c>
      <c r="C12" t="str">
        <v>MIN THIHA</v>
      </c>
      <c r="D12" s="35" t="str">
        <v>大阪産業大学</v>
      </c>
      <c r="E12" s="35" t="str">
        <v>併願</v>
      </c>
      <c r="F12" t="str">
        <v>合格</v>
      </c>
      <c r="G12" s="11">
        <v>46081</v>
      </c>
      <c r="H12" s="11">
        <v>46092</v>
      </c>
      <c r="I12">
        <v>0</v>
      </c>
      <c r="J12" t="str">
        <v>○</v>
      </c>
      <c r="K12" t="str">
        <v>2404025○</v>
      </c>
      <c r="L12" t="str">
        <v>○</v>
      </c>
    </row>
    <row r="13" spans="1:12" hidden="1" x14ac:dyDescent="0.15">
      <c r="A13">
        <v>2404025</v>
      </c>
      <c r="B13" t="str">
        <v>2-1</v>
      </c>
      <c r="C13" t="str">
        <v>MIN THIHA</v>
      </c>
      <c r="D13" s="35" t="str">
        <v>大阪モード学園</v>
      </c>
      <c r="E13" s="35" t="str">
        <v>併願</v>
      </c>
      <c r="F13" t="str">
        <v>辞退</v>
      </c>
      <c r="G13" s="11">
        <v>46074</v>
      </c>
      <c r="H13" s="11">
        <v>46079</v>
      </c>
      <c r="I13">
        <v>0</v>
      </c>
      <c r="J13">
        <v>0</v>
      </c>
      <c r="K13" t="str">
        <v>2404025</v>
      </c>
      <c r="L13" t="str">
        <v>○</v>
      </c>
    </row>
    <row r="14" spans="1:12" hidden="1" x14ac:dyDescent="0.15">
      <c r="A14">
        <v>2404025</v>
      </c>
      <c r="B14" t="str">
        <v>2-1</v>
      </c>
      <c r="C14" t="str">
        <v>MIN THIHA</v>
      </c>
      <c r="D14" s="35" t="str">
        <v>ECC国際外語専門学校</v>
      </c>
      <c r="E14" s="35">
        <v>0</v>
      </c>
      <c r="F14" t="str">
        <v>不合格</v>
      </c>
      <c r="G14" s="11">
        <v>45986</v>
      </c>
      <c r="H14" s="11">
        <v>0</v>
      </c>
      <c r="I14">
        <v>0</v>
      </c>
      <c r="J14">
        <v>0</v>
      </c>
      <c r="K14" t="str">
        <v>2404025</v>
      </c>
      <c r="L14" t="str">
        <v>○</v>
      </c>
    </row>
    <row r="15" spans="1:12" hidden="1" x14ac:dyDescent="0.15">
      <c r="A15">
        <v>2404027</v>
      </c>
      <c r="B15" t="str">
        <v>2-1</v>
      </c>
      <c r="C15" t="str">
        <v>PHYO SI THU</v>
      </c>
      <c r="D15" s="35" t="str">
        <v>東京テクニカルカレッジ</v>
      </c>
      <c r="E15" s="35" t="str">
        <v>1回目、電子学科</v>
      </c>
      <c r="F15" t="str">
        <v>不合格</v>
      </c>
      <c r="G15" s="11">
        <v>45960</v>
      </c>
      <c r="H15" s="11">
        <v>0</v>
      </c>
      <c r="I15">
        <v>0</v>
      </c>
      <c r="J15">
        <v>0</v>
      </c>
      <c r="K15" t="str">
        <v>2404027</v>
      </c>
      <c r="L15" t="str">
        <v>○</v>
      </c>
    </row>
    <row r="16" spans="1:12" hidden="1" x14ac:dyDescent="0.15">
      <c r="A16">
        <v>2404027</v>
      </c>
      <c r="B16" t="str">
        <v>2-1</v>
      </c>
      <c r="C16" t="str">
        <v>PHYO SI THU</v>
      </c>
      <c r="D16" s="35" t="str">
        <v>東京テクニカルカレッジ</v>
      </c>
      <c r="E16" s="35" t="str">
        <v>2回目、AI学科</v>
      </c>
      <c r="F16" t="str">
        <v>合格</v>
      </c>
      <c r="G16" s="11">
        <v>45991</v>
      </c>
      <c r="H16" s="11">
        <v>46001</v>
      </c>
      <c r="I16">
        <v>0</v>
      </c>
      <c r="J16" t="str">
        <v>○</v>
      </c>
      <c r="K16" t="str">
        <v>2404027○</v>
      </c>
      <c r="L16" t="str">
        <v>○</v>
      </c>
    </row>
    <row r="17" spans="1:12" hidden="1" x14ac:dyDescent="0.15">
      <c r="A17">
        <v>2404027</v>
      </c>
      <c r="B17" t="str">
        <v>2-1</v>
      </c>
      <c r="C17" t="str">
        <v>PHYO SI THU</v>
      </c>
      <c r="D17" s="35" t="str">
        <v>大阪電子専門学校</v>
      </c>
      <c r="E17" s="35">
        <v>0</v>
      </c>
      <c r="F17" t="str">
        <v>試験待ち</v>
      </c>
      <c r="G17" s="11">
        <v>46002</v>
      </c>
      <c r="H17" s="11">
        <v>0</v>
      </c>
      <c r="I17">
        <v>0</v>
      </c>
      <c r="J17">
        <v>0</v>
      </c>
      <c r="K17" t="str">
        <v>2404027</v>
      </c>
      <c r="L17" t="str">
        <v>○</v>
      </c>
    </row>
    <row r="18" spans="1:12" hidden="1" x14ac:dyDescent="0.15">
      <c r="A18">
        <v>2404031</v>
      </c>
      <c r="B18" t="str">
        <v>2-1</v>
      </c>
      <c r="C18" t="str">
        <v>NWAY NWAY TUN</v>
      </c>
      <c r="D18" s="35" t="str">
        <v>東京テクニカルカレッジ</v>
      </c>
      <c r="E18" s="35">
        <v>0</v>
      </c>
      <c r="F18" t="str">
        <v>合格</v>
      </c>
      <c r="G18" s="11">
        <v>45937</v>
      </c>
      <c r="H18" s="11">
        <v>0</v>
      </c>
      <c r="I18">
        <v>0</v>
      </c>
      <c r="J18" t="str">
        <v>○</v>
      </c>
      <c r="K18" t="str">
        <v>2404031○</v>
      </c>
      <c r="L18" t="str">
        <v>○</v>
      </c>
    </row>
    <row r="19" spans="1:12" hidden="1" x14ac:dyDescent="0.15">
      <c r="A19">
        <v>2404042</v>
      </c>
      <c r="B19" t="str">
        <v>2-1</v>
      </c>
      <c r="C19" t="str">
        <v>PHU PHU MYAT THU</v>
      </c>
      <c r="D19" s="35" t="str">
        <v>ECC国際外語専門学校</v>
      </c>
      <c r="E19" s="35">
        <v>0</v>
      </c>
      <c r="F19" t="str">
        <v>合格</v>
      </c>
      <c r="G19" s="11">
        <v>45986</v>
      </c>
      <c r="H19" s="11">
        <v>45993</v>
      </c>
      <c r="I19">
        <v>0</v>
      </c>
      <c r="J19" t="str">
        <v>○</v>
      </c>
      <c r="K19" t="str">
        <v>2404042○</v>
      </c>
      <c r="L19" t="str">
        <v>○</v>
      </c>
    </row>
    <row r="20" spans="1:12" hidden="1" x14ac:dyDescent="0.15">
      <c r="A20">
        <v>2404043</v>
      </c>
      <c r="B20" t="str">
        <v>2-1</v>
      </c>
      <c r="C20" t="str">
        <v>RITA HLA MOE</v>
      </c>
      <c r="D20" s="35" t="str">
        <v>神戸国際大学</v>
      </c>
      <c r="E20" s="35">
        <v>0</v>
      </c>
      <c r="F20" t="str">
        <v>合格</v>
      </c>
      <c r="G20" s="11">
        <v>45933</v>
      </c>
      <c r="H20" s="11">
        <v>0</v>
      </c>
      <c r="I20">
        <v>0</v>
      </c>
      <c r="J20" t="str">
        <v>○</v>
      </c>
      <c r="K20" t="str">
        <v>2404043○</v>
      </c>
      <c r="L20" t="str">
        <v>○</v>
      </c>
    </row>
    <row r="21" spans="1:12" hidden="1" x14ac:dyDescent="0.15">
      <c r="A21">
        <v>2404025</v>
      </c>
      <c r="B21" t="str">
        <v>2-1</v>
      </c>
      <c r="C21" t="str">
        <v>MIN THIHA</v>
      </c>
      <c r="D21" s="35" t="str">
        <v>関西国際旅行ホテル専門学校</v>
      </c>
      <c r="E21" s="35">
        <v>0</v>
      </c>
      <c r="F21" t="str">
        <v>不合格</v>
      </c>
      <c r="G21" s="11">
        <v>0</v>
      </c>
      <c r="H21" s="11">
        <v>0</v>
      </c>
      <c r="I21">
        <v>0</v>
      </c>
      <c r="J21">
        <v>0</v>
      </c>
      <c r="K21" t="str">
        <v>2404025</v>
      </c>
      <c r="L21" t="str">
        <v>○</v>
      </c>
    </row>
    <row r="22" spans="1:12" hidden="1" x14ac:dyDescent="0.15">
      <c r="A22">
        <v>2404046</v>
      </c>
      <c r="B22" t="str">
        <v>2-1</v>
      </c>
      <c r="C22" t="str">
        <v>KYAL SIN LIN</v>
      </c>
      <c r="D22" s="35" t="str">
        <v>ECC国際外語専門学校</v>
      </c>
      <c r="E22" s="35">
        <v>0</v>
      </c>
      <c r="F22" t="str">
        <v>合格</v>
      </c>
      <c r="G22" s="11">
        <v>46004</v>
      </c>
      <c r="H22" s="11">
        <v>46007</v>
      </c>
      <c r="I22">
        <v>0</v>
      </c>
      <c r="J22" t="str">
        <v>○</v>
      </c>
      <c r="K22" t="str">
        <v>2404046○</v>
      </c>
      <c r="L22" t="str">
        <v>○</v>
      </c>
    </row>
    <row r="23" spans="1:12" hidden="1" x14ac:dyDescent="0.15">
      <c r="A23">
        <v>2404047</v>
      </c>
      <c r="B23" t="str">
        <v>2-1</v>
      </c>
      <c r="C23" t="str">
        <v>KHIN YADANAR OO</v>
      </c>
      <c r="D23" s="35" t="str">
        <v>エール学園</v>
      </c>
      <c r="E23" s="35">
        <v>0</v>
      </c>
      <c r="F23" t="str">
        <v>合格</v>
      </c>
      <c r="G23" s="11">
        <v>46039</v>
      </c>
      <c r="H23" s="11">
        <v>46048</v>
      </c>
      <c r="I23">
        <v>0</v>
      </c>
      <c r="J23" t="str">
        <v>○</v>
      </c>
      <c r="K23" t="str">
        <v>2404047○</v>
      </c>
      <c r="L23" t="str">
        <v>○</v>
      </c>
    </row>
    <row r="24" spans="1:12" hidden="1" x14ac:dyDescent="0.15">
      <c r="A24">
        <v>2404047</v>
      </c>
      <c r="B24" t="str">
        <v>2-1</v>
      </c>
      <c r="C24" t="str">
        <v>KHIN YADANAR OO</v>
      </c>
      <c r="D24" s="35" t="str">
        <v>中央工学校</v>
      </c>
      <c r="E24" s="35">
        <v>0</v>
      </c>
      <c r="F24" t="str">
        <v>不合格</v>
      </c>
      <c r="G24" s="11">
        <v>46001</v>
      </c>
      <c r="H24" s="11">
        <v>46008</v>
      </c>
      <c r="I24">
        <v>0</v>
      </c>
      <c r="J24">
        <v>0</v>
      </c>
      <c r="K24" t="str">
        <v>2404047</v>
      </c>
      <c r="L24" t="str">
        <v>○</v>
      </c>
    </row>
    <row r="25" spans="1:12" hidden="1" x14ac:dyDescent="0.15">
      <c r="A25">
        <v>2404050</v>
      </c>
      <c r="B25" t="str">
        <v>2-1</v>
      </c>
      <c r="C25" t="str">
        <v>THUTA ZAW</v>
      </c>
      <c r="D25" s="35" t="str">
        <v>東京みらいIT&amp;AI専門学校</v>
      </c>
      <c r="E25" s="35">
        <v>0</v>
      </c>
      <c r="F25" t="str">
        <v>合格</v>
      </c>
      <c r="G25" s="11">
        <v>45983</v>
      </c>
      <c r="H25" s="11">
        <v>45989</v>
      </c>
      <c r="I25">
        <v>0</v>
      </c>
      <c r="J25" t="str">
        <v>○</v>
      </c>
      <c r="K25" t="str">
        <v>2404050○</v>
      </c>
      <c r="L25" t="str">
        <v>○</v>
      </c>
    </row>
    <row r="26" spans="1:12" hidden="1" x14ac:dyDescent="0.15">
      <c r="A26">
        <v>2404051</v>
      </c>
      <c r="B26" t="str">
        <v>2-1</v>
      </c>
      <c r="C26" t="str">
        <v>KAUNG ZIN NYI</v>
      </c>
      <c r="D26" s="35" t="str">
        <v>中央工学校</v>
      </c>
      <c r="E26" s="35" t="str">
        <v>東京で日本語を勉強できる専門学校</v>
      </c>
      <c r="F26" t="str">
        <v>合格</v>
      </c>
      <c r="G26" s="11">
        <v>46001</v>
      </c>
      <c r="H26" s="11">
        <v>46008</v>
      </c>
      <c r="I26">
        <v>0</v>
      </c>
      <c r="J26" t="str">
        <v>○</v>
      </c>
      <c r="K26" t="str">
        <v>2404051○</v>
      </c>
      <c r="L26" t="str">
        <v>○</v>
      </c>
    </row>
    <row r="27" spans="1:12" hidden="1" x14ac:dyDescent="0.15">
      <c r="A27">
        <v>2404058</v>
      </c>
      <c r="B27" t="str">
        <v>2-1</v>
      </c>
      <c r="C27" t="str">
        <v>HAN THU SAN</v>
      </c>
      <c r="D27" s="35" t="str">
        <v>大手前大学</v>
      </c>
      <c r="E27" s="35">
        <v>0</v>
      </c>
      <c r="F27" t="str">
        <v>合格</v>
      </c>
      <c r="G27" s="11">
        <v>45966</v>
      </c>
      <c r="H27" s="11">
        <v>45981</v>
      </c>
      <c r="I27">
        <v>0</v>
      </c>
      <c r="J27" t="str">
        <v>○</v>
      </c>
      <c r="K27" t="str">
        <v>2404058○</v>
      </c>
      <c r="L27" t="str">
        <v>○</v>
      </c>
    </row>
    <row r="28" spans="1:12" hidden="1" x14ac:dyDescent="0.15">
      <c r="A28">
        <v>2404073</v>
      </c>
      <c r="B28" t="str">
        <v>2-1</v>
      </c>
      <c r="C28" t="str">
        <v>FAKIR SHAKIB</v>
      </c>
      <c r="D28" s="35" t="str">
        <v>東京国際ビジネスカレッジ神戸校</v>
      </c>
      <c r="E28" s="35">
        <v>0</v>
      </c>
      <c r="F28" t="str">
        <v>合格</v>
      </c>
      <c r="G28" s="11">
        <v>45997</v>
      </c>
      <c r="H28" s="11">
        <v>46001</v>
      </c>
      <c r="I28">
        <v>0</v>
      </c>
      <c r="J28" t="str">
        <v>○</v>
      </c>
      <c r="K28" t="str">
        <v>2404073○</v>
      </c>
      <c r="L28" t="str">
        <v>○</v>
      </c>
    </row>
    <row r="29" spans="1:12" hidden="1" x14ac:dyDescent="0.15">
      <c r="A29">
        <v>2404084</v>
      </c>
      <c r="B29" t="str">
        <v>2-1</v>
      </c>
      <c r="C29" t="str">
        <v>MD. MATIUR RAHMAN</v>
      </c>
      <c r="D29" s="35" t="str">
        <v>流通科学大学</v>
      </c>
      <c r="E29" s="35">
        <v>0</v>
      </c>
      <c r="F29" t="str">
        <v>合格</v>
      </c>
      <c r="G29" s="11">
        <v>45948</v>
      </c>
      <c r="H29" s="11">
        <v>45965</v>
      </c>
      <c r="I29">
        <v>0</v>
      </c>
      <c r="J29" t="str">
        <v>○</v>
      </c>
      <c r="K29" t="str">
        <v>2404084○</v>
      </c>
      <c r="L29" t="str">
        <v>○</v>
      </c>
    </row>
    <row r="30" spans="1:12" hidden="1" x14ac:dyDescent="0.15">
      <c r="A30">
        <v>2404093</v>
      </c>
      <c r="B30" t="str">
        <v>2-1</v>
      </c>
      <c r="C30" t="str">
        <v>DELWAR HOSHEN SAYED</v>
      </c>
      <c r="D30" s="35" t="str">
        <v>流通科学大学</v>
      </c>
      <c r="E30" s="35">
        <v>0</v>
      </c>
      <c r="F30" t="str">
        <v>合格</v>
      </c>
      <c r="G30" s="11">
        <v>45948</v>
      </c>
      <c r="H30" s="11">
        <v>45965</v>
      </c>
      <c r="I30">
        <v>0</v>
      </c>
      <c r="J30" t="str">
        <v>○</v>
      </c>
      <c r="K30" t="str">
        <v>2404093○</v>
      </c>
      <c r="L30" t="str">
        <v>○</v>
      </c>
    </row>
    <row r="31" spans="1:12" hidden="1" x14ac:dyDescent="0.15">
      <c r="A31">
        <v>2407013</v>
      </c>
      <c r="B31" t="str">
        <v>2-1</v>
      </c>
      <c r="C31" t="str">
        <v>SOE NYI HTUT</v>
      </c>
      <c r="D31" s="35" t="str">
        <v>立命館大学</v>
      </c>
      <c r="E31" s="35">
        <v>0</v>
      </c>
      <c r="F31" t="str">
        <v>不合格</v>
      </c>
      <c r="G31" s="11">
        <v>46068</v>
      </c>
      <c r="H31" s="11">
        <v>45961</v>
      </c>
      <c r="I31">
        <v>0</v>
      </c>
      <c r="J31">
        <v>0</v>
      </c>
      <c r="K31" t="str">
        <v>2407013</v>
      </c>
      <c r="L31" t="str">
        <v>○</v>
      </c>
    </row>
    <row r="32" spans="1:12" hidden="1" x14ac:dyDescent="0.15">
      <c r="A32">
        <v>2407013</v>
      </c>
      <c r="B32" t="str">
        <v>2-1</v>
      </c>
      <c r="C32" t="str">
        <v>SOE NYI HTUT</v>
      </c>
      <c r="D32" s="35" t="str">
        <v>大阪国際大学</v>
      </c>
      <c r="E32" s="35" t="str">
        <v>国際コミュニケーション科</v>
      </c>
      <c r="F32" t="str">
        <v>検討中</v>
      </c>
      <c r="G32" s="11">
        <v>45977</v>
      </c>
      <c r="H32" s="11">
        <v>45964</v>
      </c>
      <c r="I32">
        <v>0</v>
      </c>
      <c r="J32">
        <v>0</v>
      </c>
      <c r="K32" t="str">
        <v>2407013</v>
      </c>
      <c r="L32" t="str">
        <v>○</v>
      </c>
    </row>
    <row r="33" spans="1:12" hidden="1" x14ac:dyDescent="0.15">
      <c r="A33">
        <v>2407013</v>
      </c>
      <c r="B33" t="str">
        <v>2-1</v>
      </c>
      <c r="C33" t="str">
        <v>SOE NYI HTUT</v>
      </c>
      <c r="D33" s="35" t="str">
        <v>大阪学院大学</v>
      </c>
      <c r="E33" s="35">
        <v>0</v>
      </c>
      <c r="F33" t="str">
        <v>合格</v>
      </c>
      <c r="G33" s="11">
        <v>0</v>
      </c>
      <c r="H33" s="11">
        <v>46080</v>
      </c>
      <c r="I33">
        <v>0</v>
      </c>
      <c r="J33" t="str">
        <v>○</v>
      </c>
      <c r="K33" t="str">
        <v>2407013○</v>
      </c>
      <c r="L33" t="str">
        <v>○</v>
      </c>
    </row>
    <row r="34" spans="1:12" hidden="1" x14ac:dyDescent="0.15">
      <c r="A34">
        <v>2407025</v>
      </c>
      <c r="B34" t="str">
        <v>2-1</v>
      </c>
      <c r="C34" t="str">
        <v>KHIN PYAE SONE</v>
      </c>
      <c r="D34" s="35" t="str">
        <v>神戸電子専門学校</v>
      </c>
      <c r="E34" s="35">
        <v>0</v>
      </c>
      <c r="F34" t="str">
        <v>合格</v>
      </c>
      <c r="G34" s="11">
        <v>45958</v>
      </c>
      <c r="H34" s="11">
        <v>0</v>
      </c>
      <c r="I34">
        <v>0</v>
      </c>
      <c r="J34" t="str">
        <v>○</v>
      </c>
      <c r="K34" t="str">
        <v>2407025○</v>
      </c>
      <c r="L34" t="str">
        <v>○</v>
      </c>
    </row>
    <row r="35" spans="1:12" hidden="1" x14ac:dyDescent="0.15">
      <c r="A35">
        <v>2407013</v>
      </c>
      <c r="B35" t="str">
        <v>2-1</v>
      </c>
      <c r="C35" t="str">
        <v>SOE NYI HTUT</v>
      </c>
      <c r="D35" s="35" t="str">
        <v>大阪学院大学</v>
      </c>
      <c r="E35" s="35" t="str">
        <v>国際学部</v>
      </c>
      <c r="F35" t="str">
        <v>結果待ち</v>
      </c>
      <c r="G35" s="11">
        <v>46074</v>
      </c>
      <c r="H35" s="11">
        <v>46080</v>
      </c>
      <c r="I35">
        <v>0</v>
      </c>
      <c r="J35">
        <v>0</v>
      </c>
      <c r="K35" t="str">
        <v>2407013</v>
      </c>
      <c r="L35" t="str">
        <v>○</v>
      </c>
    </row>
    <row r="36" spans="1:12" hidden="1" x14ac:dyDescent="0.15">
      <c r="A36">
        <v>2404011</v>
      </c>
      <c r="B36" t="str">
        <v>2-2</v>
      </c>
      <c r="C36" t="str">
        <v>BUI NGOC ANH THU</v>
      </c>
      <c r="D36" s="35" t="str">
        <v>東京国際ビジネスカレッジ神戸校</v>
      </c>
      <c r="E36" s="35" t="str">
        <v>キャリアコミュケーション</v>
      </c>
      <c r="F36" t="str">
        <v>合格</v>
      </c>
      <c r="G36" s="11">
        <v>46067</v>
      </c>
      <c r="H36" s="11">
        <v>0</v>
      </c>
      <c r="I36">
        <v>0</v>
      </c>
      <c r="J36" t="str">
        <v>○</v>
      </c>
      <c r="K36" t="str">
        <v>2404011○</v>
      </c>
      <c r="L36" t="str">
        <v>○</v>
      </c>
    </row>
    <row r="37" spans="1:12" hidden="1" x14ac:dyDescent="0.15">
      <c r="A37">
        <v>2404013</v>
      </c>
      <c r="B37" t="str">
        <v>2-2</v>
      </c>
      <c r="C37" t="str">
        <v>CHIT MAUNG MAUNG</v>
      </c>
      <c r="D37" s="35">
        <v>0</v>
      </c>
      <c r="E37" s="35">
        <v>0</v>
      </c>
      <c r="F37" t="str">
        <v>進学以外</v>
      </c>
      <c r="G37" s="11">
        <v>0</v>
      </c>
      <c r="H37" s="11">
        <v>0</v>
      </c>
      <c r="I37" t="str">
        <v>特定活動</v>
      </c>
      <c r="J37">
        <v>0</v>
      </c>
      <c r="K37" t="str">
        <v>2404013</v>
      </c>
      <c r="L37" t="str">
        <v/>
      </c>
    </row>
    <row r="38" spans="1:12" hidden="1" x14ac:dyDescent="0.15">
      <c r="A38">
        <v>2404013</v>
      </c>
      <c r="B38" t="str">
        <v>2-2</v>
      </c>
      <c r="C38" t="str">
        <v>CHIT MAUNG MAUNG</v>
      </c>
      <c r="D38" s="35" t="str">
        <v>花壇自動車専門学校</v>
      </c>
      <c r="E38" s="35">
        <v>0</v>
      </c>
      <c r="F38" t="str">
        <v>不合格</v>
      </c>
      <c r="G38" s="11">
        <v>45974</v>
      </c>
      <c r="H38" s="11">
        <v>45989</v>
      </c>
      <c r="I38">
        <v>0</v>
      </c>
      <c r="J38">
        <v>0</v>
      </c>
      <c r="K38" t="str">
        <v>2404013</v>
      </c>
      <c r="L38" t="str">
        <v/>
      </c>
    </row>
    <row r="39" spans="1:12" hidden="1" x14ac:dyDescent="0.15">
      <c r="A39">
        <v>2404013</v>
      </c>
      <c r="B39" t="str">
        <v>2-2</v>
      </c>
      <c r="C39" t="str">
        <v>CHIT MAUNG MAUNG</v>
      </c>
      <c r="D39" s="35" t="str">
        <v>国際外語・観光・エアライン専門学校</v>
      </c>
      <c r="E39" s="35" t="str">
        <v>１年日本語コース→新潟国際自動車大学校</v>
      </c>
      <c r="F39" t="str">
        <v>辞退</v>
      </c>
      <c r="G39" s="11">
        <v>46044</v>
      </c>
      <c r="H39" s="11">
        <v>46056</v>
      </c>
      <c r="I39">
        <v>0</v>
      </c>
      <c r="J39">
        <v>0</v>
      </c>
      <c r="K39" t="str">
        <v>2404013</v>
      </c>
      <c r="L39" t="str">
        <v/>
      </c>
    </row>
    <row r="40" spans="1:12" hidden="1" x14ac:dyDescent="0.15">
      <c r="A40">
        <v>2404015</v>
      </c>
      <c r="B40" t="str">
        <v>2-2</v>
      </c>
      <c r="C40" t="str">
        <v>NAY LIN OO</v>
      </c>
      <c r="D40" s="35" t="str">
        <v>流通科学大学</v>
      </c>
      <c r="E40" s="35">
        <v>0</v>
      </c>
      <c r="F40" t="str">
        <v>辞退</v>
      </c>
      <c r="G40" s="11">
        <v>0</v>
      </c>
      <c r="H40" s="11">
        <v>0</v>
      </c>
      <c r="I40">
        <v>0</v>
      </c>
      <c r="J40">
        <v>0</v>
      </c>
      <c r="K40" t="str">
        <v>2404015</v>
      </c>
      <c r="L40" t="str">
        <v>○</v>
      </c>
    </row>
    <row r="41" spans="1:12" hidden="1" x14ac:dyDescent="0.15">
      <c r="A41">
        <v>2404015</v>
      </c>
      <c r="B41" t="str">
        <v>2-2</v>
      </c>
      <c r="C41" t="str">
        <v>NAY LIN OO</v>
      </c>
      <c r="D41" s="35" t="str">
        <v>神戸松蔭大学</v>
      </c>
      <c r="E41" s="35" t="str">
        <v>(指定校推薦)</v>
      </c>
      <c r="F41" t="str">
        <v>合格</v>
      </c>
      <c r="G41" s="11">
        <v>46056</v>
      </c>
      <c r="H41" s="11">
        <v>46069</v>
      </c>
      <c r="I41">
        <v>0</v>
      </c>
      <c r="J41" t="str">
        <v>○</v>
      </c>
      <c r="K41" t="str">
        <v>2404015○</v>
      </c>
      <c r="L41" t="str">
        <v>○</v>
      </c>
    </row>
    <row r="42" spans="1:12" hidden="1" x14ac:dyDescent="0.15">
      <c r="A42">
        <v>2404016</v>
      </c>
      <c r="B42" t="str">
        <v>2-2</v>
      </c>
      <c r="C42" t="str">
        <v>THAW ZIN HTUN</v>
      </c>
      <c r="D42" s="35" t="str">
        <v>神戸電子専門学校</v>
      </c>
      <c r="E42" s="35" t="str">
        <v>AIシステム開発学科</v>
      </c>
      <c r="F42" t="str">
        <v>合格</v>
      </c>
      <c r="G42" s="11">
        <v>46003</v>
      </c>
      <c r="H42" s="11">
        <v>46009</v>
      </c>
      <c r="I42">
        <v>0</v>
      </c>
      <c r="J42" t="str">
        <v>○</v>
      </c>
      <c r="K42" t="str">
        <v>2404016○</v>
      </c>
      <c r="L42" t="str">
        <v>○</v>
      </c>
    </row>
    <row r="43" spans="1:12" hidden="1" x14ac:dyDescent="0.15">
      <c r="A43">
        <v>2404017</v>
      </c>
      <c r="B43" t="str">
        <v>2-2</v>
      </c>
      <c r="C43" t="str">
        <v>HNIN HNIN WAI</v>
      </c>
      <c r="D43" s="35" t="str">
        <v>神戸国際大学</v>
      </c>
      <c r="E43" s="35" t="str">
        <v>経済学部 経済経営学科</v>
      </c>
      <c r="F43" t="str">
        <v>合格</v>
      </c>
      <c r="G43" s="11">
        <v>45942</v>
      </c>
      <c r="H43" s="11">
        <v>45965</v>
      </c>
      <c r="I43">
        <v>0</v>
      </c>
      <c r="J43" t="str">
        <v>○</v>
      </c>
      <c r="K43" t="str">
        <v>2404017○</v>
      </c>
      <c r="L43" t="str">
        <v>○</v>
      </c>
    </row>
    <row r="44" spans="1:12" hidden="1" x14ac:dyDescent="0.15">
      <c r="A44">
        <v>2404018</v>
      </c>
      <c r="B44" t="str">
        <v>2-2</v>
      </c>
      <c r="C44" t="str">
        <v>MAY PHOO THIT</v>
      </c>
      <c r="D44" s="35" t="str">
        <v>大阪モード学園</v>
      </c>
      <c r="E44" s="35" t="str">
        <v>昼間部ファッションデザイン学科</v>
      </c>
      <c r="F44" t="str">
        <v>合格</v>
      </c>
      <c r="G44" s="11">
        <v>45888</v>
      </c>
      <c r="H44" s="11">
        <v>45957</v>
      </c>
      <c r="I44">
        <v>0</v>
      </c>
      <c r="J44" t="str">
        <v>○</v>
      </c>
      <c r="K44" t="str">
        <v>2404018○</v>
      </c>
      <c r="L44" t="str">
        <v>○</v>
      </c>
    </row>
    <row r="45" spans="1:12" hidden="1" x14ac:dyDescent="0.15">
      <c r="A45">
        <v>2404020</v>
      </c>
      <c r="B45" t="str">
        <v>2-2</v>
      </c>
      <c r="C45" t="str">
        <v>SAI KWAN PHA</v>
      </c>
      <c r="D45" s="35" t="str">
        <v>ECC国際外語専門学校</v>
      </c>
      <c r="E45" s="35" t="str">
        <v>大学進学コース</v>
      </c>
      <c r="F45" t="str">
        <v>合格</v>
      </c>
      <c r="G45" s="11">
        <v>45990</v>
      </c>
      <c r="H45" s="11">
        <v>45992</v>
      </c>
      <c r="I45">
        <v>0</v>
      </c>
      <c r="J45" t="str">
        <v>○</v>
      </c>
      <c r="K45" t="str">
        <v>2404020○</v>
      </c>
      <c r="L45" t="str">
        <v>○</v>
      </c>
    </row>
    <row r="46" spans="1:12" hidden="1" x14ac:dyDescent="0.15">
      <c r="A46">
        <v>2404023</v>
      </c>
      <c r="B46" t="str">
        <v>2-2</v>
      </c>
      <c r="C46" t="str">
        <v>LAE YI HTUN</v>
      </c>
      <c r="D46" s="35" t="str">
        <v>修成建設専門学校</v>
      </c>
      <c r="E46" s="35" t="str">
        <v>工業専門課程 第1本科(昼) 建築学科</v>
      </c>
      <c r="F46" t="str">
        <v>合格</v>
      </c>
      <c r="G46" s="11">
        <v>45955</v>
      </c>
      <c r="H46" s="11">
        <v>45959</v>
      </c>
      <c r="I46">
        <v>0</v>
      </c>
      <c r="J46" t="str">
        <v>○</v>
      </c>
      <c r="K46" t="str">
        <v>2404023○</v>
      </c>
      <c r="L46" t="str">
        <v>○</v>
      </c>
    </row>
    <row r="47" spans="1:12" x14ac:dyDescent="0.15">
      <c r="A47">
        <v>2404024</v>
      </c>
      <c r="B47" t="str">
        <v>2-2</v>
      </c>
      <c r="C47" t="str">
        <v>KHAY MON CHAN</v>
      </c>
      <c r="D47" s="35" t="str">
        <v>ECC国際外語専門学校</v>
      </c>
      <c r="E47" s="35" t="str">
        <v>グローバルビジネスコース</v>
      </c>
      <c r="F47" t="str">
        <v>不合格</v>
      </c>
      <c r="G47" s="11">
        <v>45969</v>
      </c>
      <c r="H47" s="11">
        <v>45978</v>
      </c>
      <c r="I47">
        <v>0</v>
      </c>
      <c r="J47">
        <v>0</v>
      </c>
      <c r="K47" t="str">
        <v>2404024</v>
      </c>
      <c r="L47" t="str">
        <v/>
      </c>
    </row>
    <row r="48" spans="1:12" x14ac:dyDescent="0.15">
      <c r="A48">
        <v>2404024</v>
      </c>
      <c r="B48" t="str">
        <v>2-2</v>
      </c>
      <c r="C48" t="str">
        <v>KHAY MON CHAN</v>
      </c>
      <c r="D48" s="35">
        <v>0</v>
      </c>
      <c r="E48" s="35" t="str">
        <v>特定活動</v>
      </c>
      <c r="F48" t="str">
        <v>進学以外</v>
      </c>
      <c r="G48" s="11">
        <v>0</v>
      </c>
      <c r="H48" s="11">
        <v>0</v>
      </c>
      <c r="I48" t="str">
        <v>特定活動</v>
      </c>
      <c r="J48">
        <v>0</v>
      </c>
      <c r="K48" t="str">
        <v>2404024</v>
      </c>
      <c r="L48" t="str">
        <v/>
      </c>
    </row>
    <row r="49" spans="1:12" hidden="1" x14ac:dyDescent="0.15">
      <c r="A49">
        <v>2404026</v>
      </c>
      <c r="B49" t="str">
        <v>2-2</v>
      </c>
      <c r="C49" t="str">
        <v>YE MIN HTET</v>
      </c>
      <c r="D49" s="35" t="str">
        <v>神戸国際大学</v>
      </c>
      <c r="E49" s="35" t="str">
        <v>経済学部 国際文化ビジネス・観光学科</v>
      </c>
      <c r="F49" t="str">
        <v>辞退</v>
      </c>
      <c r="G49" s="11">
        <v>46005</v>
      </c>
      <c r="H49" s="11">
        <v>46016</v>
      </c>
      <c r="I49">
        <v>0</v>
      </c>
      <c r="J49">
        <v>0</v>
      </c>
      <c r="K49" t="str">
        <v>2404026</v>
      </c>
      <c r="L49" t="str">
        <v>○</v>
      </c>
    </row>
    <row r="50" spans="1:12" hidden="1" x14ac:dyDescent="0.15">
      <c r="A50">
        <v>2404026</v>
      </c>
      <c r="B50" t="str">
        <v>2-2</v>
      </c>
      <c r="C50" t="str">
        <v>YE MIN HTET</v>
      </c>
      <c r="D50" s="35" t="str">
        <v>神戸松蔭大学</v>
      </c>
      <c r="E50" s="35" t="str">
        <v>(指定校推薦)グローバルコミュニケーション学科</v>
      </c>
      <c r="F50" t="str">
        <v>合格</v>
      </c>
      <c r="G50" s="11">
        <v>46056</v>
      </c>
      <c r="H50" s="11">
        <v>46069</v>
      </c>
      <c r="I50">
        <v>0</v>
      </c>
      <c r="J50" t="str">
        <v>○</v>
      </c>
      <c r="K50" t="str">
        <v>2404026○</v>
      </c>
      <c r="L50" t="str">
        <v>○</v>
      </c>
    </row>
    <row r="51" spans="1:12" hidden="1" x14ac:dyDescent="0.15">
      <c r="A51">
        <v>2404029</v>
      </c>
      <c r="B51" t="str">
        <v>2-2</v>
      </c>
      <c r="C51" t="str">
        <v>KAY ZIN OO</v>
      </c>
      <c r="D51" s="35" t="str">
        <v>ECC国際外語専門学校</v>
      </c>
      <c r="E51" s="35" t="str">
        <v>グローバルビジネスコース</v>
      </c>
      <c r="F51" t="str">
        <v>合格</v>
      </c>
      <c r="G51" s="11">
        <v>45969</v>
      </c>
      <c r="H51" s="11">
        <v>45992</v>
      </c>
      <c r="I51">
        <v>0</v>
      </c>
      <c r="J51" t="str">
        <v>○</v>
      </c>
      <c r="K51" t="str">
        <v>2404029○</v>
      </c>
      <c r="L51" t="str">
        <v>○</v>
      </c>
    </row>
    <row r="52" spans="1:12" hidden="1" x14ac:dyDescent="0.15">
      <c r="A52">
        <v>2404030</v>
      </c>
      <c r="B52" t="str">
        <v>2-2</v>
      </c>
      <c r="C52" t="str">
        <v>MYAT PWINT WAI</v>
      </c>
      <c r="D52" s="35" t="str">
        <v>中央工学校</v>
      </c>
      <c r="E52" s="35">
        <v>0</v>
      </c>
      <c r="F52" t="str">
        <v>合格</v>
      </c>
      <c r="G52" s="11">
        <v>46001</v>
      </c>
      <c r="H52" s="11">
        <v>46001</v>
      </c>
      <c r="I52">
        <v>0</v>
      </c>
      <c r="J52" t="str">
        <v>○</v>
      </c>
      <c r="K52" t="str">
        <v>2404030○</v>
      </c>
      <c r="L52" t="str">
        <v>○</v>
      </c>
    </row>
    <row r="53" spans="1:12" hidden="1" x14ac:dyDescent="0.15">
      <c r="A53">
        <v>2404049</v>
      </c>
      <c r="B53" t="str">
        <v>2-2</v>
      </c>
      <c r="C53" t="str">
        <v>SAI KHANT SITHU</v>
      </c>
      <c r="D53" s="35" t="str">
        <v>大阪モード学園</v>
      </c>
      <c r="E53" s="35" t="str">
        <v>インテリア学科</v>
      </c>
      <c r="F53" t="str">
        <v>合格</v>
      </c>
      <c r="G53" s="11">
        <v>45888</v>
      </c>
      <c r="H53" s="11">
        <v>45957</v>
      </c>
      <c r="I53">
        <v>0</v>
      </c>
      <c r="J53" t="str">
        <v>○</v>
      </c>
      <c r="K53" t="str">
        <v>2404049○</v>
      </c>
      <c r="L53" t="str">
        <v>○</v>
      </c>
    </row>
    <row r="54" spans="1:12" hidden="1" x14ac:dyDescent="0.15">
      <c r="A54">
        <v>2404110</v>
      </c>
      <c r="B54" t="str">
        <v>2-2</v>
      </c>
      <c r="C54" t="str">
        <v>MD. JONAYET</v>
      </c>
      <c r="D54" s="35" t="str">
        <v>早稲田文理専門学校</v>
      </c>
      <c r="E54" s="35" t="str">
        <v>AIデザイン学科</v>
      </c>
      <c r="F54" t="str">
        <v>合格</v>
      </c>
      <c r="G54" s="11">
        <v>45966</v>
      </c>
      <c r="H54" s="11">
        <v>45973</v>
      </c>
      <c r="I54">
        <v>0</v>
      </c>
      <c r="J54" t="str">
        <v>○</v>
      </c>
      <c r="K54" t="str">
        <v>2404110○</v>
      </c>
      <c r="L54" t="str">
        <v>○</v>
      </c>
    </row>
    <row r="55" spans="1:12" hidden="1" x14ac:dyDescent="0.15">
      <c r="A55">
        <v>2404110</v>
      </c>
      <c r="B55" t="str">
        <v>2-2</v>
      </c>
      <c r="C55" t="str">
        <v>MD. JONAYET</v>
      </c>
      <c r="D55" s="35" t="str">
        <v>中央情報専門学校</v>
      </c>
      <c r="E55" s="35" t="str">
        <v>IT・WEB学科</v>
      </c>
      <c r="F55" t="str">
        <v>辞退</v>
      </c>
      <c r="G55" s="11">
        <v>0</v>
      </c>
      <c r="H55" s="11">
        <v>0</v>
      </c>
      <c r="I55">
        <v>0</v>
      </c>
      <c r="J55">
        <v>0</v>
      </c>
      <c r="K55" t="str">
        <v>2404110</v>
      </c>
      <c r="L55" t="str">
        <v>○</v>
      </c>
    </row>
    <row r="56" spans="1:12" hidden="1" x14ac:dyDescent="0.15">
      <c r="A56">
        <v>2404165</v>
      </c>
      <c r="B56" t="str">
        <v>2-2</v>
      </c>
      <c r="C56" t="str">
        <v>GIRI TAPENDRA RAJ</v>
      </c>
      <c r="D56" s="35" t="str">
        <v>エール学園</v>
      </c>
      <c r="E56" s="35" t="str">
        <v>国際ビジネス学科</v>
      </c>
      <c r="F56" t="str">
        <v>辞退</v>
      </c>
      <c r="G56" s="11">
        <v>0</v>
      </c>
      <c r="H56" s="11">
        <v>0</v>
      </c>
      <c r="I56">
        <v>0</v>
      </c>
      <c r="J56">
        <v>0</v>
      </c>
      <c r="K56" t="str">
        <v>2404165</v>
      </c>
      <c r="L56" t="str">
        <v>○</v>
      </c>
    </row>
    <row r="57" spans="1:12" hidden="1" x14ac:dyDescent="0.15">
      <c r="A57">
        <v>2404165</v>
      </c>
      <c r="B57" t="str">
        <v>2-2</v>
      </c>
      <c r="C57" t="str">
        <v>GIRI TAPENDRA RAJ</v>
      </c>
      <c r="D57" s="35" t="str">
        <v>柏木実業専門学校</v>
      </c>
      <c r="E57" s="35" t="str">
        <v>情報ビジネス科</v>
      </c>
      <c r="F57" t="str">
        <v>合格</v>
      </c>
      <c r="G57" s="11">
        <v>45954</v>
      </c>
      <c r="H57" s="11">
        <v>45965</v>
      </c>
      <c r="I57">
        <v>0</v>
      </c>
      <c r="J57" t="str">
        <v>○</v>
      </c>
      <c r="K57" t="str">
        <v>2404165○</v>
      </c>
      <c r="L57" t="str">
        <v>○</v>
      </c>
    </row>
    <row r="58" spans="1:12" x14ac:dyDescent="0.15">
      <c r="A58">
        <v>2407029</v>
      </c>
      <c r="B58" t="str">
        <v>2-2</v>
      </c>
      <c r="C58" t="str">
        <v>EI EI THEIN</v>
      </c>
      <c r="D58" s="35" t="str">
        <v>東京国際ビジネスカレッジ神戸校</v>
      </c>
      <c r="E58" s="35" t="str">
        <v>キャリアデザインコース</v>
      </c>
      <c r="F58" t="str">
        <v>不合格</v>
      </c>
      <c r="G58" s="11">
        <v>45997</v>
      </c>
      <c r="H58" s="11">
        <v>46003</v>
      </c>
      <c r="I58">
        <v>0</v>
      </c>
      <c r="J58">
        <v>0</v>
      </c>
      <c r="K58" t="str">
        <v>2407029</v>
      </c>
      <c r="L58" t="str">
        <v>○</v>
      </c>
    </row>
    <row r="59" spans="1:12" x14ac:dyDescent="0.15">
      <c r="A59">
        <v>2407029</v>
      </c>
      <c r="B59" t="str">
        <v>2-2</v>
      </c>
      <c r="C59" t="str">
        <v>EI EI THEIN</v>
      </c>
      <c r="D59" s="35">
        <v>0</v>
      </c>
      <c r="E59" s="35">
        <v>0</v>
      </c>
      <c r="F59" t="str">
        <v>進学以外</v>
      </c>
      <c r="G59" s="11">
        <v>0</v>
      </c>
      <c r="H59" s="11">
        <v>0</v>
      </c>
      <c r="I59" t="str">
        <v>特定活動</v>
      </c>
      <c r="J59" t="str">
        <v>○</v>
      </c>
      <c r="K59" t="str">
        <v>2407029○</v>
      </c>
      <c r="L59" t="str">
        <v>○</v>
      </c>
    </row>
    <row r="60" spans="1:12" hidden="1" x14ac:dyDescent="0.15">
      <c r="A60">
        <v>2407068</v>
      </c>
      <c r="B60" t="str">
        <v>2-2</v>
      </c>
      <c r="C60" t="str">
        <v>TAMANG NIKITA</v>
      </c>
      <c r="D60" s="35" t="str">
        <v>流通経済大学</v>
      </c>
      <c r="E60" s="35" t="str">
        <v>流通情報学部 流通情報学科</v>
      </c>
      <c r="F60" t="str">
        <v>合格</v>
      </c>
      <c r="G60" s="11">
        <v>45969</v>
      </c>
      <c r="H60" s="11">
        <v>45974</v>
      </c>
      <c r="I60">
        <v>0</v>
      </c>
      <c r="J60" t="str">
        <v>○</v>
      </c>
      <c r="K60" t="str">
        <v>2407068○</v>
      </c>
      <c r="L60" t="str">
        <v>○</v>
      </c>
    </row>
    <row r="61" spans="1:12" hidden="1" x14ac:dyDescent="0.15">
      <c r="A61">
        <v>2407070</v>
      </c>
      <c r="B61" t="str">
        <v>2-2</v>
      </c>
      <c r="C61" t="str">
        <v>TAMANG ALISHA</v>
      </c>
      <c r="D61" s="35" t="str">
        <v>日本経済大学渋谷校</v>
      </c>
      <c r="E61" s="35" t="str">
        <v>経営学部 経営学科</v>
      </c>
      <c r="F61" t="str">
        <v>辞退</v>
      </c>
      <c r="G61" s="11">
        <v>0</v>
      </c>
      <c r="H61" s="11">
        <v>0</v>
      </c>
      <c r="I61">
        <v>0</v>
      </c>
      <c r="J61">
        <v>0</v>
      </c>
      <c r="K61" t="str">
        <v>2407070</v>
      </c>
      <c r="L61" t="str">
        <v>○</v>
      </c>
    </row>
    <row r="62" spans="1:12" hidden="1" x14ac:dyDescent="0.15">
      <c r="A62">
        <v>2407070</v>
      </c>
      <c r="B62" t="str">
        <v>2-2</v>
      </c>
      <c r="C62" t="str">
        <v>TAMANG ALISHA</v>
      </c>
      <c r="D62" s="35" t="str">
        <v>東京テクニカルカレッジ</v>
      </c>
      <c r="E62" s="35" t="str">
        <v>ブリッジエンジニア科</v>
      </c>
      <c r="F62" t="str">
        <v>合格</v>
      </c>
      <c r="G62" s="11">
        <v>45973</v>
      </c>
      <c r="H62" s="11">
        <v>45986</v>
      </c>
      <c r="I62">
        <v>0</v>
      </c>
      <c r="J62" t="str">
        <v>○</v>
      </c>
      <c r="K62" t="str">
        <v>2407070○</v>
      </c>
      <c r="L62" t="str">
        <v>○</v>
      </c>
    </row>
    <row r="63" spans="1:12" hidden="1" x14ac:dyDescent="0.15">
      <c r="A63">
        <v>2407077</v>
      </c>
      <c r="B63" t="str">
        <v>2-2</v>
      </c>
      <c r="C63" t="str">
        <v>SHRESTHA BHUWAN</v>
      </c>
      <c r="D63" s="35" t="str">
        <v>東京国際ビジネスカレッジ神戸校</v>
      </c>
      <c r="E63" s="35" t="str">
        <v>国際コミュニケーション学科キャリアデザインコース</v>
      </c>
      <c r="F63" t="str">
        <v>合格</v>
      </c>
      <c r="G63" s="11">
        <v>45934</v>
      </c>
      <c r="H63" s="11">
        <v>45938</v>
      </c>
      <c r="I63">
        <v>0</v>
      </c>
      <c r="J63" t="str">
        <v>○</v>
      </c>
      <c r="K63" t="str">
        <v>2407077○</v>
      </c>
      <c r="L63" t="str">
        <v>○</v>
      </c>
    </row>
    <row r="64" spans="1:12" x14ac:dyDescent="0.15">
      <c r="A64">
        <v>2501002</v>
      </c>
      <c r="B64" t="str">
        <v>2-2</v>
      </c>
      <c r="C64" t="str">
        <v>NWAY KHET KHET PAN</v>
      </c>
      <c r="D64" s="35">
        <v>0</v>
      </c>
      <c r="E64" s="35" t="str">
        <v>特定活動</v>
      </c>
      <c r="F64" t="str">
        <v>進学以外</v>
      </c>
      <c r="G64" s="11">
        <v>0</v>
      </c>
      <c r="H64" s="11">
        <v>0</v>
      </c>
      <c r="I64" t="str">
        <v>特定活動</v>
      </c>
      <c r="J64" t="str">
        <v>○</v>
      </c>
      <c r="K64" t="str">
        <v>2501002○</v>
      </c>
      <c r="L64" t="str">
        <v>○</v>
      </c>
    </row>
    <row r="65" spans="1:12" x14ac:dyDescent="0.15">
      <c r="A65">
        <v>2501002</v>
      </c>
      <c r="B65" t="str">
        <v>2-2</v>
      </c>
      <c r="C65" t="str">
        <v>NWAY KHET KHET PAN</v>
      </c>
      <c r="D65" s="35" t="str">
        <v>大阪観光大学</v>
      </c>
      <c r="E65" s="35">
        <v>0</v>
      </c>
      <c r="F65" t="str">
        <v>辞退</v>
      </c>
      <c r="G65" s="11">
        <v>46054</v>
      </c>
      <c r="H65" s="11">
        <v>46059</v>
      </c>
      <c r="I65">
        <v>0</v>
      </c>
      <c r="J65">
        <v>0</v>
      </c>
      <c r="K65" t="str">
        <v>2501002</v>
      </c>
      <c r="L65" t="str">
        <v>○</v>
      </c>
    </row>
    <row r="66" spans="1:12" x14ac:dyDescent="0.15">
      <c r="A66">
        <v>2501002</v>
      </c>
      <c r="B66" t="str">
        <v>2-2</v>
      </c>
      <c r="C66" t="str">
        <v>NWAY KHET KHET PAN</v>
      </c>
      <c r="D66" s="35" t="str">
        <v>流通科学大学</v>
      </c>
      <c r="E66" s="35" t="str">
        <v>人間社会学部観光学科</v>
      </c>
      <c r="F66" t="str">
        <v>辞退</v>
      </c>
      <c r="G66" s="11">
        <v>45691</v>
      </c>
      <c r="H66" s="11">
        <v>45705</v>
      </c>
      <c r="I66">
        <v>0</v>
      </c>
      <c r="J66">
        <v>0</v>
      </c>
      <c r="K66" t="str">
        <v>2501002</v>
      </c>
      <c r="L66" t="str">
        <v>○</v>
      </c>
    </row>
    <row r="67" spans="1:12" x14ac:dyDescent="0.15">
      <c r="A67">
        <v>2501002</v>
      </c>
      <c r="B67" t="str">
        <v>2-2</v>
      </c>
      <c r="C67" t="str">
        <v>NWAY KHET KHET PAN</v>
      </c>
      <c r="D67" s="35" t="str">
        <v>国際外語・観光・エアライン専門学校</v>
      </c>
      <c r="E67" s="35">
        <v>0</v>
      </c>
      <c r="F67" t="str">
        <v>辞退</v>
      </c>
      <c r="G67" s="11">
        <v>0</v>
      </c>
      <c r="H67" s="11">
        <v>0</v>
      </c>
      <c r="I67">
        <v>0</v>
      </c>
      <c r="J67">
        <v>0</v>
      </c>
      <c r="K67" t="str">
        <v>2501002</v>
      </c>
      <c r="L67" t="str">
        <v>○</v>
      </c>
    </row>
    <row r="68" spans="1:12" hidden="1" x14ac:dyDescent="0.15">
      <c r="A68">
        <v>2404019</v>
      </c>
      <c r="B68" t="str">
        <v>2-3</v>
      </c>
      <c r="C68" t="str">
        <v>MIN THIHA</v>
      </c>
      <c r="D68" s="35" t="str">
        <v>岩谷学園よこはまITビジネス専門学校</v>
      </c>
      <c r="E68" s="35" t="str">
        <v>進学コース</v>
      </c>
      <c r="F68" t="str">
        <v>合格</v>
      </c>
      <c r="G68" s="11">
        <v>45989</v>
      </c>
      <c r="H68" s="11">
        <v>45995</v>
      </c>
      <c r="I68">
        <v>0</v>
      </c>
      <c r="J68" t="str">
        <v>○</v>
      </c>
      <c r="K68" t="str">
        <v>2404019○</v>
      </c>
      <c r="L68" t="str">
        <v>○</v>
      </c>
    </row>
    <row r="69" spans="1:12" hidden="1" x14ac:dyDescent="0.15">
      <c r="A69">
        <v>2404044</v>
      </c>
      <c r="B69" t="str">
        <v>2-3</v>
      </c>
      <c r="C69" t="str">
        <v>THURA LINN</v>
      </c>
      <c r="D69" s="35" t="str">
        <v>ECC国際外語専門学校</v>
      </c>
      <c r="E69" s="35" t="str">
        <v>大学進学コース不合格、進学準備コース合格</v>
      </c>
      <c r="F69" t="str">
        <v>合格</v>
      </c>
      <c r="G69" s="11">
        <v>45976</v>
      </c>
      <c r="H69" s="11">
        <v>45980</v>
      </c>
      <c r="I69">
        <v>0</v>
      </c>
      <c r="J69" t="str">
        <v>○</v>
      </c>
      <c r="K69" t="str">
        <v>2404044○</v>
      </c>
      <c r="L69" t="str">
        <v>○</v>
      </c>
    </row>
    <row r="70" spans="1:12" x14ac:dyDescent="0.15">
      <c r="A70">
        <v>2404048</v>
      </c>
      <c r="B70" t="str">
        <v>2-3</v>
      </c>
      <c r="C70" t="str">
        <v>MIN HTET PAING</v>
      </c>
      <c r="D70" s="35">
        <v>0</v>
      </c>
      <c r="E70" s="35" t="str">
        <v>特定技能試験不合格、特定活動へ変更</v>
      </c>
      <c r="F70" t="str">
        <v>進学以外</v>
      </c>
      <c r="G70" s="11">
        <v>0</v>
      </c>
      <c r="H70" s="11">
        <v>0</v>
      </c>
      <c r="I70" t="str">
        <v>特定活動</v>
      </c>
      <c r="J70">
        <v>0</v>
      </c>
      <c r="K70" t="str">
        <v>2404048</v>
      </c>
      <c r="L70" t="str">
        <v/>
      </c>
    </row>
    <row r="71" spans="1:12" hidden="1" x14ac:dyDescent="0.15">
      <c r="A71">
        <v>2404062</v>
      </c>
      <c r="B71" t="str">
        <v>2-3</v>
      </c>
      <c r="C71" t="str">
        <v>HOSSAIN MD YEASIN</v>
      </c>
      <c r="D71" s="35" t="str">
        <v>エール学園</v>
      </c>
      <c r="E71" s="35" t="str">
        <v>デュアルビジネスコースエール学園</v>
      </c>
      <c r="F71" t="str">
        <v>不合格</v>
      </c>
      <c r="G71" s="11">
        <v>45969</v>
      </c>
      <c r="H71" s="11">
        <v>45975</v>
      </c>
      <c r="I71">
        <v>0</v>
      </c>
      <c r="J71">
        <v>0</v>
      </c>
      <c r="K71" t="str">
        <v>2404062</v>
      </c>
      <c r="L71" t="str">
        <v/>
      </c>
    </row>
    <row r="72" spans="1:12" hidden="1" x14ac:dyDescent="0.15">
      <c r="A72">
        <v>2404062</v>
      </c>
      <c r="B72" t="str">
        <v>2-3</v>
      </c>
      <c r="C72" t="str">
        <v>HOSSAIN MD YEASIN</v>
      </c>
      <c r="D72" s="35" t="str">
        <v>日本コンピュータ専門学校</v>
      </c>
      <c r="E72" s="35" t="str">
        <v>ＩＴスペシャリスト科 学校推薦</v>
      </c>
      <c r="F72" t="str">
        <v>不合格</v>
      </c>
      <c r="G72" s="11">
        <v>45996</v>
      </c>
      <c r="H72" s="11">
        <v>46002</v>
      </c>
      <c r="I72">
        <v>0</v>
      </c>
      <c r="J72">
        <v>0</v>
      </c>
      <c r="K72" t="str">
        <v>2404062</v>
      </c>
      <c r="L72" t="str">
        <v/>
      </c>
    </row>
    <row r="73" spans="1:12" hidden="1" x14ac:dyDescent="0.15">
      <c r="A73">
        <v>2404062</v>
      </c>
      <c r="B73" t="str">
        <v>2-3</v>
      </c>
      <c r="C73" t="str">
        <v>HOSSAIN MD YEASIN</v>
      </c>
      <c r="D73" s="35" t="str">
        <v>九州ビジネス専門学校</v>
      </c>
      <c r="E73" s="35" t="str">
        <v>総合日本語</v>
      </c>
      <c r="F73" t="str">
        <v>合格</v>
      </c>
      <c r="G73" s="11">
        <v>45996</v>
      </c>
      <c r="H73" s="11">
        <v>46001</v>
      </c>
      <c r="I73">
        <v>0</v>
      </c>
      <c r="J73">
        <v>0</v>
      </c>
      <c r="K73" t="str">
        <v>2404062</v>
      </c>
      <c r="L73" t="str">
        <v/>
      </c>
    </row>
    <row r="74" spans="1:12" hidden="1" x14ac:dyDescent="0.15">
      <c r="A74">
        <v>2404062</v>
      </c>
      <c r="B74" t="str">
        <v>2-3</v>
      </c>
      <c r="C74" t="str">
        <v>HOSSAIN MD YEASIN</v>
      </c>
      <c r="D74" s="35">
        <v>0</v>
      </c>
      <c r="E74" s="35" t="str">
        <v>就職希望</v>
      </c>
      <c r="F74" t="str">
        <v>進学以外</v>
      </c>
      <c r="G74" s="11">
        <v>0</v>
      </c>
      <c r="H74" s="11">
        <v>46087</v>
      </c>
      <c r="I74" t="str">
        <v>就職</v>
      </c>
      <c r="J74">
        <v>0</v>
      </c>
      <c r="K74" t="str">
        <v>2404062</v>
      </c>
      <c r="L74" t="str">
        <v/>
      </c>
    </row>
    <row r="75" spans="1:12" hidden="1" x14ac:dyDescent="0.15">
      <c r="A75">
        <v>2404075</v>
      </c>
      <c r="B75" t="str">
        <v>2-3</v>
      </c>
      <c r="C75" t="str">
        <v>MD. RAKEBUL ISLAM RONY</v>
      </c>
      <c r="D75" s="35" t="str">
        <v>神戸親和大学</v>
      </c>
      <c r="E75" s="35" t="str">
        <v>国際文化学科、協定校推薦</v>
      </c>
      <c r="F75" t="str">
        <v>合格</v>
      </c>
      <c r="G75" s="11">
        <v>45997</v>
      </c>
      <c r="H75" s="11">
        <v>46004</v>
      </c>
      <c r="I75">
        <v>0</v>
      </c>
      <c r="J75" t="str">
        <v>○</v>
      </c>
      <c r="K75" t="str">
        <v>2404075○</v>
      </c>
      <c r="L75" t="str">
        <v>○</v>
      </c>
    </row>
    <row r="76" spans="1:12" hidden="1" x14ac:dyDescent="0.15">
      <c r="A76">
        <v>2404080</v>
      </c>
      <c r="B76" t="str">
        <v>2-3</v>
      </c>
      <c r="C76" t="str">
        <v>HASAN MD MEHEDI</v>
      </c>
      <c r="D76" s="35" t="str">
        <v>CAD製図専門学校</v>
      </c>
      <c r="E76" s="35" t="str">
        <v>CADデザイン科</v>
      </c>
      <c r="F76" t="str">
        <v>合格</v>
      </c>
      <c r="G76" s="11">
        <v>45857</v>
      </c>
      <c r="H76" s="11">
        <v>45866</v>
      </c>
      <c r="I76">
        <v>0</v>
      </c>
      <c r="J76" t="str">
        <v>○</v>
      </c>
      <c r="K76" t="str">
        <v>2404080○</v>
      </c>
      <c r="L76" t="str">
        <v>○</v>
      </c>
    </row>
    <row r="77" spans="1:12" hidden="1" x14ac:dyDescent="0.15">
      <c r="A77">
        <v>2404087</v>
      </c>
      <c r="B77" t="str">
        <v>2-3</v>
      </c>
      <c r="C77" t="str">
        <v>ABDUL KAIUM NAEEM</v>
      </c>
      <c r="D77" s="35" t="str">
        <v>中央情報専門学校</v>
      </c>
      <c r="E77" s="35" t="str">
        <v>IT Web学科</v>
      </c>
      <c r="F77" t="str">
        <v>不合格</v>
      </c>
      <c r="G77" s="11">
        <v>45866</v>
      </c>
      <c r="H77" s="11">
        <v>45874</v>
      </c>
      <c r="I77">
        <v>0</v>
      </c>
      <c r="J77">
        <v>0</v>
      </c>
      <c r="K77" t="str">
        <v>2404087</v>
      </c>
      <c r="L77" t="str">
        <v>○</v>
      </c>
    </row>
    <row r="78" spans="1:12" hidden="1" x14ac:dyDescent="0.15">
      <c r="A78">
        <v>2404087</v>
      </c>
      <c r="B78" t="str">
        <v>2-3</v>
      </c>
      <c r="C78" t="str">
        <v>ABDUL KAIUM NAEEM</v>
      </c>
      <c r="D78" s="35" t="str">
        <v>日商簿記三鷹福祉専門学校</v>
      </c>
      <c r="E78" s="35" t="str">
        <v>情報ビジネス学科</v>
      </c>
      <c r="F78" t="str">
        <v>合格</v>
      </c>
      <c r="G78" s="11">
        <v>45929</v>
      </c>
      <c r="H78" s="11">
        <v>45940</v>
      </c>
      <c r="I78">
        <v>0</v>
      </c>
      <c r="J78" t="str">
        <v>○</v>
      </c>
      <c r="K78" t="str">
        <v>2404087○</v>
      </c>
      <c r="L78" t="str">
        <v>○</v>
      </c>
    </row>
    <row r="79" spans="1:12" hidden="1" x14ac:dyDescent="0.15">
      <c r="A79">
        <v>2404102</v>
      </c>
      <c r="B79" t="str">
        <v>2-3</v>
      </c>
      <c r="C79" t="str">
        <v>SHAMIM HOSSAIN</v>
      </c>
      <c r="D79" s="35" t="str">
        <v>CAD製図専門学校</v>
      </c>
      <c r="E79" s="35" t="str">
        <v>CAD IT科</v>
      </c>
      <c r="F79" t="str">
        <v>合格</v>
      </c>
      <c r="G79" s="11">
        <v>45864</v>
      </c>
      <c r="H79" s="11">
        <v>45870</v>
      </c>
      <c r="I79">
        <v>0</v>
      </c>
      <c r="J79" t="str">
        <v>○</v>
      </c>
      <c r="K79" t="str">
        <v>2404102○</v>
      </c>
      <c r="L79" t="str">
        <v>○</v>
      </c>
    </row>
    <row r="80" spans="1:12" hidden="1" x14ac:dyDescent="0.15">
      <c r="A80">
        <v>2404129</v>
      </c>
      <c r="B80" t="str">
        <v>2-3</v>
      </c>
      <c r="C80" t="str">
        <v>AHMED MD JUBAYER</v>
      </c>
      <c r="D80" s="35" t="str">
        <v>関東工業自動車大学校</v>
      </c>
      <c r="E80" s="35" t="str">
        <v>国際サービスエンジニア科</v>
      </c>
      <c r="F80" t="str">
        <v>不合格</v>
      </c>
      <c r="G80" s="11">
        <v>45854</v>
      </c>
      <c r="H80" s="11">
        <v>45869</v>
      </c>
      <c r="I80">
        <v>0</v>
      </c>
      <c r="J80">
        <v>0</v>
      </c>
      <c r="K80" t="str">
        <v>2404129</v>
      </c>
      <c r="L80" t="str">
        <v>○</v>
      </c>
    </row>
    <row r="81" spans="1:12" hidden="1" x14ac:dyDescent="0.15">
      <c r="A81">
        <v>2404129</v>
      </c>
      <c r="B81" t="str">
        <v>2-3</v>
      </c>
      <c r="C81" t="str">
        <v>AHMED MD JUBAYER</v>
      </c>
      <c r="D81" s="35" t="str">
        <v>関東工業自動車大学校</v>
      </c>
      <c r="E81" s="35" t="str">
        <v>国際サービスエンジニア科</v>
      </c>
      <c r="F81" t="str">
        <v>不合格</v>
      </c>
      <c r="G81" s="11">
        <v>45910</v>
      </c>
      <c r="H81" s="11">
        <v>45930</v>
      </c>
      <c r="I81">
        <v>0</v>
      </c>
      <c r="J81">
        <v>0</v>
      </c>
      <c r="K81" t="str">
        <v>2404129</v>
      </c>
      <c r="L81" t="str">
        <v>○</v>
      </c>
    </row>
    <row r="82" spans="1:12" hidden="1" x14ac:dyDescent="0.15">
      <c r="A82">
        <v>2404129</v>
      </c>
      <c r="B82" t="str">
        <v>2-3</v>
      </c>
      <c r="C82" t="str">
        <v>AHMED MD JUBAYER</v>
      </c>
      <c r="D82" s="35" t="str">
        <v>東京工科自動車大学校</v>
      </c>
      <c r="E82" s="35" t="str">
        <v>自動車整備科</v>
      </c>
      <c r="F82" t="str">
        <v>不合格</v>
      </c>
      <c r="G82" s="11">
        <v>45938</v>
      </c>
      <c r="H82" s="11">
        <v>45954</v>
      </c>
      <c r="I82">
        <v>0</v>
      </c>
      <c r="J82">
        <v>0</v>
      </c>
      <c r="K82" t="str">
        <v>2404129</v>
      </c>
      <c r="L82" t="str">
        <v>○</v>
      </c>
    </row>
    <row r="83" spans="1:12" hidden="1" x14ac:dyDescent="0.15">
      <c r="A83">
        <v>2404129</v>
      </c>
      <c r="B83" t="str">
        <v>2-3</v>
      </c>
      <c r="C83" t="str">
        <v>AHMED MD JUBAYER</v>
      </c>
      <c r="D83" s="35" t="str">
        <v>中部国際自動車大学校</v>
      </c>
      <c r="E83" s="35" t="str">
        <v>自動車整備科2級整備士コース</v>
      </c>
      <c r="F83" t="str">
        <v>合格</v>
      </c>
      <c r="G83" s="11">
        <v>45943</v>
      </c>
      <c r="H83" s="11">
        <v>45950</v>
      </c>
      <c r="I83">
        <v>0</v>
      </c>
      <c r="J83" t="str">
        <v>○</v>
      </c>
      <c r="K83" t="str">
        <v>2404129○</v>
      </c>
      <c r="L83" t="str">
        <v>○</v>
      </c>
    </row>
    <row r="84" spans="1:12" hidden="1" x14ac:dyDescent="0.15">
      <c r="A84">
        <v>2404133</v>
      </c>
      <c r="B84" t="str">
        <v>2-3</v>
      </c>
      <c r="C84" t="str">
        <v>SHRESTHA YAM KUMAR</v>
      </c>
      <c r="D84" s="35" t="str">
        <v>専門学校アートカレッジ神戸</v>
      </c>
      <c r="E84" s="35" t="str">
        <v>観光学科</v>
      </c>
      <c r="F84" t="str">
        <v>合格</v>
      </c>
      <c r="G84" s="11">
        <v>45856</v>
      </c>
      <c r="H84" s="11">
        <v>45860</v>
      </c>
      <c r="I84">
        <v>0</v>
      </c>
      <c r="J84" t="str">
        <v>○</v>
      </c>
      <c r="K84" t="str">
        <v>2404133○</v>
      </c>
      <c r="L84" t="str">
        <v>○</v>
      </c>
    </row>
    <row r="85" spans="1:12" hidden="1" x14ac:dyDescent="0.15">
      <c r="A85">
        <v>2404134</v>
      </c>
      <c r="B85" t="str">
        <v>2-3</v>
      </c>
      <c r="C85" t="str">
        <v>UPAHAR SEDAI</v>
      </c>
      <c r="D85" s="35" t="str">
        <v>専門学校アートカレッジ神戸</v>
      </c>
      <c r="E85" s="35" t="str">
        <v>国際コミュニケーション学科ビジネスマネジメントコース</v>
      </c>
      <c r="F85" t="str">
        <v>合格</v>
      </c>
      <c r="G85" s="11">
        <v>45863</v>
      </c>
      <c r="H85" s="11">
        <v>45875</v>
      </c>
      <c r="I85">
        <v>0</v>
      </c>
      <c r="J85" t="str">
        <v>○</v>
      </c>
      <c r="K85" t="str">
        <v>2404134○</v>
      </c>
      <c r="L85" t="str">
        <v>○</v>
      </c>
    </row>
    <row r="86" spans="1:12" hidden="1" x14ac:dyDescent="0.15">
      <c r="A86">
        <v>2404139</v>
      </c>
      <c r="B86" t="str">
        <v>2-3</v>
      </c>
      <c r="C86" t="str">
        <v>DURGA BAHADUR DARAI</v>
      </c>
      <c r="D86" s="35" t="str">
        <v>関西国際旅行・ホテル専門学校</v>
      </c>
      <c r="E86" s="35" t="str">
        <v>ホテル学科</v>
      </c>
      <c r="F86" t="str">
        <v>合格</v>
      </c>
      <c r="G86" s="11">
        <v>45838</v>
      </c>
      <c r="H86" s="11">
        <v>45849</v>
      </c>
      <c r="I86">
        <v>0</v>
      </c>
      <c r="J86" t="str">
        <v>○</v>
      </c>
      <c r="K86" t="str">
        <v>2404139○</v>
      </c>
      <c r="L86" t="str">
        <v>○</v>
      </c>
    </row>
    <row r="87" spans="1:12" hidden="1" x14ac:dyDescent="0.15">
      <c r="A87">
        <v>2404140</v>
      </c>
      <c r="B87" t="str">
        <v>2-3</v>
      </c>
      <c r="C87" t="str">
        <v>SUSMA TAMANG</v>
      </c>
      <c r="D87" s="35" t="str">
        <v>神戸親和大学</v>
      </c>
      <c r="E87" s="35" t="str">
        <v>国際文化学科、協定校推薦</v>
      </c>
      <c r="F87" t="str">
        <v>合格</v>
      </c>
      <c r="G87" s="11">
        <v>45997</v>
      </c>
      <c r="H87" s="11">
        <v>46004</v>
      </c>
      <c r="I87">
        <v>0</v>
      </c>
      <c r="J87" t="str">
        <v>○</v>
      </c>
      <c r="K87" t="str">
        <v>2404140○</v>
      </c>
      <c r="L87" t="str">
        <v>○</v>
      </c>
    </row>
    <row r="88" spans="1:12" hidden="1" x14ac:dyDescent="0.15">
      <c r="A88">
        <v>2404146</v>
      </c>
      <c r="B88" t="str">
        <v>2-3</v>
      </c>
      <c r="C88" t="str">
        <v>RUPESH LAMICHHANE</v>
      </c>
      <c r="D88" s="35" t="str">
        <v>神戸親和大学</v>
      </c>
      <c r="E88" s="35" t="str">
        <v>国際文化学科、協定校推薦</v>
      </c>
      <c r="F88" t="str">
        <v>合格</v>
      </c>
      <c r="G88" s="11">
        <v>45997</v>
      </c>
      <c r="H88" s="11">
        <v>46004</v>
      </c>
      <c r="I88">
        <v>0</v>
      </c>
      <c r="J88" t="str">
        <v>○</v>
      </c>
      <c r="K88" t="str">
        <v>2404146○</v>
      </c>
      <c r="L88" t="str">
        <v>○</v>
      </c>
    </row>
    <row r="89" spans="1:12" hidden="1" x14ac:dyDescent="0.15">
      <c r="A89">
        <v>2404148</v>
      </c>
      <c r="B89" t="str">
        <v>2-3</v>
      </c>
      <c r="C89" t="str">
        <v>BISHNU PRASAD BHANDARI</v>
      </c>
      <c r="D89" s="35" t="str">
        <v>日本理工情報専門学校</v>
      </c>
      <c r="E89" s="35" t="str">
        <v>自動車整備科</v>
      </c>
      <c r="F89" t="str">
        <v>不合格</v>
      </c>
      <c r="G89" s="11">
        <v>45927</v>
      </c>
      <c r="H89" s="11">
        <v>45929</v>
      </c>
      <c r="I89">
        <v>0</v>
      </c>
      <c r="J89">
        <v>0</v>
      </c>
      <c r="K89" t="str">
        <v>2404148</v>
      </c>
      <c r="L89" t="str">
        <v>○</v>
      </c>
    </row>
    <row r="90" spans="1:12" hidden="1" x14ac:dyDescent="0.15">
      <c r="A90">
        <v>2404148</v>
      </c>
      <c r="B90" t="str">
        <v>2-3</v>
      </c>
      <c r="C90" t="str">
        <v>BISHNU PRASAD BHANDARI</v>
      </c>
      <c r="D90" s="35" t="str">
        <v>専門学校花壇自動車大学校</v>
      </c>
      <c r="E90" s="35" t="str">
        <v>自動車科</v>
      </c>
      <c r="F90" t="str">
        <v>合格</v>
      </c>
      <c r="G90" s="11">
        <v>45958</v>
      </c>
      <c r="H90" s="11">
        <v>45966</v>
      </c>
      <c r="I90">
        <v>0</v>
      </c>
      <c r="J90" t="str">
        <v>○</v>
      </c>
      <c r="K90" t="str">
        <v>2404148○</v>
      </c>
      <c r="L90" t="str">
        <v>○</v>
      </c>
    </row>
    <row r="91" spans="1:12" hidden="1" x14ac:dyDescent="0.15">
      <c r="A91">
        <v>2404149</v>
      </c>
      <c r="B91" t="str">
        <v>2-3</v>
      </c>
      <c r="C91" t="str">
        <v>GITA KUMARI RANA</v>
      </c>
      <c r="D91" s="35" t="str">
        <v>専門学校アートカレッジ神戸</v>
      </c>
      <c r="E91" s="35" t="str">
        <v>国際コミュニケーション学科ビジネスマネジメントコース</v>
      </c>
      <c r="F91" t="str">
        <v>合格</v>
      </c>
      <c r="G91" s="11">
        <v>45856</v>
      </c>
      <c r="H91" s="11">
        <v>45860</v>
      </c>
      <c r="I91">
        <v>0</v>
      </c>
      <c r="J91" t="str">
        <v>○</v>
      </c>
      <c r="K91" t="str">
        <v>2404149○</v>
      </c>
      <c r="L91" t="str">
        <v>○</v>
      </c>
    </row>
    <row r="92" spans="1:12" hidden="1" x14ac:dyDescent="0.15">
      <c r="A92">
        <v>2404154</v>
      </c>
      <c r="B92" t="str">
        <v>2-3</v>
      </c>
      <c r="C92" t="str">
        <v>AADITYA KUMAR CHAUDHARY</v>
      </c>
      <c r="D92" s="35" t="str">
        <v>トヨタ神戸自動車大学校</v>
      </c>
      <c r="E92" s="35" t="str">
        <v>国際自動車整備科</v>
      </c>
      <c r="F92" t="str">
        <v>不合格</v>
      </c>
      <c r="G92" s="11">
        <v>45927</v>
      </c>
      <c r="H92" s="11">
        <v>45933</v>
      </c>
      <c r="I92">
        <v>0</v>
      </c>
      <c r="J92">
        <v>0</v>
      </c>
      <c r="K92" t="str">
        <v>2404154</v>
      </c>
      <c r="L92" t="str">
        <v>○</v>
      </c>
    </row>
    <row r="93" spans="1:12" hidden="1" x14ac:dyDescent="0.15">
      <c r="A93">
        <v>2404154</v>
      </c>
      <c r="B93" t="str">
        <v>2-3</v>
      </c>
      <c r="C93" t="str">
        <v>AADITYA KUMAR CHAUDHARY</v>
      </c>
      <c r="D93" s="35" t="str">
        <v>専門学校花壇自動車大学校</v>
      </c>
      <c r="E93" s="35" t="str">
        <v>自動車科</v>
      </c>
      <c r="F93" t="str">
        <v>合格</v>
      </c>
      <c r="G93" s="11">
        <v>45958</v>
      </c>
      <c r="H93" s="11">
        <v>45966</v>
      </c>
      <c r="I93">
        <v>0</v>
      </c>
      <c r="J93" t="str">
        <v>○</v>
      </c>
      <c r="K93" t="str">
        <v>2404154○</v>
      </c>
      <c r="L93" t="str">
        <v>○</v>
      </c>
    </row>
    <row r="94" spans="1:12" hidden="1" x14ac:dyDescent="0.15">
      <c r="A94">
        <v>2404155</v>
      </c>
      <c r="B94" t="str">
        <v>2-3</v>
      </c>
      <c r="C94" t="str">
        <v>BUDDHI BAHADUR BUDHATHOKI</v>
      </c>
      <c r="D94" s="35" t="str">
        <v>イーストウエスト外国語専門学校</v>
      </c>
      <c r="E94" s="35" t="str">
        <v>国際ビジネス学科</v>
      </c>
      <c r="F94" t="str">
        <v>合格</v>
      </c>
      <c r="G94" s="11">
        <v>45932</v>
      </c>
      <c r="H94" s="11">
        <v>45938</v>
      </c>
      <c r="I94">
        <v>0</v>
      </c>
      <c r="J94" t="str">
        <v>○</v>
      </c>
      <c r="K94" t="str">
        <v>2404155○</v>
      </c>
      <c r="L94" t="str">
        <v>○</v>
      </c>
    </row>
    <row r="95" spans="1:12" hidden="1" x14ac:dyDescent="0.15">
      <c r="A95">
        <v>2404158</v>
      </c>
      <c r="B95" t="str">
        <v>2-3</v>
      </c>
      <c r="C95" t="str">
        <v>DAHAL MANISHA</v>
      </c>
      <c r="D95" s="35" t="str">
        <v>専門学校アートカレッジ神戸</v>
      </c>
      <c r="E95" s="35" t="str">
        <v>国際コミュニケーション学科ビジネスマネジメントコース</v>
      </c>
      <c r="F95" t="str">
        <v>合格</v>
      </c>
      <c r="G95" s="11">
        <v>45856</v>
      </c>
      <c r="H95" s="11">
        <v>45860</v>
      </c>
      <c r="I95">
        <v>0</v>
      </c>
      <c r="J95" t="str">
        <v>○</v>
      </c>
      <c r="K95" t="str">
        <v>2404158○</v>
      </c>
      <c r="L95" t="str">
        <v>○</v>
      </c>
    </row>
    <row r="96" spans="1:12" hidden="1" x14ac:dyDescent="0.15">
      <c r="A96">
        <v>2404177</v>
      </c>
      <c r="B96" t="str">
        <v>2-3</v>
      </c>
      <c r="C96" t="str">
        <v>KHADKA SARASWOTI</v>
      </c>
      <c r="D96" s="35" t="str">
        <v>流通科学大学</v>
      </c>
      <c r="E96" s="35" t="str">
        <v>経済学部経済情報学科</v>
      </c>
      <c r="F96" t="str">
        <v>合格</v>
      </c>
      <c r="G96" s="11">
        <v>45948</v>
      </c>
      <c r="H96" s="11">
        <v>45965</v>
      </c>
      <c r="I96">
        <v>0</v>
      </c>
      <c r="J96" t="str">
        <v>○</v>
      </c>
      <c r="K96" t="str">
        <v>2404177○</v>
      </c>
      <c r="L96" t="str">
        <v>○</v>
      </c>
    </row>
    <row r="97" spans="1:12" hidden="1" x14ac:dyDescent="0.15">
      <c r="A97">
        <v>2404177</v>
      </c>
      <c r="B97" t="str">
        <v>2-3</v>
      </c>
      <c r="C97" t="str">
        <v>KHADKA SARASWOTI</v>
      </c>
      <c r="D97" s="35" t="str">
        <v>京都コンピュータ学院</v>
      </c>
      <c r="E97" s="35" t="str">
        <v>情報処理科国際ビジネスＩＴコース</v>
      </c>
      <c r="F97" t="str">
        <v>辞退</v>
      </c>
      <c r="G97" s="11">
        <v>45965</v>
      </c>
      <c r="H97" s="11">
        <v>45975</v>
      </c>
      <c r="I97">
        <v>0</v>
      </c>
      <c r="J97">
        <v>0</v>
      </c>
      <c r="K97" t="str">
        <v>2404177</v>
      </c>
      <c r="L97" t="str">
        <v>○</v>
      </c>
    </row>
    <row r="98" spans="1:12" hidden="1" x14ac:dyDescent="0.15">
      <c r="A98">
        <v>2404081</v>
      </c>
      <c r="B98" t="str">
        <v>2-4</v>
      </c>
      <c r="C98" t="str">
        <v>AL-AMIN-AL-SADI</v>
      </c>
      <c r="D98" s="35" t="str">
        <v>関西国際大学</v>
      </c>
      <c r="E98" s="35">
        <v>0</v>
      </c>
      <c r="F98" t="str">
        <v>合格</v>
      </c>
      <c r="G98" s="11">
        <v>45991</v>
      </c>
      <c r="H98" s="11">
        <v>46000</v>
      </c>
      <c r="I98">
        <v>0</v>
      </c>
      <c r="J98" t="str">
        <v>○</v>
      </c>
      <c r="K98" t="str">
        <v>2404081○</v>
      </c>
      <c r="L98" t="str">
        <v>○</v>
      </c>
    </row>
    <row r="99" spans="1:12" hidden="1" x14ac:dyDescent="0.15">
      <c r="A99">
        <v>2404091</v>
      </c>
      <c r="B99" t="str">
        <v>2-4</v>
      </c>
      <c r="C99" t="str">
        <v>SHIHAB MOTIUR RAHMAN</v>
      </c>
      <c r="D99" s="35" t="str">
        <v>大阪電子専門学校</v>
      </c>
      <c r="E99" s="35">
        <v>0</v>
      </c>
      <c r="F99" t="str">
        <v>合格</v>
      </c>
      <c r="G99" s="11">
        <v>45995</v>
      </c>
      <c r="H99" s="11">
        <v>46002</v>
      </c>
      <c r="I99">
        <v>0</v>
      </c>
      <c r="J99" t="str">
        <v>○</v>
      </c>
      <c r="K99" t="str">
        <v>2404091○</v>
      </c>
      <c r="L99" t="str">
        <v>○</v>
      </c>
    </row>
    <row r="100" spans="1:12" hidden="1" x14ac:dyDescent="0.15">
      <c r="A100">
        <v>2404159</v>
      </c>
      <c r="B100" t="str">
        <v>2-4</v>
      </c>
      <c r="C100" t="str">
        <v>RABIN THAPALIYA</v>
      </c>
      <c r="D100" s="35" t="str">
        <v>岩谷学園よこはまITビジネス専門学校</v>
      </c>
      <c r="E100" s="35">
        <v>0</v>
      </c>
      <c r="F100" t="str">
        <v>合格</v>
      </c>
      <c r="G100" s="11">
        <v>0</v>
      </c>
      <c r="H100" s="11">
        <v>45938</v>
      </c>
      <c r="I100">
        <v>0</v>
      </c>
      <c r="J100" t="str">
        <v>○</v>
      </c>
      <c r="K100" t="str">
        <v>2404159○</v>
      </c>
      <c r="L100" t="str">
        <v>○</v>
      </c>
    </row>
    <row r="101" spans="1:12" hidden="1" x14ac:dyDescent="0.15">
      <c r="A101">
        <v>2404182</v>
      </c>
      <c r="B101" t="str">
        <v>2-4</v>
      </c>
      <c r="C101" t="str">
        <v>NABID TANJIM</v>
      </c>
      <c r="D101" s="35" t="str">
        <v>流通科学大学</v>
      </c>
      <c r="E101" s="35">
        <v>0</v>
      </c>
      <c r="F101" t="str">
        <v>合格</v>
      </c>
      <c r="G101" s="11">
        <v>45948</v>
      </c>
      <c r="H101" s="11">
        <v>0</v>
      </c>
      <c r="I101">
        <v>0</v>
      </c>
      <c r="J101" t="str">
        <v>○</v>
      </c>
      <c r="K101" t="str">
        <v>2404182○</v>
      </c>
      <c r="L101" t="str">
        <v>○</v>
      </c>
    </row>
    <row r="102" spans="1:12" hidden="1" x14ac:dyDescent="0.15">
      <c r="A102">
        <v>2407003</v>
      </c>
      <c r="B102" t="str">
        <v>2-4</v>
      </c>
      <c r="C102" t="str">
        <v>劉 暁聡</v>
      </c>
      <c r="D102" s="35" t="str">
        <v>大阪医専</v>
      </c>
      <c r="E102" s="35" t="str">
        <v>歯科衛生科</v>
      </c>
      <c r="F102" t="str">
        <v>不合格</v>
      </c>
      <c r="G102" s="11">
        <v>0</v>
      </c>
      <c r="H102" s="11">
        <v>0</v>
      </c>
      <c r="I102">
        <v>0</v>
      </c>
      <c r="J102">
        <v>0</v>
      </c>
      <c r="K102" t="str">
        <v>2407003</v>
      </c>
      <c r="L102" t="str">
        <v>○</v>
      </c>
    </row>
    <row r="103" spans="1:12" hidden="1" x14ac:dyDescent="0.15">
      <c r="A103">
        <v>2407003</v>
      </c>
      <c r="B103" t="str">
        <v>2-4</v>
      </c>
      <c r="C103" t="str">
        <v>劉 暁聡</v>
      </c>
      <c r="D103" s="35" t="str">
        <v>福岡医健・スポーツ専門学校専門学校</v>
      </c>
      <c r="E103" s="35">
        <v>0</v>
      </c>
      <c r="F103" t="str">
        <v>合格</v>
      </c>
      <c r="G103" s="11">
        <v>0</v>
      </c>
      <c r="H103" s="11">
        <v>0</v>
      </c>
      <c r="I103">
        <v>0</v>
      </c>
      <c r="J103" t="str">
        <v>○</v>
      </c>
      <c r="K103" t="str">
        <v>2407003○</v>
      </c>
      <c r="L103" t="str">
        <v>○</v>
      </c>
    </row>
    <row r="104" spans="1:12" hidden="1" x14ac:dyDescent="0.15">
      <c r="A104">
        <v>2407004</v>
      </c>
      <c r="B104" t="str">
        <v>2-4</v>
      </c>
      <c r="C104" t="str">
        <v>KAMURAN ADILI</v>
      </c>
      <c r="D104" s="35" t="str">
        <v>早稲田大学大学院</v>
      </c>
      <c r="E104" s="35" t="str">
        <v>内諾済</v>
      </c>
      <c r="F104" t="str">
        <v>不合格</v>
      </c>
      <c r="G104" s="11">
        <v>0</v>
      </c>
      <c r="H104" s="11">
        <v>46003</v>
      </c>
      <c r="I104">
        <v>0</v>
      </c>
      <c r="J104">
        <v>0</v>
      </c>
      <c r="K104" t="str">
        <v>2407004</v>
      </c>
      <c r="L104" t="str">
        <v>○</v>
      </c>
    </row>
    <row r="105" spans="1:12" hidden="1" x14ac:dyDescent="0.15">
      <c r="A105">
        <v>2407004</v>
      </c>
      <c r="B105" t="str">
        <v>2-4</v>
      </c>
      <c r="C105" t="str">
        <v>KAMURAN ADILI</v>
      </c>
      <c r="D105" s="35" t="str">
        <v>東京大学大学院</v>
      </c>
      <c r="E105" s="35" t="str">
        <v>内諾済</v>
      </c>
      <c r="F105" t="str">
        <v>合格</v>
      </c>
      <c r="G105" s="11">
        <v>0</v>
      </c>
      <c r="H105" s="11">
        <v>46009</v>
      </c>
      <c r="I105">
        <v>0</v>
      </c>
      <c r="J105" t="str">
        <v>○</v>
      </c>
      <c r="K105" t="str">
        <v>2407004○</v>
      </c>
      <c r="L105" t="str">
        <v>○</v>
      </c>
    </row>
    <row r="106" spans="1:12" hidden="1" x14ac:dyDescent="0.15">
      <c r="A106">
        <v>2407006</v>
      </c>
      <c r="B106" t="str">
        <v>2-4</v>
      </c>
      <c r="C106" t="str">
        <v>李 唯正</v>
      </c>
      <c r="D106" s="35" t="str">
        <v>山形大学大学院</v>
      </c>
      <c r="E106" s="35" t="str">
        <v>入学手続き進行中、内諾済</v>
      </c>
      <c r="F106" t="str">
        <v>合格</v>
      </c>
      <c r="G106" s="11">
        <v>0</v>
      </c>
      <c r="H106" s="11">
        <v>46079</v>
      </c>
      <c r="I106">
        <v>0</v>
      </c>
      <c r="J106" t="str">
        <v>○</v>
      </c>
      <c r="K106" t="str">
        <v>2407006○</v>
      </c>
      <c r="L106" t="str">
        <v>○</v>
      </c>
    </row>
    <row r="107" spans="1:12" hidden="1" x14ac:dyDescent="0.15">
      <c r="A107">
        <v>2407010</v>
      </c>
      <c r="B107" t="str">
        <v>2-4</v>
      </c>
      <c r="C107" t="str">
        <v>YEE MON OO</v>
      </c>
      <c r="D107" s="35" t="str">
        <v>神戸電子専門学校</v>
      </c>
      <c r="E107" s="35">
        <v>0</v>
      </c>
      <c r="F107" t="str">
        <v>合格</v>
      </c>
      <c r="G107" s="11">
        <v>45958</v>
      </c>
      <c r="H107" s="11">
        <v>0</v>
      </c>
      <c r="I107">
        <v>0</v>
      </c>
      <c r="J107" t="str">
        <v>○</v>
      </c>
      <c r="K107" t="str">
        <v>2407010○</v>
      </c>
      <c r="L107" t="str">
        <v>○</v>
      </c>
    </row>
    <row r="108" spans="1:12" hidden="1" x14ac:dyDescent="0.15">
      <c r="A108">
        <v>2407019</v>
      </c>
      <c r="B108" t="str">
        <v>2-4</v>
      </c>
      <c r="C108" t="str">
        <v>KHIN MYAT NOE AYE</v>
      </c>
      <c r="D108" s="35" t="str">
        <v>大原学園東京校</v>
      </c>
      <c r="E108" s="35" t="str">
        <v>ビジネス総合科オフィスビジネス専攻、一般入試</v>
      </c>
      <c r="F108" t="str">
        <v>合格</v>
      </c>
      <c r="G108" s="11">
        <v>45947</v>
      </c>
      <c r="H108" s="11">
        <v>45952</v>
      </c>
      <c r="I108">
        <v>0</v>
      </c>
      <c r="J108" t="str">
        <v>○</v>
      </c>
      <c r="K108" t="str">
        <v>2407019○</v>
      </c>
      <c r="L108" t="str">
        <v>○</v>
      </c>
    </row>
    <row r="109" spans="1:12" hidden="1" x14ac:dyDescent="0.15">
      <c r="A109">
        <v>2410002</v>
      </c>
      <c r="B109" t="str">
        <v>2-4</v>
      </c>
      <c r="C109" t="str">
        <v>孔 維晨</v>
      </c>
      <c r="D109" s="35" t="str">
        <v>立命館大学</v>
      </c>
      <c r="E109" s="35">
        <v>0</v>
      </c>
      <c r="F109" t="str">
        <v>不合格</v>
      </c>
      <c r="G109" s="11">
        <v>0</v>
      </c>
      <c r="H109" s="11">
        <v>0</v>
      </c>
      <c r="I109">
        <v>0</v>
      </c>
      <c r="J109">
        <v>0</v>
      </c>
      <c r="K109" t="str">
        <v>2410002</v>
      </c>
      <c r="L109" t="str">
        <v>○</v>
      </c>
    </row>
    <row r="110" spans="1:12" hidden="1" x14ac:dyDescent="0.15">
      <c r="A110">
        <v>2410002</v>
      </c>
      <c r="B110" t="str">
        <v>2-4</v>
      </c>
      <c r="C110" t="str">
        <v>孔 維晨</v>
      </c>
      <c r="D110" s="35" t="str">
        <v>関西学院大学</v>
      </c>
      <c r="E110" s="35">
        <v>0</v>
      </c>
      <c r="F110" t="str">
        <v>不合格</v>
      </c>
      <c r="G110" s="11">
        <v>0</v>
      </c>
      <c r="H110" s="11">
        <v>0</v>
      </c>
      <c r="I110">
        <v>0</v>
      </c>
      <c r="J110">
        <v>0</v>
      </c>
      <c r="K110" t="str">
        <v>2410002</v>
      </c>
      <c r="L110" t="str">
        <v>○</v>
      </c>
    </row>
    <row r="111" spans="1:12" hidden="1" x14ac:dyDescent="0.15">
      <c r="A111">
        <v>2410002</v>
      </c>
      <c r="B111" t="str">
        <v>2-4</v>
      </c>
      <c r="C111" t="str">
        <v>孔 維晨</v>
      </c>
      <c r="D111" s="35" t="str">
        <v>神戸学院大学</v>
      </c>
      <c r="E111" s="35" t="str">
        <v>経済学部</v>
      </c>
      <c r="F111" t="str">
        <v>不合格</v>
      </c>
      <c r="G111" s="11">
        <v>46059</v>
      </c>
      <c r="H111" s="11">
        <v>0</v>
      </c>
      <c r="I111">
        <v>0</v>
      </c>
      <c r="J111">
        <v>0</v>
      </c>
      <c r="K111" t="str">
        <v>2410002</v>
      </c>
      <c r="L111" t="str">
        <v>○</v>
      </c>
    </row>
    <row r="112" spans="1:12" hidden="1" x14ac:dyDescent="0.15">
      <c r="A112">
        <v>2410002</v>
      </c>
      <c r="B112" t="str">
        <v>2-4</v>
      </c>
      <c r="C112" t="str">
        <v>孔 維晨</v>
      </c>
      <c r="D112" s="35" t="str">
        <v>日本大学</v>
      </c>
      <c r="E112" s="35">
        <v>0</v>
      </c>
      <c r="F112" t="str">
        <v>結果待ち</v>
      </c>
      <c r="G112" s="11">
        <v>46005</v>
      </c>
      <c r="H112" s="11">
        <v>46013</v>
      </c>
      <c r="I112">
        <v>0</v>
      </c>
      <c r="J112">
        <v>0</v>
      </c>
      <c r="K112" t="str">
        <v>2410002</v>
      </c>
      <c r="L112" t="str">
        <v>○</v>
      </c>
    </row>
    <row r="113" spans="1:12" hidden="1" x14ac:dyDescent="0.15">
      <c r="A113">
        <v>2410002</v>
      </c>
      <c r="B113" t="str">
        <v>2-4</v>
      </c>
      <c r="C113" t="str">
        <v>孔 維晨</v>
      </c>
      <c r="D113" s="35" t="str">
        <v>大手前大学</v>
      </c>
      <c r="E113" s="35" t="str">
        <v>建築＆芸術学部</v>
      </c>
      <c r="F113" t="str">
        <v>合格</v>
      </c>
      <c r="G113" s="11">
        <v>46051</v>
      </c>
      <c r="H113" s="11">
        <v>46059</v>
      </c>
      <c r="I113">
        <v>0</v>
      </c>
      <c r="J113" t="str">
        <v>○</v>
      </c>
      <c r="K113" t="str">
        <v>2410002○</v>
      </c>
      <c r="L113" t="str">
        <v>○</v>
      </c>
    </row>
    <row r="114" spans="1:12" hidden="1" x14ac:dyDescent="0.15">
      <c r="A114">
        <v>2404008</v>
      </c>
      <c r="B114" t="str">
        <v>2-5</v>
      </c>
      <c r="C114" t="str">
        <v>NGUYEN PHUONG LINH</v>
      </c>
      <c r="D114" s="35" t="str">
        <v>東京国際ビジネスカレッジ神戸校</v>
      </c>
      <c r="E114" s="35">
        <v>0</v>
      </c>
      <c r="F114" t="str">
        <v>不合格</v>
      </c>
      <c r="G114" s="11">
        <v>45948</v>
      </c>
      <c r="H114" s="11">
        <v>45952</v>
      </c>
      <c r="I114">
        <v>0</v>
      </c>
      <c r="J114">
        <v>0</v>
      </c>
      <c r="K114" t="str">
        <v>2404008</v>
      </c>
      <c r="L114" t="str">
        <v/>
      </c>
    </row>
    <row r="115" spans="1:12" hidden="1" x14ac:dyDescent="0.15">
      <c r="A115">
        <v>2404008</v>
      </c>
      <c r="B115" t="str">
        <v>2-5</v>
      </c>
      <c r="C115" t="str">
        <v>NGUYEN PHUONG LINH</v>
      </c>
      <c r="D115" s="35" t="str">
        <v>関西国際旅行・ホテル専門学校</v>
      </c>
      <c r="E115" s="35">
        <v>0</v>
      </c>
      <c r="F115" t="str">
        <v>不合格</v>
      </c>
      <c r="G115" s="11">
        <v>45970</v>
      </c>
      <c r="H115" s="11">
        <v>45973</v>
      </c>
      <c r="I115">
        <v>0</v>
      </c>
      <c r="J115">
        <v>0</v>
      </c>
      <c r="K115" t="str">
        <v>2404008</v>
      </c>
      <c r="L115" t="str">
        <v/>
      </c>
    </row>
    <row r="116" spans="1:12" hidden="1" x14ac:dyDescent="0.15">
      <c r="A116">
        <v>2404008</v>
      </c>
      <c r="B116" t="str">
        <v>2-5</v>
      </c>
      <c r="C116" t="str">
        <v>NGUYEN PHUONG LINH</v>
      </c>
      <c r="D116" s="35" t="str">
        <v>専門学校アートカレッジ神戸</v>
      </c>
      <c r="E116" s="35" t="str">
        <v>特別推薦</v>
      </c>
      <c r="F116" t="str">
        <v>辞退</v>
      </c>
      <c r="G116" s="11">
        <v>46014</v>
      </c>
      <c r="H116" s="11">
        <v>46016</v>
      </c>
      <c r="I116">
        <v>0</v>
      </c>
      <c r="J116">
        <v>0</v>
      </c>
      <c r="K116" t="str">
        <v>2404008</v>
      </c>
      <c r="L116" t="str">
        <v/>
      </c>
    </row>
    <row r="117" spans="1:12" hidden="1" x14ac:dyDescent="0.15">
      <c r="A117">
        <v>2404008</v>
      </c>
      <c r="B117" t="str">
        <v>2-5</v>
      </c>
      <c r="C117" t="str">
        <v>NGUYEN PHUONG LINH</v>
      </c>
      <c r="D117" s="35">
        <v>0</v>
      </c>
      <c r="E117" s="35">
        <v>0</v>
      </c>
      <c r="F117" t="str">
        <v>進学以外</v>
      </c>
      <c r="G117" s="11">
        <v>0</v>
      </c>
      <c r="H117" s="11">
        <v>0</v>
      </c>
      <c r="I117" t="str">
        <v>帰国予定</v>
      </c>
      <c r="J117">
        <v>0</v>
      </c>
      <c r="K117" t="str">
        <v>2404008</v>
      </c>
      <c r="L117" t="str">
        <v/>
      </c>
    </row>
    <row r="118" spans="1:12" hidden="1" x14ac:dyDescent="0.15">
      <c r="A118">
        <v>2404009</v>
      </c>
      <c r="B118" t="str">
        <v>2-5</v>
      </c>
      <c r="C118" t="str">
        <v>NGUYEN DINH HUYNH</v>
      </c>
      <c r="D118" s="35" t="str">
        <v>トヨタ神戸自動車大学校</v>
      </c>
      <c r="E118" s="35">
        <v>0</v>
      </c>
      <c r="F118" t="str">
        <v>不合格</v>
      </c>
      <c r="G118" s="11">
        <v>0</v>
      </c>
      <c r="H118" s="11">
        <v>45933</v>
      </c>
      <c r="I118">
        <v>0</v>
      </c>
      <c r="J118">
        <v>0</v>
      </c>
      <c r="K118" t="str">
        <v>2404009</v>
      </c>
      <c r="L118" t="str">
        <v>○</v>
      </c>
    </row>
    <row r="119" spans="1:12" hidden="1" x14ac:dyDescent="0.15">
      <c r="A119">
        <v>2404009</v>
      </c>
      <c r="B119" t="str">
        <v>2-5</v>
      </c>
      <c r="C119" t="str">
        <v>NGUYEN DINH HUYNH</v>
      </c>
      <c r="D119" s="35" t="str">
        <v>マツダ自動車大学</v>
      </c>
      <c r="E119" s="35">
        <v>0</v>
      </c>
      <c r="F119" t="str">
        <v>不合格</v>
      </c>
      <c r="G119" s="11">
        <v>0</v>
      </c>
      <c r="H119" s="11">
        <v>0</v>
      </c>
      <c r="I119">
        <v>0</v>
      </c>
      <c r="J119">
        <v>0</v>
      </c>
      <c r="K119" t="str">
        <v>2404009</v>
      </c>
      <c r="L119" t="str">
        <v>○</v>
      </c>
    </row>
    <row r="120" spans="1:12" hidden="1" x14ac:dyDescent="0.15">
      <c r="A120">
        <v>2404009</v>
      </c>
      <c r="B120" t="str">
        <v>2-5</v>
      </c>
      <c r="C120" t="str">
        <v>NGUYEN DINH HUYNH</v>
      </c>
      <c r="D120" s="35" t="str">
        <v>阪神自動車航空鉄道専門学校</v>
      </c>
      <c r="E120" s="35" t="str">
        <v>グローバル日本語学科</v>
      </c>
      <c r="F120" t="str">
        <v>不合格</v>
      </c>
      <c r="G120" s="11">
        <v>45991</v>
      </c>
      <c r="H120" s="11">
        <v>45996</v>
      </c>
      <c r="I120">
        <v>0</v>
      </c>
      <c r="J120">
        <v>0</v>
      </c>
      <c r="K120" t="str">
        <v>2404009</v>
      </c>
      <c r="L120" t="str">
        <v>○</v>
      </c>
    </row>
    <row r="121" spans="1:12" x14ac:dyDescent="0.15">
      <c r="A121">
        <v>2404009</v>
      </c>
      <c r="B121" t="str">
        <v>2-5</v>
      </c>
      <c r="C121" t="str">
        <v>NGUYEN DINH HUYNH</v>
      </c>
      <c r="D121" s="35" t="str">
        <v>日本デジタルカレッジ</v>
      </c>
      <c r="E121" s="35">
        <v>0</v>
      </c>
      <c r="F121" t="str">
        <v>合格</v>
      </c>
      <c r="G121" s="11">
        <v>46011</v>
      </c>
      <c r="H121" s="11">
        <v>46016</v>
      </c>
      <c r="I121">
        <v>0</v>
      </c>
      <c r="J121" t="str">
        <v>○</v>
      </c>
      <c r="K121" t="str">
        <v>2404009○</v>
      </c>
      <c r="L121" t="str">
        <v>○</v>
      </c>
    </row>
    <row r="122" spans="1:12" x14ac:dyDescent="0.15">
      <c r="A122">
        <v>2404045</v>
      </c>
      <c r="B122" t="str">
        <v>2-5</v>
      </c>
      <c r="C122" t="str">
        <v>THEIN NAING WIN</v>
      </c>
      <c r="D122" s="35" t="str">
        <v>九州中央リハビリテーション学院</v>
      </c>
      <c r="E122" s="35" t="str">
        <v>国際介護学科</v>
      </c>
      <c r="F122" t="str">
        <v>辞退</v>
      </c>
      <c r="G122" s="11">
        <v>46009</v>
      </c>
      <c r="H122" s="11">
        <v>46016</v>
      </c>
      <c r="I122">
        <v>0</v>
      </c>
      <c r="J122">
        <v>0</v>
      </c>
      <c r="K122">
        <v>0</v>
      </c>
      <c r="L122" t="str">
        <v>○</v>
      </c>
    </row>
    <row r="123" spans="1:12" hidden="1" x14ac:dyDescent="0.15">
      <c r="A123">
        <v>2404045</v>
      </c>
      <c r="B123" t="str">
        <v>2-5</v>
      </c>
      <c r="C123" t="str">
        <v>THEIN NAING WIN</v>
      </c>
      <c r="D123" s="35">
        <v>0</v>
      </c>
      <c r="E123" s="35" t="str">
        <v>特定活動</v>
      </c>
      <c r="F123" t="str">
        <v>進学以外</v>
      </c>
      <c r="G123" s="11">
        <v>0</v>
      </c>
      <c r="H123" s="11">
        <v>0</v>
      </c>
      <c r="I123" t="str">
        <v>特定活動</v>
      </c>
      <c r="J123" t="str">
        <v>○</v>
      </c>
      <c r="K123" t="str">
        <v>2404045○</v>
      </c>
      <c r="L123" t="str">
        <v>○</v>
      </c>
    </row>
    <row r="124" spans="1:12" hidden="1" x14ac:dyDescent="0.15">
      <c r="A124">
        <v>2404064</v>
      </c>
      <c r="B124" t="str">
        <v>2-5</v>
      </c>
      <c r="C124" t="str">
        <v>CHOWDHURY MD SABER AL BASAR</v>
      </c>
      <c r="D124" s="35" t="str">
        <v>兵庫大学</v>
      </c>
      <c r="E124" s="35">
        <v>0</v>
      </c>
      <c r="F124" t="str">
        <v>合格</v>
      </c>
      <c r="G124" s="11">
        <v>45948</v>
      </c>
      <c r="H124" s="11">
        <v>45962</v>
      </c>
      <c r="I124">
        <v>0</v>
      </c>
      <c r="J124" t="str">
        <v>○</v>
      </c>
      <c r="K124" t="str">
        <v>2404064○</v>
      </c>
      <c r="L124" t="str">
        <v>○</v>
      </c>
    </row>
    <row r="125" spans="1:12" hidden="1" x14ac:dyDescent="0.15">
      <c r="A125">
        <v>2404070</v>
      </c>
      <c r="B125" t="str">
        <v>2-5</v>
      </c>
      <c r="C125" t="str">
        <v>HAQUE MD NAJMUL</v>
      </c>
      <c r="D125" s="35" t="str">
        <v>関西国際旅行・ホテル専門学校</v>
      </c>
      <c r="E125" s="35" t="str">
        <v>AO試験</v>
      </c>
      <c r="F125" t="str">
        <v>合格</v>
      </c>
      <c r="G125" s="11">
        <v>0</v>
      </c>
      <c r="H125" s="11">
        <v>45930</v>
      </c>
      <c r="I125">
        <v>0</v>
      </c>
      <c r="J125" t="str">
        <v>○</v>
      </c>
      <c r="K125" t="str">
        <v>2404070○</v>
      </c>
      <c r="L125" t="str">
        <v>○</v>
      </c>
    </row>
    <row r="126" spans="1:12" hidden="1" x14ac:dyDescent="0.15">
      <c r="A126">
        <v>2404097</v>
      </c>
      <c r="B126" t="str">
        <v>2-5</v>
      </c>
      <c r="C126" t="str">
        <v>DEWAN SAIF</v>
      </c>
      <c r="D126" s="35" t="str">
        <v>岡山情報ビジネス学院</v>
      </c>
      <c r="E126" s="35" t="str">
        <v>国際ITビジネス学科</v>
      </c>
      <c r="F126" t="str">
        <v>合格</v>
      </c>
      <c r="G126" s="11">
        <v>45990</v>
      </c>
      <c r="H126" s="11">
        <v>46003</v>
      </c>
      <c r="I126">
        <v>0</v>
      </c>
      <c r="J126" t="str">
        <v>○</v>
      </c>
      <c r="K126" t="str">
        <v>2404097○</v>
      </c>
      <c r="L126" t="str">
        <v>○</v>
      </c>
    </row>
    <row r="127" spans="1:12" hidden="1" x14ac:dyDescent="0.15">
      <c r="A127">
        <v>2404105</v>
      </c>
      <c r="B127" t="str">
        <v>2-5</v>
      </c>
      <c r="C127" t="str">
        <v>TAREK MD DAUDE IBRAHIM</v>
      </c>
      <c r="D127" s="35" t="str">
        <v>関西国際旅行・ホテル専門学校</v>
      </c>
      <c r="E127" s="35">
        <v>0</v>
      </c>
      <c r="F127" t="str">
        <v>不合格</v>
      </c>
      <c r="G127" s="11">
        <v>45970</v>
      </c>
      <c r="H127" s="11">
        <v>0</v>
      </c>
      <c r="I127">
        <v>0</v>
      </c>
      <c r="J127">
        <v>0</v>
      </c>
      <c r="K127" t="str">
        <v>2404105</v>
      </c>
      <c r="L127" t="str">
        <v>○</v>
      </c>
    </row>
    <row r="128" spans="1:12" hidden="1" x14ac:dyDescent="0.15">
      <c r="A128">
        <v>2404105</v>
      </c>
      <c r="B128" t="str">
        <v>2-5</v>
      </c>
      <c r="C128" t="str">
        <v>TAREK MD DAUDE IBRAHIM</v>
      </c>
      <c r="D128" s="35" t="str">
        <v>兵庫大学</v>
      </c>
      <c r="E128" s="35">
        <v>0</v>
      </c>
      <c r="F128" t="str">
        <v>合格</v>
      </c>
      <c r="G128" s="11">
        <v>46004</v>
      </c>
      <c r="H128" s="11">
        <v>46011</v>
      </c>
      <c r="I128">
        <v>0</v>
      </c>
      <c r="J128" t="str">
        <v>○</v>
      </c>
      <c r="K128" t="str">
        <v>2404105○</v>
      </c>
      <c r="L128" t="str">
        <v>○</v>
      </c>
    </row>
    <row r="129" spans="1:12" hidden="1" x14ac:dyDescent="0.15">
      <c r="A129">
        <v>2404108</v>
      </c>
      <c r="B129" t="str">
        <v>2-5</v>
      </c>
      <c r="C129" t="str">
        <v>SHEIKH MD SABBIR HOSEN</v>
      </c>
      <c r="D129" s="35" t="str">
        <v>日本コンピュータ専門学校</v>
      </c>
      <c r="E129" s="35" t="str">
        <v>ITスペシャリスト（1年）</v>
      </c>
      <c r="F129" t="str">
        <v>不合格</v>
      </c>
      <c r="G129" s="11">
        <v>45997</v>
      </c>
      <c r="H129" s="11">
        <v>46006</v>
      </c>
      <c r="I129">
        <v>0</v>
      </c>
      <c r="J129">
        <v>0</v>
      </c>
      <c r="K129" t="str">
        <v>2404108</v>
      </c>
      <c r="L129" t="str">
        <v>○</v>
      </c>
    </row>
    <row r="130" spans="1:12" hidden="1" x14ac:dyDescent="0.15">
      <c r="A130">
        <v>2404108</v>
      </c>
      <c r="B130" t="str">
        <v>2-5</v>
      </c>
      <c r="C130" t="str">
        <v>SHEIKH MD SABBIR HOSEN</v>
      </c>
      <c r="D130" s="35" t="str">
        <v>国際アニメーション専門学校</v>
      </c>
      <c r="E130" s="35" t="str">
        <v>,国際IT基礎科、一般</v>
      </c>
      <c r="F130" t="str">
        <v>合格</v>
      </c>
      <c r="G130" s="11">
        <v>46015</v>
      </c>
      <c r="H130" s="11">
        <v>46017</v>
      </c>
      <c r="I130">
        <v>0</v>
      </c>
      <c r="J130" t="str">
        <v>○</v>
      </c>
      <c r="K130" t="str">
        <v>2404108○</v>
      </c>
      <c r="L130" t="str">
        <v>○</v>
      </c>
    </row>
    <row r="131" spans="1:12" hidden="1" x14ac:dyDescent="0.15">
      <c r="A131">
        <v>2404111</v>
      </c>
      <c r="B131" t="str">
        <v>2-5</v>
      </c>
      <c r="C131" t="str">
        <v>HAYDER JAHIDUL ISLAM</v>
      </c>
      <c r="D131" s="35" t="str">
        <v>関西国際旅行・ホテル専門学校</v>
      </c>
      <c r="E131" s="35" t="str">
        <v>日本語学科</v>
      </c>
      <c r="F131" t="str">
        <v>不合格</v>
      </c>
      <c r="G131" s="11">
        <v>45970</v>
      </c>
      <c r="H131" s="11">
        <v>45973</v>
      </c>
      <c r="I131">
        <v>0</v>
      </c>
      <c r="J131">
        <v>0</v>
      </c>
      <c r="K131" t="str">
        <v>2404111</v>
      </c>
      <c r="L131" t="str">
        <v>○</v>
      </c>
    </row>
    <row r="132" spans="1:12" hidden="1" x14ac:dyDescent="0.15">
      <c r="A132">
        <v>2404111</v>
      </c>
      <c r="B132" t="str">
        <v>2-5</v>
      </c>
      <c r="C132" t="str">
        <v>HAYDER JAHIDUL ISLAM</v>
      </c>
      <c r="D132" s="35" t="str">
        <v>日本コンピュータ専門学校</v>
      </c>
      <c r="E132" s="35" t="str">
        <v>ITスペシャリスト（1年）</v>
      </c>
      <c r="F132" t="str">
        <v>不合格</v>
      </c>
      <c r="G132" s="11">
        <v>45997</v>
      </c>
      <c r="H132" s="11">
        <v>46006</v>
      </c>
      <c r="I132">
        <v>0</v>
      </c>
      <c r="J132">
        <v>0</v>
      </c>
      <c r="K132" t="str">
        <v>2404111</v>
      </c>
      <c r="L132" t="str">
        <v>○</v>
      </c>
    </row>
    <row r="133" spans="1:12" hidden="1" x14ac:dyDescent="0.15">
      <c r="A133">
        <v>2404111</v>
      </c>
      <c r="B133" t="str">
        <v>2-5</v>
      </c>
      <c r="C133" t="str">
        <v>HAYDER JAHIDUL ISLAM</v>
      </c>
      <c r="D133" s="35" t="str">
        <v>国際アニメーション専門学校</v>
      </c>
      <c r="E133" s="35" t="str">
        <v>,国際IT基礎科、一般</v>
      </c>
      <c r="F133" t="str">
        <v>合格</v>
      </c>
      <c r="G133" s="11">
        <v>46015</v>
      </c>
      <c r="H133" s="11">
        <v>46017</v>
      </c>
      <c r="I133">
        <v>0</v>
      </c>
      <c r="J133" t="str">
        <v>○</v>
      </c>
      <c r="K133" t="str">
        <v>2404111○</v>
      </c>
      <c r="L133" t="str">
        <v>○</v>
      </c>
    </row>
    <row r="134" spans="1:12" hidden="1" x14ac:dyDescent="0.15">
      <c r="A134">
        <v>2404113</v>
      </c>
      <c r="B134" t="str">
        <v>2-5</v>
      </c>
      <c r="C134" t="str">
        <v>MD RASEDUL ISLAM</v>
      </c>
      <c r="D134" s="35" t="str">
        <v>CAD製図専門学校</v>
      </c>
      <c r="E134" s="35">
        <v>0</v>
      </c>
      <c r="F134" t="str">
        <v>合格</v>
      </c>
      <c r="G134" s="11">
        <v>0</v>
      </c>
      <c r="H134" s="11">
        <v>45873</v>
      </c>
      <c r="I134">
        <v>0</v>
      </c>
      <c r="J134" t="str">
        <v>○</v>
      </c>
      <c r="K134" t="str">
        <v>2404113○</v>
      </c>
      <c r="L134" t="str">
        <v>○</v>
      </c>
    </row>
    <row r="135" spans="1:12" hidden="1" x14ac:dyDescent="0.15">
      <c r="A135">
        <v>2404119</v>
      </c>
      <c r="B135" t="str">
        <v>2-5</v>
      </c>
      <c r="C135" t="str">
        <v>PAUL JOY</v>
      </c>
      <c r="D135" s="35" t="str">
        <v>育英館大学</v>
      </c>
      <c r="E135" s="35">
        <v>0</v>
      </c>
      <c r="F135" t="str">
        <v>辞退</v>
      </c>
      <c r="G135" s="11">
        <v>45976</v>
      </c>
      <c r="H135" s="11">
        <v>45989</v>
      </c>
      <c r="I135">
        <v>0</v>
      </c>
      <c r="J135">
        <v>0</v>
      </c>
      <c r="K135" t="str">
        <v>2404119</v>
      </c>
      <c r="L135" t="str">
        <v>○</v>
      </c>
    </row>
    <row r="136" spans="1:12" hidden="1" x14ac:dyDescent="0.15">
      <c r="A136">
        <v>2404119</v>
      </c>
      <c r="B136" t="str">
        <v>2-5</v>
      </c>
      <c r="C136" t="str">
        <v>PAUL JOY</v>
      </c>
      <c r="D136" s="35" t="str">
        <v>国際アニメーション専門学校</v>
      </c>
      <c r="E136" s="35" t="str">
        <v>,国際IT基礎科、一般</v>
      </c>
      <c r="F136" t="str">
        <v>合格</v>
      </c>
      <c r="G136" s="11">
        <v>46015</v>
      </c>
      <c r="H136" s="11">
        <v>46017</v>
      </c>
      <c r="I136">
        <v>0</v>
      </c>
      <c r="J136" t="str">
        <v>○</v>
      </c>
      <c r="K136" t="str">
        <v>2404119○</v>
      </c>
      <c r="L136" t="str">
        <v>○</v>
      </c>
    </row>
    <row r="137" spans="1:12" hidden="1" x14ac:dyDescent="0.15">
      <c r="A137">
        <v>2404171</v>
      </c>
      <c r="B137" t="str">
        <v>2-5</v>
      </c>
      <c r="C137" t="str">
        <v>RAJ KUMAR CHAUDHARY</v>
      </c>
      <c r="D137" s="35" t="str">
        <v>専門学校アートカレッジ神戸</v>
      </c>
      <c r="E137" s="35">
        <v>0</v>
      </c>
      <c r="F137" t="str">
        <v>合格</v>
      </c>
      <c r="G137" s="11">
        <v>0</v>
      </c>
      <c r="H137" s="11">
        <v>45888</v>
      </c>
      <c r="I137">
        <v>0</v>
      </c>
      <c r="J137" t="str">
        <v>○</v>
      </c>
      <c r="K137" t="str">
        <v>2404171○</v>
      </c>
      <c r="L137" t="str">
        <v>○</v>
      </c>
    </row>
    <row r="138" spans="1:12" hidden="1" x14ac:dyDescent="0.15">
      <c r="A138">
        <v>2404172</v>
      </c>
      <c r="B138" t="str">
        <v>2-5</v>
      </c>
      <c r="C138" t="str">
        <v>LIMBU SUSHIL</v>
      </c>
      <c r="D138" s="35" t="str">
        <v>専門学校アートカレッジ神戸</v>
      </c>
      <c r="E138" s="35">
        <v>0</v>
      </c>
      <c r="F138" t="str">
        <v>合格</v>
      </c>
      <c r="G138" s="11">
        <v>0</v>
      </c>
      <c r="H138" s="11">
        <v>45888</v>
      </c>
      <c r="I138">
        <v>0</v>
      </c>
      <c r="J138" t="str">
        <v>○</v>
      </c>
      <c r="K138" t="str">
        <v>2404172○</v>
      </c>
      <c r="L138" t="str">
        <v>○</v>
      </c>
    </row>
    <row r="139" spans="1:12" hidden="1" x14ac:dyDescent="0.15">
      <c r="A139">
        <v>2407020</v>
      </c>
      <c r="B139" t="str">
        <v>2-5</v>
      </c>
      <c r="C139" t="str">
        <v>MAY KHIN OO</v>
      </c>
      <c r="D139" s="35" t="str">
        <v>関西国際旅行・ホテル専門学校</v>
      </c>
      <c r="E139" s="35" t="str">
        <v>ホテル学科、協定校推薦</v>
      </c>
      <c r="F139" t="str">
        <v>合格</v>
      </c>
      <c r="G139" s="11">
        <v>45955</v>
      </c>
      <c r="H139" s="11">
        <v>45959</v>
      </c>
      <c r="I139">
        <v>0</v>
      </c>
      <c r="J139" t="str">
        <v>○</v>
      </c>
      <c r="K139" t="str">
        <v>2407020○</v>
      </c>
      <c r="L139" t="str">
        <v>○</v>
      </c>
    </row>
    <row r="140" spans="1:12" hidden="1" x14ac:dyDescent="0.15">
      <c r="A140">
        <v>2407044</v>
      </c>
      <c r="B140" t="str">
        <v>2-5</v>
      </c>
      <c r="C140" t="str">
        <v>SUTA DHAR SHABAK</v>
      </c>
      <c r="D140" s="35" t="str">
        <v>育英館大学</v>
      </c>
      <c r="E140" s="35">
        <v>0</v>
      </c>
      <c r="F140" t="str">
        <v>不合格</v>
      </c>
      <c r="G140" s="11">
        <v>45976</v>
      </c>
      <c r="H140" s="11">
        <v>45989</v>
      </c>
      <c r="I140">
        <v>0</v>
      </c>
      <c r="J140">
        <v>0</v>
      </c>
      <c r="K140" t="str">
        <v>2407044</v>
      </c>
      <c r="L140" t="str">
        <v>○</v>
      </c>
    </row>
    <row r="141" spans="1:12" hidden="1" x14ac:dyDescent="0.15">
      <c r="A141">
        <v>2407044</v>
      </c>
      <c r="B141" t="str">
        <v>2-5</v>
      </c>
      <c r="C141" t="str">
        <v>SUTA DHAR SHABAK</v>
      </c>
      <c r="D141" s="35" t="str">
        <v>流通科学大学</v>
      </c>
      <c r="E141" s="35">
        <v>0</v>
      </c>
      <c r="F141" t="str">
        <v>合格</v>
      </c>
      <c r="G141" s="11">
        <v>46011</v>
      </c>
      <c r="H141" s="11">
        <v>46017</v>
      </c>
      <c r="I141">
        <v>0</v>
      </c>
      <c r="J141" t="str">
        <v>○</v>
      </c>
      <c r="K141" t="str">
        <v>2407044○</v>
      </c>
      <c r="L141" t="str">
        <v>○</v>
      </c>
    </row>
    <row r="142" spans="1:12" hidden="1" x14ac:dyDescent="0.15">
      <c r="A142">
        <v>2407044</v>
      </c>
      <c r="B142" t="str">
        <v>2-5</v>
      </c>
      <c r="C142" t="str">
        <v>SUTA DHAR SHABAK</v>
      </c>
      <c r="D142" s="35" t="str">
        <v>兵庫大学</v>
      </c>
      <c r="E142" s="35" t="str">
        <v>(Ⅱ期)</v>
      </c>
      <c r="F142" t="str">
        <v>辞退</v>
      </c>
      <c r="G142" s="11">
        <v>46004</v>
      </c>
      <c r="H142" s="11">
        <v>46011</v>
      </c>
      <c r="I142">
        <v>0</v>
      </c>
      <c r="J142">
        <v>0</v>
      </c>
      <c r="K142" t="str">
        <v>2407044</v>
      </c>
      <c r="L142" t="str">
        <v>○</v>
      </c>
    </row>
    <row r="143" spans="1:12" hidden="1" x14ac:dyDescent="0.15">
      <c r="A143">
        <v>2407049</v>
      </c>
      <c r="B143" t="str">
        <v>2-5</v>
      </c>
      <c r="C143" t="str">
        <v>AHMAD SABBIR</v>
      </c>
      <c r="D143" s="35" t="str">
        <v>流通科学大学</v>
      </c>
      <c r="E143" s="35" t="str">
        <v>(Ⅰ期)</v>
      </c>
      <c r="F143" t="str">
        <v>不合格</v>
      </c>
      <c r="G143" s="11">
        <v>45948</v>
      </c>
      <c r="H143" s="11">
        <v>45965</v>
      </c>
      <c r="I143">
        <v>0</v>
      </c>
      <c r="J143">
        <v>0</v>
      </c>
      <c r="K143" t="str">
        <v>2407049</v>
      </c>
      <c r="L143" t="str">
        <v>○</v>
      </c>
    </row>
    <row r="144" spans="1:12" hidden="1" x14ac:dyDescent="0.15">
      <c r="A144">
        <v>2407049</v>
      </c>
      <c r="B144" t="str">
        <v>2-5</v>
      </c>
      <c r="C144" t="str">
        <v>AHMAD SABBIR</v>
      </c>
      <c r="D144" s="35" t="str">
        <v>流通科学大学</v>
      </c>
      <c r="E144" s="35" t="str">
        <v>(Ⅱ期)</v>
      </c>
      <c r="F144" t="str">
        <v>合格</v>
      </c>
      <c r="G144" s="11">
        <v>46011</v>
      </c>
      <c r="H144" s="11">
        <v>46017</v>
      </c>
      <c r="I144">
        <v>0</v>
      </c>
      <c r="J144" t="str">
        <v>○</v>
      </c>
      <c r="K144" t="str">
        <v>2407049○</v>
      </c>
      <c r="L144" t="str">
        <v>○</v>
      </c>
    </row>
    <row r="145" spans="1:12" hidden="1" x14ac:dyDescent="0.15">
      <c r="A145">
        <v>2407049</v>
      </c>
      <c r="B145" t="str">
        <v>2-5</v>
      </c>
      <c r="C145" t="str">
        <v>AHMAD SABBIR</v>
      </c>
      <c r="D145" s="35" t="str">
        <v>兵庫大学</v>
      </c>
      <c r="E145" s="35" t="str">
        <v>(Ⅱ期)</v>
      </c>
      <c r="F145" t="str">
        <v>辞退</v>
      </c>
      <c r="G145" s="11">
        <v>46004</v>
      </c>
      <c r="H145" s="11">
        <v>46011</v>
      </c>
      <c r="I145">
        <v>0</v>
      </c>
      <c r="J145">
        <v>0</v>
      </c>
      <c r="K145" t="str">
        <v>2407049</v>
      </c>
      <c r="L145" t="str">
        <v>○</v>
      </c>
    </row>
    <row r="146" spans="1:12" hidden="1" x14ac:dyDescent="0.15">
      <c r="A146">
        <v>2407060</v>
      </c>
      <c r="B146" t="str">
        <v>2-5</v>
      </c>
      <c r="C146" t="str">
        <v>RAHAMAN ABDUR</v>
      </c>
      <c r="D146" s="35" t="str">
        <v>神戸電子専門学校</v>
      </c>
      <c r="E146" s="35" t="str">
        <v>情報処理学科</v>
      </c>
      <c r="F146" t="str">
        <v>合格</v>
      </c>
      <c r="G146" s="11">
        <v>45986</v>
      </c>
      <c r="H146" s="11">
        <v>45993</v>
      </c>
      <c r="I146">
        <v>0</v>
      </c>
      <c r="J146" t="str">
        <v>○</v>
      </c>
      <c r="K146" t="str">
        <v>2407060○</v>
      </c>
      <c r="L146" t="str">
        <v>○</v>
      </c>
    </row>
    <row r="147" spans="1:12" hidden="1" x14ac:dyDescent="0.15">
      <c r="A147">
        <v>2407064</v>
      </c>
      <c r="B147" t="str">
        <v>2-5</v>
      </c>
      <c r="C147" t="str">
        <v>BHUJEL YAMUNA</v>
      </c>
      <c r="D147" s="35" t="str">
        <v>関西国際旅行・ホテル専門学校</v>
      </c>
      <c r="E147" s="35" t="str">
        <v>ホテル学科</v>
      </c>
      <c r="F147" t="str">
        <v>不合格</v>
      </c>
      <c r="G147" s="11">
        <v>45887</v>
      </c>
      <c r="H147" s="11">
        <v>0</v>
      </c>
      <c r="I147">
        <v>0</v>
      </c>
      <c r="J147">
        <v>0</v>
      </c>
      <c r="K147" t="str">
        <v>2407064</v>
      </c>
      <c r="L147" t="str">
        <v>○</v>
      </c>
    </row>
    <row r="148" spans="1:12" hidden="1" x14ac:dyDescent="0.15">
      <c r="A148">
        <v>2407064</v>
      </c>
      <c r="B148" t="str">
        <v>2-5</v>
      </c>
      <c r="C148" t="str">
        <v>BHUJEL YAMUNA</v>
      </c>
      <c r="D148" s="35" t="str">
        <v>東京国際ビジネスカレッジ神戸校</v>
      </c>
      <c r="E148" s="35">
        <v>0</v>
      </c>
      <c r="F148" t="str">
        <v>合格</v>
      </c>
      <c r="G148" s="11">
        <v>0</v>
      </c>
      <c r="H148" s="11">
        <v>45917</v>
      </c>
      <c r="I148">
        <v>0</v>
      </c>
      <c r="J148" t="str">
        <v>○</v>
      </c>
      <c r="K148" t="str">
        <v>2407064○</v>
      </c>
      <c r="L148" t="str">
        <v>○</v>
      </c>
    </row>
    <row r="149" spans="1:12" hidden="1" x14ac:dyDescent="0.15">
      <c r="A149">
        <v>2410001</v>
      </c>
      <c r="B149" t="str">
        <v>2-5</v>
      </c>
      <c r="C149" t="str">
        <v>范 澤旭</v>
      </c>
      <c r="D149" s="35" t="str">
        <v>流通科学大学</v>
      </c>
      <c r="E149" s="35">
        <v>0</v>
      </c>
      <c r="F149" t="str">
        <v>合格</v>
      </c>
      <c r="G149" s="11">
        <v>45948</v>
      </c>
      <c r="H149" s="11">
        <v>45965</v>
      </c>
      <c r="I149">
        <v>0</v>
      </c>
      <c r="J149" t="str">
        <v>○</v>
      </c>
      <c r="K149" t="str">
        <v>2410001○</v>
      </c>
      <c r="L149" t="str">
        <v>○</v>
      </c>
    </row>
    <row r="150" spans="1:12" hidden="1" x14ac:dyDescent="0.15">
      <c r="A150">
        <v>2410004</v>
      </c>
      <c r="B150" t="str">
        <v>2-5</v>
      </c>
      <c r="C150" t="str">
        <v>于 騰傑</v>
      </c>
      <c r="D150" s="35" t="str">
        <v>大阪観光大学</v>
      </c>
      <c r="E150" s="35">
        <v>0</v>
      </c>
      <c r="F150" t="str">
        <v>辞退</v>
      </c>
      <c r="G150" s="11">
        <v>46004</v>
      </c>
      <c r="H150" s="11">
        <v>46010</v>
      </c>
      <c r="I150">
        <v>0</v>
      </c>
      <c r="J150">
        <v>0</v>
      </c>
      <c r="K150" t="str">
        <v>2410004</v>
      </c>
      <c r="L150" t="str">
        <v>○</v>
      </c>
    </row>
    <row r="151" spans="1:12" hidden="1" x14ac:dyDescent="0.15">
      <c r="A151">
        <v>2410004</v>
      </c>
      <c r="B151" t="str">
        <v>2-5</v>
      </c>
      <c r="C151" t="str">
        <v>于 騰傑</v>
      </c>
      <c r="D151" s="35" t="str">
        <v>神戸国際大学</v>
      </c>
      <c r="E151" s="35" t="str">
        <v>(Ⅲ期)</v>
      </c>
      <c r="F151" t="str">
        <v>準備中</v>
      </c>
      <c r="G151" s="11">
        <v>46093</v>
      </c>
      <c r="H151" s="11">
        <v>46101</v>
      </c>
      <c r="I151">
        <v>0</v>
      </c>
      <c r="J151">
        <v>0</v>
      </c>
      <c r="K151" t="str">
        <v>2410004</v>
      </c>
      <c r="L151" t="str">
        <v>○</v>
      </c>
    </row>
    <row r="152" spans="1:12" hidden="1" x14ac:dyDescent="0.15">
      <c r="A152">
        <v>2410004</v>
      </c>
      <c r="B152" t="str">
        <v>2-5</v>
      </c>
      <c r="C152" t="str">
        <v>于 騰傑</v>
      </c>
      <c r="D152" s="35" t="str">
        <v>愛知工科大学</v>
      </c>
      <c r="E152" s="35" t="str">
        <v>電子ロボット工学科</v>
      </c>
      <c r="F152" t="str">
        <v>合格</v>
      </c>
      <c r="G152" s="11">
        <v>46073</v>
      </c>
      <c r="H152" s="11">
        <v>46081</v>
      </c>
      <c r="I152">
        <v>0</v>
      </c>
      <c r="J152" t="str">
        <v>○</v>
      </c>
      <c r="K152" t="str">
        <v>2410004○</v>
      </c>
      <c r="L152" t="str">
        <v>○</v>
      </c>
    </row>
    <row r="153" spans="1:12" hidden="1" x14ac:dyDescent="0.15">
      <c r="A153">
        <v>2410004</v>
      </c>
      <c r="B153" t="str">
        <v>2-5</v>
      </c>
      <c r="C153" t="str">
        <v>于 騰傑</v>
      </c>
      <c r="D153" s="35" t="str">
        <v>国際外語・観光・エアライン専門学校</v>
      </c>
      <c r="E153" s="35" t="str">
        <v>日本語ビジネス科（１年）</v>
      </c>
      <c r="F153" t="str">
        <v>辞退</v>
      </c>
      <c r="G153" s="11" t="str">
        <v>未定</v>
      </c>
      <c r="H153" s="11" t="str">
        <v>未定</v>
      </c>
      <c r="I153">
        <v>0</v>
      </c>
      <c r="J153">
        <v>0</v>
      </c>
      <c r="K153" t="str">
        <v>2410004</v>
      </c>
      <c r="L153" t="str">
        <v>○</v>
      </c>
    </row>
    <row r="154" spans="1:12" hidden="1" x14ac:dyDescent="0.15">
      <c r="A154">
        <v>2404040</v>
      </c>
      <c r="B154" t="str">
        <v>2-6</v>
      </c>
      <c r="C154" t="str">
        <v>AYE PWINT NAING</v>
      </c>
      <c r="D154" s="35" t="str">
        <v>大阪モード学園</v>
      </c>
      <c r="E154" s="35" t="str">
        <v>インテリアデザイナー専攻、AO試験早期</v>
      </c>
      <c r="F154" t="str">
        <v>合格</v>
      </c>
      <c r="G154" s="11">
        <v>45888</v>
      </c>
      <c r="H154" s="11">
        <v>45908</v>
      </c>
      <c r="I154">
        <v>0</v>
      </c>
      <c r="J154" t="str">
        <v>○</v>
      </c>
      <c r="K154" t="str">
        <v>2404040○</v>
      </c>
      <c r="L154" t="str">
        <v>○</v>
      </c>
    </row>
    <row r="155" spans="1:12" hidden="1" x14ac:dyDescent="0.15">
      <c r="A155">
        <v>2404088</v>
      </c>
      <c r="B155" t="str">
        <v>2-6</v>
      </c>
      <c r="C155" t="str">
        <v>MD.EMTEAZ HOSEN</v>
      </c>
      <c r="D155" s="35" t="str">
        <v>流通科学大学</v>
      </c>
      <c r="E155" s="35" t="str">
        <v>マーケティング学科、一般</v>
      </c>
      <c r="F155" t="str">
        <v>不合格</v>
      </c>
      <c r="G155" s="11">
        <v>45948</v>
      </c>
      <c r="H155" s="11">
        <v>45965</v>
      </c>
      <c r="I155">
        <v>0</v>
      </c>
      <c r="J155">
        <v>0</v>
      </c>
      <c r="K155" t="str">
        <v>2404088</v>
      </c>
      <c r="L155" t="str">
        <v>○</v>
      </c>
    </row>
    <row r="156" spans="1:12" hidden="1" x14ac:dyDescent="0.15">
      <c r="A156">
        <v>2404088</v>
      </c>
      <c r="B156" t="str">
        <v>2-6</v>
      </c>
      <c r="C156" t="str">
        <v>MD.EMTEAZ HOSEN</v>
      </c>
      <c r="D156" s="35" t="str">
        <v>ICT専門学校</v>
      </c>
      <c r="E156" s="35" t="str">
        <v>国際情報デザイン科、一般</v>
      </c>
      <c r="F156" t="str">
        <v>辞退</v>
      </c>
      <c r="G156" s="11">
        <v>45990</v>
      </c>
      <c r="H156" s="11">
        <v>45996</v>
      </c>
      <c r="I156">
        <v>0</v>
      </c>
      <c r="J156">
        <v>0</v>
      </c>
      <c r="K156" t="str">
        <v>2404088</v>
      </c>
      <c r="L156" t="str">
        <v>○</v>
      </c>
    </row>
    <row r="157" spans="1:12" hidden="1" x14ac:dyDescent="0.15">
      <c r="A157">
        <v>2404088</v>
      </c>
      <c r="B157" t="str">
        <v>2-6</v>
      </c>
      <c r="C157" t="str">
        <v>MD.EMTEAZ HOSEN</v>
      </c>
      <c r="D157" s="35" t="str">
        <v>流通科学大学</v>
      </c>
      <c r="E157" s="35" t="str">
        <v>マーケティング学科、一般</v>
      </c>
      <c r="F157" t="str">
        <v>合格</v>
      </c>
      <c r="G157" s="11">
        <v>46011</v>
      </c>
      <c r="H157" s="11">
        <v>46017</v>
      </c>
      <c r="I157">
        <v>0</v>
      </c>
      <c r="J157" t="str">
        <v>○</v>
      </c>
      <c r="K157" t="str">
        <v>2404088○</v>
      </c>
      <c r="L157" t="str">
        <v>○</v>
      </c>
    </row>
    <row r="158" spans="1:12" hidden="1" x14ac:dyDescent="0.15">
      <c r="A158">
        <v>2404127</v>
      </c>
      <c r="B158" t="str">
        <v>2-6</v>
      </c>
      <c r="C158" t="str">
        <v>UDOY MD.</v>
      </c>
      <c r="D158" s="35" t="str">
        <v>神戸親和大学</v>
      </c>
      <c r="E158" s="35" t="str">
        <v>国際文化学科、協定校推薦</v>
      </c>
      <c r="F158" t="str">
        <v>合格</v>
      </c>
      <c r="G158" s="11">
        <v>45997</v>
      </c>
      <c r="H158" s="11">
        <v>46003</v>
      </c>
      <c r="I158">
        <v>0</v>
      </c>
      <c r="J158" t="str">
        <v>○</v>
      </c>
      <c r="K158" t="str">
        <v>2404127○</v>
      </c>
      <c r="L158" t="str">
        <v>○</v>
      </c>
    </row>
    <row r="159" spans="1:12" hidden="1" x14ac:dyDescent="0.15">
      <c r="A159">
        <v>2404163</v>
      </c>
      <c r="B159" t="str">
        <v>2-6</v>
      </c>
      <c r="C159" t="str">
        <v>SABITA GAMAL</v>
      </c>
      <c r="D159" s="35" t="str">
        <v>東亜経理専門学校</v>
      </c>
      <c r="E159" s="35" t="str">
        <v>国際ビジネスコース、AO試験</v>
      </c>
      <c r="F159" t="str">
        <v>合格</v>
      </c>
      <c r="G159" s="11">
        <v>45871</v>
      </c>
      <c r="H159" s="11">
        <v>45877</v>
      </c>
      <c r="I159">
        <v>0</v>
      </c>
      <c r="J159" t="str">
        <v>○</v>
      </c>
      <c r="K159" t="str">
        <v>2404163○</v>
      </c>
      <c r="L159" t="str">
        <v>○</v>
      </c>
    </row>
    <row r="160" spans="1:12" hidden="1" x14ac:dyDescent="0.15">
      <c r="A160">
        <v>2407008</v>
      </c>
      <c r="B160" t="str">
        <v>2-6</v>
      </c>
      <c r="C160" t="str">
        <v>MYA MYA THIN</v>
      </c>
      <c r="D160" s="35" t="str">
        <v>神戸電子専門学校</v>
      </c>
      <c r="E160" s="35" t="str">
        <v>建築インテリアデザイン学科、特別指定校推薦</v>
      </c>
      <c r="F160" t="str">
        <v>合格</v>
      </c>
      <c r="G160" s="11">
        <v>45958</v>
      </c>
      <c r="H160" s="11">
        <v>45973</v>
      </c>
      <c r="I160">
        <v>0</v>
      </c>
      <c r="J160" t="str">
        <v>○</v>
      </c>
      <c r="K160" t="str">
        <v>2407008○</v>
      </c>
      <c r="L160" t="str">
        <v>○</v>
      </c>
    </row>
    <row r="161" spans="1:12" hidden="1" x14ac:dyDescent="0.15">
      <c r="A161">
        <v>2407009</v>
      </c>
      <c r="B161" t="str">
        <v>2-6</v>
      </c>
      <c r="C161" t="str">
        <v>NAING LIN KHANT</v>
      </c>
      <c r="D161" s="35" t="str">
        <v>神戸親和大学</v>
      </c>
      <c r="E161" s="35" t="str">
        <v>国際文化学科、協定校推薦</v>
      </c>
      <c r="F161" t="str">
        <v>合格</v>
      </c>
      <c r="G161" s="11">
        <v>45997</v>
      </c>
      <c r="H161" s="11">
        <v>46003</v>
      </c>
      <c r="I161">
        <v>0</v>
      </c>
      <c r="J161" t="str">
        <v>○</v>
      </c>
      <c r="K161" t="str">
        <v>2407009○</v>
      </c>
      <c r="L161" t="str">
        <v>○</v>
      </c>
    </row>
    <row r="162" spans="1:12" hidden="1" x14ac:dyDescent="0.15">
      <c r="A162">
        <v>2407014</v>
      </c>
      <c r="B162" t="str">
        <v>2-6</v>
      </c>
      <c r="C162" t="str">
        <v>ZIN LAY NWE</v>
      </c>
      <c r="D162" s="35" t="str">
        <v>大阪女学院大学</v>
      </c>
      <c r="E162" s="35" t="str">
        <v>国際英語学部、国際英語学科、指定校推薦3年次編入試験</v>
      </c>
      <c r="F162" t="str">
        <v>合格</v>
      </c>
      <c r="G162" s="11">
        <v>45942</v>
      </c>
      <c r="H162" s="11">
        <v>45947</v>
      </c>
      <c r="I162">
        <v>0</v>
      </c>
      <c r="J162" t="str">
        <v>○</v>
      </c>
      <c r="K162" t="str">
        <v>2407014○</v>
      </c>
      <c r="L162" t="str">
        <v>○</v>
      </c>
    </row>
    <row r="163" spans="1:12" x14ac:dyDescent="0.15">
      <c r="A163">
        <v>2407015</v>
      </c>
      <c r="B163" t="str">
        <v>2-6</v>
      </c>
      <c r="C163" t="str">
        <v>SHANE ARKAR</v>
      </c>
      <c r="D163" s="35" t="str">
        <v>神戸親和大学</v>
      </c>
      <c r="E163" s="35" t="str">
        <v>国際文化学科、協定校推薦</v>
      </c>
      <c r="F163" t="str">
        <v>合格</v>
      </c>
      <c r="G163" s="11">
        <v>45702</v>
      </c>
      <c r="H163" s="11">
        <v>45708</v>
      </c>
      <c r="I163">
        <v>0</v>
      </c>
      <c r="J163" t="str">
        <v>○</v>
      </c>
      <c r="K163" t="str">
        <v>2407015○</v>
      </c>
      <c r="L163" t="str">
        <v>○</v>
      </c>
    </row>
    <row r="164" spans="1:12" x14ac:dyDescent="0.15">
      <c r="A164">
        <v>2407016</v>
      </c>
      <c r="B164" t="str">
        <v>2-6</v>
      </c>
      <c r="C164" t="str">
        <v>KYAW ZIN MYINT</v>
      </c>
      <c r="D164" s="35" t="str">
        <v>ECC国際外語専門学校</v>
      </c>
      <c r="E164" s="35" t="str">
        <v>大学進学コース、進学準備コース、一般</v>
      </c>
      <c r="F164" t="str">
        <v>辞退</v>
      </c>
      <c r="G164" s="11">
        <v>45990</v>
      </c>
      <c r="H164" s="11">
        <v>0</v>
      </c>
      <c r="I164">
        <v>0</v>
      </c>
      <c r="J164">
        <v>0</v>
      </c>
      <c r="K164" t="str">
        <v>2407016</v>
      </c>
      <c r="L164" t="str">
        <v/>
      </c>
    </row>
    <row r="165" spans="1:12" x14ac:dyDescent="0.15">
      <c r="A165">
        <v>2407016</v>
      </c>
      <c r="B165" t="str">
        <v>2-6</v>
      </c>
      <c r="C165" t="str">
        <v>KYAW ZIN MYINT</v>
      </c>
      <c r="D165" s="35" t="str">
        <v>大阪バイオメディカル専門学校</v>
      </c>
      <c r="E165" s="35" t="str">
        <v>日本文化教養学科、指定校推薦</v>
      </c>
      <c r="F165" t="str">
        <v>結果待ち</v>
      </c>
      <c r="G165" s="11">
        <v>45665</v>
      </c>
      <c r="H165" s="11">
        <v>46036</v>
      </c>
      <c r="I165">
        <v>0</v>
      </c>
      <c r="J165">
        <v>0</v>
      </c>
      <c r="K165" t="str">
        <v>2407016</v>
      </c>
      <c r="L165" t="str">
        <v/>
      </c>
    </row>
    <row r="166" spans="1:12" hidden="1" x14ac:dyDescent="0.15">
      <c r="A166">
        <v>2407016</v>
      </c>
      <c r="B166" t="str">
        <v>2-6</v>
      </c>
      <c r="C166" t="str">
        <v>KYAW ZIN MYINT</v>
      </c>
      <c r="D166" s="35">
        <v>0</v>
      </c>
      <c r="E166" s="35" t="str">
        <v>特定活動</v>
      </c>
      <c r="F166" t="str">
        <v>進学以外</v>
      </c>
      <c r="G166" s="11">
        <v>0</v>
      </c>
      <c r="H166" s="11">
        <v>0</v>
      </c>
      <c r="I166" t="str">
        <v>特定活動</v>
      </c>
      <c r="J166">
        <v>0</v>
      </c>
      <c r="K166" t="str">
        <v>2407016</v>
      </c>
      <c r="L166" t="str">
        <v/>
      </c>
    </row>
    <row r="167" spans="1:12" hidden="1" x14ac:dyDescent="0.15">
      <c r="A167">
        <v>2407017</v>
      </c>
      <c r="B167" t="str">
        <v>2-6</v>
      </c>
      <c r="C167" t="str">
        <v>THAN TOE AUNG</v>
      </c>
      <c r="D167" s="35" t="str">
        <v>トヨタ神戸自動車大学校</v>
      </c>
      <c r="E167" s="35" t="str">
        <v>国際自動車整備科、指定校推薦</v>
      </c>
      <c r="F167" t="str">
        <v>合格</v>
      </c>
      <c r="G167" s="11">
        <v>45927</v>
      </c>
      <c r="H167" s="11">
        <v>45933</v>
      </c>
      <c r="I167">
        <v>0</v>
      </c>
      <c r="J167" t="str">
        <v>○</v>
      </c>
      <c r="K167" t="str">
        <v>2407017○</v>
      </c>
      <c r="L167" t="str">
        <v>○</v>
      </c>
    </row>
    <row r="168" spans="1:12" hidden="1" x14ac:dyDescent="0.15">
      <c r="A168">
        <v>2407018</v>
      </c>
      <c r="B168" t="str">
        <v>2-6</v>
      </c>
      <c r="C168" t="str">
        <v>KHIN SANDI ZAW</v>
      </c>
      <c r="D168" s="35" t="str">
        <v>神戸電子専門学校</v>
      </c>
      <c r="E168" s="35" t="str">
        <v>ITスペシャリストコース、特別指定校推薦</v>
      </c>
      <c r="F168" t="str">
        <v>合格</v>
      </c>
      <c r="G168" s="11">
        <v>45917</v>
      </c>
      <c r="H168" s="11">
        <v>45945</v>
      </c>
      <c r="I168">
        <v>0</v>
      </c>
      <c r="J168" t="str">
        <v>○</v>
      </c>
      <c r="K168" t="str">
        <v>2407018○</v>
      </c>
      <c r="L168" t="str">
        <v>○</v>
      </c>
    </row>
    <row r="169" spans="1:12" ht="13.5" hidden="1" customHeight="1" x14ac:dyDescent="0.15">
      <c r="A169">
        <v>2407021</v>
      </c>
      <c r="B169" t="str">
        <v>2-6</v>
      </c>
      <c r="C169" t="str">
        <v>MYA MYA MOE</v>
      </c>
      <c r="D169" s="35" t="str">
        <v>神戸親和大学</v>
      </c>
      <c r="E169" s="35" t="str">
        <v>国際文化学科、協定校推薦</v>
      </c>
      <c r="F169" t="str">
        <v>合格</v>
      </c>
      <c r="G169" s="11">
        <v>45997</v>
      </c>
      <c r="H169" s="11">
        <v>46003</v>
      </c>
      <c r="I169">
        <v>0</v>
      </c>
      <c r="J169" t="str">
        <v>○</v>
      </c>
      <c r="K169" t="str">
        <v>2407021○</v>
      </c>
      <c r="L169" t="str">
        <v>○</v>
      </c>
    </row>
    <row r="170" spans="1:12" x14ac:dyDescent="0.15">
      <c r="A170">
        <v>2407024</v>
      </c>
      <c r="B170" t="str">
        <v>2-6</v>
      </c>
      <c r="C170" t="str">
        <v>NAY MYO HTET</v>
      </c>
      <c r="D170" s="35" t="str">
        <v>東京国際ビジネスカレッジ神戸校</v>
      </c>
      <c r="E170" s="35" t="str">
        <v>キャリアデザインコース、一般</v>
      </c>
      <c r="F170" t="str">
        <v>辞退</v>
      </c>
      <c r="G170" s="11">
        <v>45994</v>
      </c>
      <c r="H170" s="11">
        <v>45997</v>
      </c>
      <c r="I170">
        <v>0</v>
      </c>
      <c r="J170">
        <v>0</v>
      </c>
      <c r="K170" t="str">
        <v>2407024</v>
      </c>
      <c r="L170" t="str">
        <v/>
      </c>
    </row>
    <row r="171" spans="1:12" x14ac:dyDescent="0.15">
      <c r="A171">
        <v>2407024</v>
      </c>
      <c r="B171" t="str">
        <v>2-6</v>
      </c>
      <c r="C171" t="str">
        <v>NAY MYO HTET</v>
      </c>
      <c r="D171" s="35">
        <v>0</v>
      </c>
      <c r="E171" s="35" t="str">
        <v>特定活動</v>
      </c>
      <c r="F171" t="str">
        <v>進学以外</v>
      </c>
      <c r="G171" s="11">
        <v>0</v>
      </c>
      <c r="H171" s="11">
        <v>0</v>
      </c>
      <c r="I171" t="str">
        <v>特定活動</v>
      </c>
      <c r="J171">
        <v>0</v>
      </c>
      <c r="K171" t="str">
        <v>2407024</v>
      </c>
      <c r="L171" t="str">
        <v/>
      </c>
    </row>
    <row r="172" spans="1:12" x14ac:dyDescent="0.15">
      <c r="A172">
        <v>2407028</v>
      </c>
      <c r="B172" t="str">
        <v>2-6</v>
      </c>
      <c r="C172" t="str">
        <v>KYAW BHONE LU</v>
      </c>
      <c r="D172" s="35" t="str">
        <v>関西国際旅行・ホテル専門学校</v>
      </c>
      <c r="E172" s="35" t="str">
        <v>キャリア日本語コース、一般</v>
      </c>
      <c r="F172" t="str">
        <v>不合格</v>
      </c>
      <c r="G172" s="11">
        <v>46012</v>
      </c>
      <c r="H172" s="11">
        <v>46015</v>
      </c>
      <c r="I172">
        <v>0</v>
      </c>
      <c r="J172">
        <v>0</v>
      </c>
      <c r="K172" t="str">
        <v>2407028</v>
      </c>
      <c r="L172" t="str">
        <v/>
      </c>
    </row>
    <row r="173" spans="1:12" hidden="1" x14ac:dyDescent="0.15">
      <c r="A173">
        <v>2407028</v>
      </c>
      <c r="B173" t="str">
        <v>2-6</v>
      </c>
      <c r="C173" t="str">
        <v>KYAW BHONE LU</v>
      </c>
      <c r="D173" s="35" t="str">
        <v>関西国際旅行・ホテル専門学校</v>
      </c>
      <c r="E173" s="35" t="str">
        <v>キャリア日本語コース、一般</v>
      </c>
      <c r="F173" t="str">
        <v>不合格</v>
      </c>
      <c r="G173" s="11">
        <v>46046</v>
      </c>
      <c r="H173" s="11">
        <v>46050</v>
      </c>
      <c r="I173">
        <v>0</v>
      </c>
      <c r="J173">
        <v>0</v>
      </c>
      <c r="K173" t="str">
        <v>2407028</v>
      </c>
      <c r="L173" t="str">
        <v/>
      </c>
    </row>
    <row r="174" spans="1:12" hidden="1" x14ac:dyDescent="0.15">
      <c r="A174">
        <v>2407028</v>
      </c>
      <c r="B174" t="str">
        <v>2-6</v>
      </c>
      <c r="C174" t="str">
        <v>KYAW BHONE LU</v>
      </c>
      <c r="D174" s="35">
        <v>0</v>
      </c>
      <c r="E174" s="35" t="str">
        <v>特定活動</v>
      </c>
      <c r="F174" t="str">
        <v>進学以外</v>
      </c>
      <c r="G174" s="11">
        <v>0</v>
      </c>
      <c r="H174" s="11">
        <v>0</v>
      </c>
      <c r="I174" t="str">
        <v>特定活動</v>
      </c>
      <c r="J174">
        <v>0</v>
      </c>
      <c r="K174" t="str">
        <v>2407028</v>
      </c>
      <c r="L174" t="str">
        <v/>
      </c>
    </row>
    <row r="175" spans="1:12" hidden="1" x14ac:dyDescent="0.15">
      <c r="A175">
        <v>2407037</v>
      </c>
      <c r="B175" t="str">
        <v>2-6</v>
      </c>
      <c r="C175" t="str">
        <v>SARKAR TUHIN</v>
      </c>
      <c r="D175" s="35" t="str">
        <v>流通科学大学</v>
      </c>
      <c r="E175" s="35" t="str">
        <v>マーケティング学科、一般</v>
      </c>
      <c r="F175" t="str">
        <v>不合格</v>
      </c>
      <c r="G175" s="11">
        <v>46011</v>
      </c>
      <c r="H175" s="11">
        <v>46017</v>
      </c>
      <c r="I175">
        <v>0</v>
      </c>
      <c r="J175">
        <v>0</v>
      </c>
      <c r="K175" t="str">
        <v>2407037</v>
      </c>
      <c r="L175" t="str">
        <v>○</v>
      </c>
    </row>
    <row r="176" spans="1:12" hidden="1" x14ac:dyDescent="0.15">
      <c r="A176">
        <v>2407037</v>
      </c>
      <c r="B176" t="str">
        <v>2-6</v>
      </c>
      <c r="C176" t="str">
        <v>SARKAR TUHIN</v>
      </c>
      <c r="D176" s="35" t="str">
        <v>神戸松蔭大学</v>
      </c>
      <c r="E176" s="35" t="str">
        <v>グローバルコミュニケーション学科、指定校推薦</v>
      </c>
      <c r="F176" t="str">
        <v>合格</v>
      </c>
      <c r="G176" s="11">
        <v>46056</v>
      </c>
      <c r="H176" s="11">
        <v>46069</v>
      </c>
      <c r="I176">
        <v>0</v>
      </c>
      <c r="J176" t="str">
        <v>○</v>
      </c>
      <c r="K176" t="str">
        <v>2407037○</v>
      </c>
      <c r="L176" t="str">
        <v>○</v>
      </c>
    </row>
    <row r="177" spans="1:12" hidden="1" x14ac:dyDescent="0.15">
      <c r="A177">
        <v>2407038</v>
      </c>
      <c r="B177" t="str">
        <v>2-6</v>
      </c>
      <c r="C177" t="str">
        <v>HOSSEN KAMAL</v>
      </c>
      <c r="D177" s="35" t="str">
        <v>関東自動車大学校</v>
      </c>
      <c r="E177" s="35" t="str">
        <v>国際サービスエンジニア科、AO試験</v>
      </c>
      <c r="F177" t="str">
        <v>不合格</v>
      </c>
      <c r="G177" s="11">
        <v>45854</v>
      </c>
      <c r="H177" s="11">
        <v>45869</v>
      </c>
      <c r="I177">
        <v>0</v>
      </c>
      <c r="J177">
        <v>0</v>
      </c>
      <c r="K177" t="str">
        <v>2407038</v>
      </c>
      <c r="L177" t="str">
        <v>○</v>
      </c>
    </row>
    <row r="178" spans="1:12" hidden="1" x14ac:dyDescent="0.15">
      <c r="A178">
        <v>2407038</v>
      </c>
      <c r="B178" t="str">
        <v>2-6</v>
      </c>
      <c r="C178" t="str">
        <v>HOSSEN KAMAL</v>
      </c>
      <c r="D178" s="35" t="str">
        <v>関東自動車大学校</v>
      </c>
      <c r="E178" s="35" t="str">
        <v>国際サービスエンジニア科、AO試験</v>
      </c>
      <c r="F178" t="str">
        <v>合格</v>
      </c>
      <c r="G178" s="11">
        <v>45910</v>
      </c>
      <c r="H178" s="11">
        <v>45930</v>
      </c>
      <c r="I178">
        <v>0</v>
      </c>
      <c r="J178" t="str">
        <v>○</v>
      </c>
      <c r="K178" t="str">
        <v>2407038○</v>
      </c>
      <c r="L178" t="str">
        <v>○</v>
      </c>
    </row>
    <row r="179" spans="1:12" hidden="1" x14ac:dyDescent="0.15">
      <c r="A179">
        <v>2407041</v>
      </c>
      <c r="B179" t="str">
        <v>2-6</v>
      </c>
      <c r="C179" t="str">
        <v>MIA MD SABUZ</v>
      </c>
      <c r="D179" s="35" t="str">
        <v>関東自動車大学校</v>
      </c>
      <c r="E179" s="35" t="str">
        <v>国際サービスエンジニア科、AO試験</v>
      </c>
      <c r="F179" t="str">
        <v>不合格</v>
      </c>
      <c r="G179" s="11">
        <v>45854</v>
      </c>
      <c r="H179" s="11">
        <v>45869</v>
      </c>
      <c r="I179">
        <v>0</v>
      </c>
      <c r="J179">
        <v>0</v>
      </c>
      <c r="K179" t="str">
        <v>2407041</v>
      </c>
      <c r="L179" t="str">
        <v>○</v>
      </c>
    </row>
    <row r="180" spans="1:12" hidden="1" x14ac:dyDescent="0.15">
      <c r="A180">
        <v>2407041</v>
      </c>
      <c r="B180" t="str">
        <v>2-6</v>
      </c>
      <c r="C180" t="str">
        <v>MIA MD SABUZ</v>
      </c>
      <c r="D180" s="35" t="str">
        <v>東京工科自動車大学校世田谷校</v>
      </c>
      <c r="E180" s="35" t="str">
        <v>自動車整備科、指定校推薦</v>
      </c>
      <c r="F180" t="str">
        <v>不合格</v>
      </c>
      <c r="G180" s="11">
        <v>45917</v>
      </c>
      <c r="H180" s="11">
        <v>45936</v>
      </c>
      <c r="I180">
        <v>0</v>
      </c>
      <c r="J180">
        <v>0</v>
      </c>
      <c r="K180" t="str">
        <v>2407041</v>
      </c>
      <c r="L180" t="str">
        <v>○</v>
      </c>
    </row>
    <row r="181" spans="1:12" hidden="1" x14ac:dyDescent="0.15">
      <c r="A181">
        <v>2407041</v>
      </c>
      <c r="B181" t="str">
        <v>2-6</v>
      </c>
      <c r="C181" t="str">
        <v>MIA MD SABUZ</v>
      </c>
      <c r="D181" s="35" t="str">
        <v>東京工科自動車大学校</v>
      </c>
      <c r="E181" s="35" t="str">
        <v>ブリッジエンジニアコース、一般</v>
      </c>
      <c r="F181" t="str">
        <v>合格</v>
      </c>
      <c r="G181" s="11">
        <v>45952</v>
      </c>
      <c r="H181" s="11">
        <v>45971</v>
      </c>
      <c r="I181">
        <v>0</v>
      </c>
      <c r="J181" t="str">
        <v>○</v>
      </c>
      <c r="K181" t="str">
        <v>2407041○</v>
      </c>
      <c r="L181" t="str">
        <v>○</v>
      </c>
    </row>
    <row r="182" spans="1:12" hidden="1" x14ac:dyDescent="0.15">
      <c r="A182">
        <v>2407041</v>
      </c>
      <c r="B182" t="str">
        <v>2-6</v>
      </c>
      <c r="C182" t="str">
        <v>MIA MD SABUZ</v>
      </c>
      <c r="D182" s="35" t="str">
        <v>中部国際自動車大学校</v>
      </c>
      <c r="E182" s="35" t="str">
        <v>2級自動車整備士コース、指定校推薦</v>
      </c>
      <c r="F182" t="str">
        <v>不合格</v>
      </c>
      <c r="G182" s="11">
        <v>45976</v>
      </c>
      <c r="H182" s="11">
        <v>45978</v>
      </c>
      <c r="I182">
        <v>0</v>
      </c>
      <c r="J182">
        <v>0</v>
      </c>
      <c r="K182" t="str">
        <v>2407041</v>
      </c>
      <c r="L182" t="str">
        <v>○</v>
      </c>
    </row>
    <row r="183" spans="1:12" hidden="1" x14ac:dyDescent="0.15">
      <c r="A183">
        <v>2407042</v>
      </c>
      <c r="B183" t="str">
        <v>2-6</v>
      </c>
      <c r="C183" t="str">
        <v>ABDULLAH K M</v>
      </c>
      <c r="D183" s="35" t="str">
        <v>ICT専門学校</v>
      </c>
      <c r="E183" s="35" t="str">
        <v>AI・ロボットシステム科、一般</v>
      </c>
      <c r="F183" t="str">
        <v>合格</v>
      </c>
      <c r="G183" s="11">
        <v>45955</v>
      </c>
      <c r="H183" s="11">
        <v>45959</v>
      </c>
      <c r="I183">
        <v>0</v>
      </c>
      <c r="J183" t="str">
        <v>○</v>
      </c>
      <c r="K183" t="str">
        <v>2407042○</v>
      </c>
      <c r="L183" t="str">
        <v>○</v>
      </c>
    </row>
    <row r="184" spans="1:12" hidden="1" x14ac:dyDescent="0.15">
      <c r="A184">
        <v>2407067</v>
      </c>
      <c r="B184" t="str">
        <v>2-6</v>
      </c>
      <c r="C184" t="str">
        <v>BALAMI RACHINA</v>
      </c>
      <c r="D184" s="35" t="str">
        <v>大阪観光ビジネス学院</v>
      </c>
      <c r="E184" s="35" t="str">
        <v>国際コミュニケーションコース、指定校推薦</v>
      </c>
      <c r="F184" t="str">
        <v>合格</v>
      </c>
      <c r="G184" s="11">
        <v>45906</v>
      </c>
      <c r="H184" s="11">
        <v>45911</v>
      </c>
      <c r="I184">
        <v>0</v>
      </c>
      <c r="J184" t="str">
        <v>○</v>
      </c>
      <c r="K184" t="str">
        <v>2407067○</v>
      </c>
      <c r="L184" t="str">
        <v>○</v>
      </c>
    </row>
    <row r="185" spans="1:12" hidden="1" x14ac:dyDescent="0.15">
      <c r="A185">
        <v>2407075</v>
      </c>
      <c r="B185" t="str">
        <v>2-6</v>
      </c>
      <c r="C185" t="str">
        <v>DONG TAMANG USHA KUMARI</v>
      </c>
      <c r="D185" s="35" t="str">
        <v>東亜経理専門学校</v>
      </c>
      <c r="E185" s="35" t="str">
        <v>国際ビジネスコース、AO試験</v>
      </c>
      <c r="F185" t="str">
        <v>合格</v>
      </c>
      <c r="G185" s="11">
        <v>45892</v>
      </c>
      <c r="H185" s="11">
        <v>45898</v>
      </c>
      <c r="I185">
        <v>0</v>
      </c>
      <c r="J185" t="str">
        <v>○</v>
      </c>
      <c r="K185" t="str">
        <v>2407075○</v>
      </c>
      <c r="L185" t="str">
        <v>○</v>
      </c>
    </row>
    <row r="186" spans="1:12" hidden="1" x14ac:dyDescent="0.15">
      <c r="A186">
        <v>2404061</v>
      </c>
      <c r="B186" t="str">
        <v>2-7</v>
      </c>
      <c r="C186" t="str">
        <v>KABIR MD HOSSAIN</v>
      </c>
      <c r="D186" s="35" t="str">
        <v>日本国際工科専門学校</v>
      </c>
      <c r="E186" s="35">
        <v>0</v>
      </c>
      <c r="F186" t="str">
        <v>不合格</v>
      </c>
      <c r="G186" s="11">
        <v>0</v>
      </c>
      <c r="H186" s="11">
        <v>0</v>
      </c>
      <c r="I186">
        <v>0</v>
      </c>
      <c r="J186">
        <v>0</v>
      </c>
      <c r="K186" t="str">
        <v>2404061</v>
      </c>
      <c r="L186" t="str">
        <v>○</v>
      </c>
    </row>
    <row r="187" spans="1:12" hidden="1" x14ac:dyDescent="0.15">
      <c r="A187">
        <v>2404061</v>
      </c>
      <c r="B187" t="str">
        <v>2-7</v>
      </c>
      <c r="C187" t="str">
        <v>KABIR MD HOSSAIN</v>
      </c>
      <c r="D187" s="35" t="str">
        <v>プロスペラ学院ビジネス専門学校</v>
      </c>
      <c r="E187" s="35">
        <v>0</v>
      </c>
      <c r="F187" t="str">
        <v>合格</v>
      </c>
      <c r="G187" s="11">
        <v>46000</v>
      </c>
      <c r="H187" s="11">
        <v>46013</v>
      </c>
      <c r="I187">
        <v>0</v>
      </c>
      <c r="J187" t="str">
        <v>○</v>
      </c>
      <c r="K187" t="str">
        <v>2404061○</v>
      </c>
      <c r="L187" t="str">
        <v>○</v>
      </c>
    </row>
    <row r="188" spans="1:12" hidden="1" x14ac:dyDescent="0.15">
      <c r="A188">
        <v>2404063</v>
      </c>
      <c r="B188" t="str">
        <v>2-7</v>
      </c>
      <c r="C188" t="str">
        <v>FOYSAL MD ATIK</v>
      </c>
      <c r="D188" s="35" t="str">
        <v>流通科学大学</v>
      </c>
      <c r="E188" s="35">
        <v>0</v>
      </c>
      <c r="F188" t="str">
        <v>合格</v>
      </c>
      <c r="G188" s="11">
        <v>45948</v>
      </c>
      <c r="H188" s="11">
        <v>45965</v>
      </c>
      <c r="I188">
        <v>0</v>
      </c>
      <c r="J188" t="str">
        <v>○</v>
      </c>
      <c r="K188" t="str">
        <v>2404063○</v>
      </c>
      <c r="L188" t="str">
        <v>○</v>
      </c>
    </row>
    <row r="189" spans="1:12" hidden="1" x14ac:dyDescent="0.15">
      <c r="A189">
        <v>2404065</v>
      </c>
      <c r="B189" t="str">
        <v>2-7</v>
      </c>
      <c r="C189" t="str">
        <v>SHUVO MD</v>
      </c>
      <c r="D189" s="35" t="str">
        <v>ICT専門学校</v>
      </c>
      <c r="E189" s="35">
        <v>0</v>
      </c>
      <c r="F189" t="str">
        <v>不合格</v>
      </c>
      <c r="G189" s="11">
        <v>0</v>
      </c>
      <c r="H189" s="11">
        <v>45930</v>
      </c>
      <c r="I189">
        <v>0</v>
      </c>
      <c r="J189">
        <v>0</v>
      </c>
      <c r="K189" t="str">
        <v>2404065</v>
      </c>
      <c r="L189" t="str">
        <v>○</v>
      </c>
    </row>
    <row r="190" spans="1:12" hidden="1" x14ac:dyDescent="0.15">
      <c r="A190">
        <v>2404065</v>
      </c>
      <c r="B190" t="str">
        <v>2-7</v>
      </c>
      <c r="C190" t="str">
        <v>SHUVO MD</v>
      </c>
      <c r="D190" s="35" t="str">
        <v>ICT専門学校高砂校</v>
      </c>
      <c r="E190" s="35">
        <v>0</v>
      </c>
      <c r="F190" t="str">
        <v>合格</v>
      </c>
      <c r="G190" s="11">
        <v>0</v>
      </c>
      <c r="H190" s="11">
        <v>45930</v>
      </c>
      <c r="I190">
        <v>0</v>
      </c>
      <c r="J190" t="str">
        <v>○</v>
      </c>
      <c r="K190" t="str">
        <v>2404065○</v>
      </c>
      <c r="L190" t="str">
        <v>○</v>
      </c>
    </row>
    <row r="191" spans="1:12" hidden="1" x14ac:dyDescent="0.15">
      <c r="A191">
        <v>2404078</v>
      </c>
      <c r="B191" t="str">
        <v>2-7</v>
      </c>
      <c r="C191" t="str">
        <v>MD. HASIBUL HASAN</v>
      </c>
      <c r="D191" s="35" t="str">
        <v>中央美術学園</v>
      </c>
      <c r="E191" s="35">
        <v>0</v>
      </c>
      <c r="F191" t="str">
        <v>合格</v>
      </c>
      <c r="G191" s="11">
        <v>0</v>
      </c>
      <c r="H191" s="11">
        <v>45889</v>
      </c>
      <c r="I191">
        <v>0</v>
      </c>
      <c r="J191" t="str">
        <v>○</v>
      </c>
      <c r="K191" t="str">
        <v>2404078○</v>
      </c>
      <c r="L191" t="str">
        <v>○</v>
      </c>
    </row>
    <row r="192" spans="1:12" ht="13.5" hidden="1" customHeight="1" x14ac:dyDescent="0.15">
      <c r="A192">
        <v>2404090</v>
      </c>
      <c r="B192" t="str">
        <v>2-7</v>
      </c>
      <c r="C192" t="str">
        <v>EMON MD</v>
      </c>
      <c r="D192" s="35" t="str">
        <v>ICT専門学校</v>
      </c>
      <c r="E192" s="35">
        <v>0</v>
      </c>
      <c r="F192" t="str">
        <v>合格</v>
      </c>
      <c r="G192" s="11">
        <v>0</v>
      </c>
      <c r="H192" s="11">
        <v>45926</v>
      </c>
      <c r="I192">
        <v>0</v>
      </c>
      <c r="J192" t="str">
        <v>○</v>
      </c>
      <c r="K192" t="str">
        <v>2404090○</v>
      </c>
      <c r="L192" t="str">
        <v>○</v>
      </c>
    </row>
    <row r="193" spans="1:12" hidden="1" x14ac:dyDescent="0.15">
      <c r="A193">
        <v>2404116</v>
      </c>
      <c r="B193" t="str">
        <v>2-7</v>
      </c>
      <c r="C193" t="str">
        <v>MD. ARIFUL ISLAM</v>
      </c>
      <c r="D193" s="35" t="str">
        <v>ICT専門学校</v>
      </c>
      <c r="E193" s="35">
        <v>0</v>
      </c>
      <c r="F193" t="str">
        <v>合格</v>
      </c>
      <c r="G193" s="11">
        <v>0</v>
      </c>
      <c r="H193" s="11">
        <v>45926</v>
      </c>
      <c r="I193">
        <v>0</v>
      </c>
      <c r="J193" t="str">
        <v>○</v>
      </c>
      <c r="K193" t="str">
        <v>2404116○</v>
      </c>
      <c r="L193" t="str">
        <v>○</v>
      </c>
    </row>
    <row r="194" spans="1:12" x14ac:dyDescent="0.15">
      <c r="A194">
        <v>2404128</v>
      </c>
      <c r="B194" t="str">
        <v>2-7</v>
      </c>
      <c r="C194" t="str">
        <v>RAHMAN MD ANISOR</v>
      </c>
      <c r="D194" s="35" t="str">
        <v>CAD製図専門学校</v>
      </c>
      <c r="E194" s="35">
        <v>0</v>
      </c>
      <c r="F194" t="str">
        <v>不合格</v>
      </c>
      <c r="G194" s="11">
        <v>0</v>
      </c>
      <c r="H194" s="11">
        <v>0</v>
      </c>
      <c r="I194">
        <v>0</v>
      </c>
      <c r="J194">
        <v>0</v>
      </c>
      <c r="K194" t="str">
        <v>2404128</v>
      </c>
      <c r="L194" t="str">
        <v>○</v>
      </c>
    </row>
    <row r="195" spans="1:12" hidden="1" x14ac:dyDescent="0.15">
      <c r="A195">
        <v>2404128</v>
      </c>
      <c r="B195" t="str">
        <v>2-7</v>
      </c>
      <c r="C195" t="str">
        <v>RAHMAN MD ANISOR</v>
      </c>
      <c r="D195" s="35" t="str">
        <v>ICT専門学校</v>
      </c>
      <c r="E195" s="35">
        <v>0</v>
      </c>
      <c r="F195" t="str">
        <v>合格</v>
      </c>
      <c r="G195" s="11">
        <v>45948</v>
      </c>
      <c r="H195" s="11">
        <v>0</v>
      </c>
      <c r="I195">
        <v>0</v>
      </c>
      <c r="J195" t="str">
        <v>○</v>
      </c>
      <c r="K195" t="str">
        <v>2404128○</v>
      </c>
      <c r="L195" t="str">
        <v>○</v>
      </c>
    </row>
    <row r="196" spans="1:12" hidden="1" x14ac:dyDescent="0.15">
      <c r="A196">
        <v>2407005</v>
      </c>
      <c r="B196" t="str">
        <v>2-7</v>
      </c>
      <c r="C196" t="str">
        <v>AILIFEILA AIKEBAIER</v>
      </c>
      <c r="D196" s="35" t="str">
        <v>千葉大学研究生</v>
      </c>
      <c r="E196" s="35">
        <v>0</v>
      </c>
      <c r="F196" t="str">
        <v>合格</v>
      </c>
      <c r="G196" s="11">
        <v>0</v>
      </c>
      <c r="H196" s="11">
        <v>46094</v>
      </c>
      <c r="I196">
        <v>0</v>
      </c>
      <c r="J196" t="str">
        <v>○</v>
      </c>
      <c r="K196" t="str">
        <v>2407005○</v>
      </c>
      <c r="L196" t="str">
        <v>○</v>
      </c>
    </row>
    <row r="197" spans="1:12" hidden="1" x14ac:dyDescent="0.15">
      <c r="A197">
        <v>2407030</v>
      </c>
      <c r="B197" t="str">
        <v>2-7</v>
      </c>
      <c r="C197" t="str">
        <v>KAY KHING LIN</v>
      </c>
      <c r="D197" s="35" t="str">
        <v>ECC国際外語専門学校</v>
      </c>
      <c r="E197" s="35">
        <v>0</v>
      </c>
      <c r="F197" t="str">
        <v>合格</v>
      </c>
      <c r="G197" s="11">
        <v>45946</v>
      </c>
      <c r="H197" s="11">
        <v>45951</v>
      </c>
      <c r="I197">
        <v>0</v>
      </c>
      <c r="J197" t="str">
        <v>○</v>
      </c>
      <c r="K197" t="str">
        <v>2407030○</v>
      </c>
      <c r="L197" t="str">
        <v>○</v>
      </c>
    </row>
    <row r="198" spans="1:12" hidden="1" x14ac:dyDescent="0.15">
      <c r="A198">
        <v>2407040</v>
      </c>
      <c r="B198" t="str">
        <v>2-7</v>
      </c>
      <c r="C198" t="str">
        <v>AKTER MST SAMIA</v>
      </c>
      <c r="D198" s="35" t="str">
        <v>関西国際旅行・ホテル専門学校</v>
      </c>
      <c r="E198" s="35" t="str">
        <v>協定校推薦</v>
      </c>
      <c r="F198" t="str">
        <v>合格</v>
      </c>
      <c r="G198" s="11">
        <v>45955</v>
      </c>
      <c r="H198" s="11">
        <v>45957</v>
      </c>
      <c r="I198">
        <v>0</v>
      </c>
      <c r="J198" t="str">
        <v>○</v>
      </c>
      <c r="K198" t="str">
        <v>2407040○</v>
      </c>
      <c r="L198" t="str">
        <v>○</v>
      </c>
    </row>
    <row r="199" spans="1:12" hidden="1" x14ac:dyDescent="0.15">
      <c r="A199">
        <v>2407047</v>
      </c>
      <c r="B199" t="str">
        <v>2-7</v>
      </c>
      <c r="C199" t="str">
        <v>SAHA SARAN</v>
      </c>
      <c r="D199" s="35" t="str">
        <v>岩谷学園よこはまITビジネス専門学校</v>
      </c>
      <c r="E199" s="35">
        <v>0</v>
      </c>
      <c r="F199" t="str">
        <v>不合格</v>
      </c>
      <c r="G199" s="11">
        <v>0</v>
      </c>
      <c r="H199" s="11">
        <v>0</v>
      </c>
      <c r="I199">
        <v>0</v>
      </c>
      <c r="J199">
        <v>0</v>
      </c>
      <c r="K199" t="str">
        <v>2407047</v>
      </c>
      <c r="L199" t="str">
        <v>○</v>
      </c>
    </row>
    <row r="200" spans="1:12" hidden="1" x14ac:dyDescent="0.15">
      <c r="A200">
        <v>2407047</v>
      </c>
      <c r="B200" t="str">
        <v>2-7</v>
      </c>
      <c r="C200" t="str">
        <v>SAHA SARAN</v>
      </c>
      <c r="D200" s="35" t="str">
        <v>ウエルネスAIIT専門学校</v>
      </c>
      <c r="E200" s="35" t="str">
        <v>ビジネスコース</v>
      </c>
      <c r="F200" t="str">
        <v>不合格</v>
      </c>
      <c r="G200" s="11">
        <v>45959</v>
      </c>
      <c r="H200" s="11">
        <v>0</v>
      </c>
      <c r="I200">
        <v>0</v>
      </c>
      <c r="J200">
        <v>0</v>
      </c>
      <c r="K200" t="str">
        <v>2407047</v>
      </c>
      <c r="L200" t="str">
        <v>○</v>
      </c>
    </row>
    <row r="201" spans="1:12" hidden="1" x14ac:dyDescent="0.15">
      <c r="A201">
        <v>2407047</v>
      </c>
      <c r="B201" t="str">
        <v>2-7</v>
      </c>
      <c r="C201" t="str">
        <v>SAHA SARAN</v>
      </c>
      <c r="D201" s="35" t="str">
        <v>神戸国際大学</v>
      </c>
      <c r="E201" s="35" t="str">
        <v>観光ビジネス</v>
      </c>
      <c r="F201" t="str">
        <v>合格</v>
      </c>
      <c r="G201" s="11">
        <v>46005</v>
      </c>
      <c r="H201" s="11">
        <v>46016</v>
      </c>
      <c r="I201">
        <v>0</v>
      </c>
      <c r="J201" t="str">
        <v>○</v>
      </c>
      <c r="K201" t="str">
        <v>2407047○</v>
      </c>
      <c r="L201" t="str">
        <v>○</v>
      </c>
    </row>
    <row r="202" spans="1:12" hidden="1" x14ac:dyDescent="0.15">
      <c r="A202">
        <v>2407048</v>
      </c>
      <c r="B202" t="str">
        <v>2-7</v>
      </c>
      <c r="C202" t="str">
        <v>HASAN MD RAKIBUL</v>
      </c>
      <c r="D202" s="35" t="str">
        <v>流通科学大学</v>
      </c>
      <c r="E202" s="35" t="str">
        <v>マーケティング学科</v>
      </c>
      <c r="F202" t="str">
        <v>合格</v>
      </c>
      <c r="G202" s="11">
        <v>45948</v>
      </c>
      <c r="H202" s="11">
        <v>45965</v>
      </c>
      <c r="I202">
        <v>0</v>
      </c>
      <c r="J202" t="str">
        <v>○</v>
      </c>
      <c r="K202" t="str">
        <v>2407048○</v>
      </c>
      <c r="L202" t="str">
        <v>○</v>
      </c>
    </row>
    <row r="203" spans="1:12" hidden="1" x14ac:dyDescent="0.15">
      <c r="A203">
        <v>2407052</v>
      </c>
      <c r="B203" t="str">
        <v>2-7</v>
      </c>
      <c r="C203" t="str">
        <v>HAQUE MD ISMAIL</v>
      </c>
      <c r="D203" s="35" t="str">
        <v>関西国際旅行・ホテル専門学校</v>
      </c>
      <c r="E203" s="35">
        <v>0</v>
      </c>
      <c r="F203" t="str">
        <v>不合格</v>
      </c>
      <c r="G203" s="11">
        <v>0</v>
      </c>
      <c r="H203" s="11">
        <v>45847</v>
      </c>
      <c r="I203">
        <v>0</v>
      </c>
      <c r="J203">
        <v>0</v>
      </c>
      <c r="K203" t="str">
        <v>2407052</v>
      </c>
      <c r="L203" t="str">
        <v>○</v>
      </c>
    </row>
    <row r="204" spans="1:12" hidden="1" x14ac:dyDescent="0.15">
      <c r="A204">
        <v>2407052</v>
      </c>
      <c r="B204" t="str">
        <v>2-7</v>
      </c>
      <c r="C204" t="str">
        <v>HAQUE MD ISMAIL</v>
      </c>
      <c r="D204" s="35" t="str">
        <v>中央工学校OSAKA</v>
      </c>
      <c r="E204" s="35">
        <v>0</v>
      </c>
      <c r="F204" t="str">
        <v>不合格</v>
      </c>
      <c r="G204" s="11">
        <v>0</v>
      </c>
      <c r="H204" s="11">
        <v>0</v>
      </c>
      <c r="I204">
        <v>0</v>
      </c>
      <c r="J204">
        <v>0</v>
      </c>
      <c r="K204" t="str">
        <v>2407052</v>
      </c>
      <c r="L204" t="str">
        <v>○</v>
      </c>
    </row>
    <row r="205" spans="1:12" hidden="1" x14ac:dyDescent="0.15">
      <c r="A205">
        <v>2407052</v>
      </c>
      <c r="B205" t="str">
        <v>2-7</v>
      </c>
      <c r="C205" t="str">
        <v>HAQUE MD ISMAIL</v>
      </c>
      <c r="D205" s="35" t="str">
        <v>愛甲学院専門学校</v>
      </c>
      <c r="E205" s="35">
        <v>0</v>
      </c>
      <c r="F205" t="str">
        <v>不合格</v>
      </c>
      <c r="G205" s="11">
        <v>45976</v>
      </c>
      <c r="H205" s="11">
        <v>0</v>
      </c>
      <c r="I205">
        <v>0</v>
      </c>
      <c r="J205">
        <v>0</v>
      </c>
      <c r="K205" t="str">
        <v>2407052</v>
      </c>
      <c r="L205" t="str">
        <v>○</v>
      </c>
    </row>
    <row r="206" spans="1:12" hidden="1" x14ac:dyDescent="0.15">
      <c r="A206">
        <v>2407052</v>
      </c>
      <c r="B206" t="str">
        <v>2-7</v>
      </c>
      <c r="C206" t="str">
        <v>HAQUE MD ISMAIL</v>
      </c>
      <c r="D206" s="35" t="str">
        <v>九州ビジネス専門学校</v>
      </c>
      <c r="E206" s="35" t="str">
        <v>日本語コース</v>
      </c>
      <c r="F206" t="str">
        <v>合格</v>
      </c>
      <c r="G206" s="11">
        <v>46015</v>
      </c>
      <c r="H206" s="11">
        <v>0</v>
      </c>
      <c r="I206">
        <v>0</v>
      </c>
      <c r="J206" t="str">
        <v>○</v>
      </c>
      <c r="K206" t="str">
        <v>2407052○</v>
      </c>
      <c r="L206" t="str">
        <v>○</v>
      </c>
    </row>
    <row r="207" spans="1:12" hidden="1" x14ac:dyDescent="0.15">
      <c r="A207">
        <v>2407053</v>
      </c>
      <c r="B207" t="str">
        <v>2-7</v>
      </c>
      <c r="C207" t="str">
        <v>ALI MD ABBAS</v>
      </c>
      <c r="D207" s="35" t="str">
        <v>関東自動車大学校</v>
      </c>
      <c r="E207" s="35">
        <v>0</v>
      </c>
      <c r="F207" t="str">
        <v>辞退</v>
      </c>
      <c r="G207" s="11">
        <v>0</v>
      </c>
      <c r="H207" s="11">
        <v>0</v>
      </c>
      <c r="I207">
        <v>0</v>
      </c>
      <c r="J207">
        <v>0</v>
      </c>
      <c r="K207" t="str">
        <v>2407053</v>
      </c>
      <c r="L207" t="str">
        <v>○</v>
      </c>
    </row>
    <row r="208" spans="1:12" hidden="1" x14ac:dyDescent="0.15">
      <c r="A208">
        <v>2407053</v>
      </c>
      <c r="B208" t="str">
        <v>2-7</v>
      </c>
      <c r="C208" t="str">
        <v>ALI MD ABBAS</v>
      </c>
      <c r="D208" s="35" t="str">
        <v>日本工科大学校</v>
      </c>
      <c r="E208" s="35">
        <v>0</v>
      </c>
      <c r="F208" t="str">
        <v>不合格</v>
      </c>
      <c r="G208" s="11">
        <v>0</v>
      </c>
      <c r="H208" s="11">
        <v>45950</v>
      </c>
      <c r="I208">
        <v>0</v>
      </c>
      <c r="J208">
        <v>0</v>
      </c>
      <c r="K208" t="str">
        <v>2407053</v>
      </c>
      <c r="L208" t="str">
        <v>○</v>
      </c>
    </row>
    <row r="209" spans="1:12" hidden="1" x14ac:dyDescent="0.15">
      <c r="A209">
        <v>2407053</v>
      </c>
      <c r="B209" t="str">
        <v>2-7</v>
      </c>
      <c r="C209" t="str">
        <v>ALI MD ABBAS</v>
      </c>
      <c r="D209" s="35" t="str">
        <v>九州ビジネス専門学校</v>
      </c>
      <c r="E209" s="35" t="str">
        <v>日本語コース</v>
      </c>
      <c r="F209" t="str">
        <v>合格</v>
      </c>
      <c r="G209" s="11">
        <v>0</v>
      </c>
      <c r="H209" s="11">
        <v>46001</v>
      </c>
      <c r="I209">
        <v>0</v>
      </c>
      <c r="J209" t="str">
        <v>○</v>
      </c>
      <c r="K209" t="str">
        <v>2407053○</v>
      </c>
      <c r="L209" t="str">
        <v>○</v>
      </c>
    </row>
    <row r="210" spans="1:12" hidden="1" x14ac:dyDescent="0.15">
      <c r="A210">
        <v>2407055</v>
      </c>
      <c r="B210" t="str">
        <v>2-7</v>
      </c>
      <c r="C210" t="str">
        <v>ALI MD SAGOR</v>
      </c>
      <c r="D210" s="35" t="str">
        <v>ICT専門学校</v>
      </c>
      <c r="E210" s="35">
        <v>0</v>
      </c>
      <c r="F210" t="str">
        <v>入学取消</v>
      </c>
      <c r="G210" s="11">
        <v>45996</v>
      </c>
      <c r="H210" s="11">
        <v>0</v>
      </c>
      <c r="I210">
        <v>0</v>
      </c>
      <c r="J210">
        <v>0</v>
      </c>
      <c r="K210" t="str">
        <v>2407055</v>
      </c>
      <c r="L210" t="str">
        <v/>
      </c>
    </row>
    <row r="211" spans="1:12" hidden="1" x14ac:dyDescent="0.15">
      <c r="A211">
        <v>2407055</v>
      </c>
      <c r="B211" t="str">
        <v>2-7</v>
      </c>
      <c r="C211" t="str">
        <v>ALI MD SAGOR</v>
      </c>
      <c r="D211" s="35">
        <v>0</v>
      </c>
      <c r="E211" s="35">
        <v>0</v>
      </c>
      <c r="F211" t="str">
        <v>進学以外</v>
      </c>
      <c r="G211" s="11">
        <v>0</v>
      </c>
      <c r="H211" s="11">
        <v>0</v>
      </c>
      <c r="I211" t="str">
        <v>帰国？</v>
      </c>
      <c r="J211">
        <v>0</v>
      </c>
      <c r="K211" t="str">
        <v>2407055</v>
      </c>
      <c r="L211" t="str">
        <v/>
      </c>
    </row>
    <row r="212" spans="1:12" hidden="1" x14ac:dyDescent="0.15">
      <c r="A212">
        <v>2407056</v>
      </c>
      <c r="B212" t="str">
        <v>2-7</v>
      </c>
      <c r="C212" t="str">
        <v>MIYAJI JABED HOSEN SHISHIR</v>
      </c>
      <c r="D212" s="35" t="str">
        <v>東京工科自動車大学校中野校</v>
      </c>
      <c r="E212" s="35" t="str">
        <v>自動車整備</v>
      </c>
      <c r="F212" t="str">
        <v>合格</v>
      </c>
      <c r="G212" s="11">
        <v>0</v>
      </c>
      <c r="H212" s="11">
        <v>45876</v>
      </c>
      <c r="I212">
        <v>0</v>
      </c>
      <c r="J212" t="str">
        <v>○</v>
      </c>
      <c r="K212" t="str">
        <v>2407056○</v>
      </c>
      <c r="L212" t="str">
        <v>○</v>
      </c>
    </row>
    <row r="213" spans="1:12" hidden="1" x14ac:dyDescent="0.15">
      <c r="A213">
        <v>2407062</v>
      </c>
      <c r="B213" t="str">
        <v>2-7</v>
      </c>
      <c r="C213" t="str">
        <v>CHAUDHARY SIRANJAN PRASAD</v>
      </c>
      <c r="D213" s="35" t="str">
        <v>東京国際会計専門学校</v>
      </c>
      <c r="E213" s="35">
        <v>0</v>
      </c>
      <c r="F213" t="str">
        <v>不合格</v>
      </c>
      <c r="G213" s="11">
        <v>0</v>
      </c>
      <c r="H213" s="11">
        <v>0</v>
      </c>
      <c r="I213">
        <v>0</v>
      </c>
      <c r="J213">
        <v>0</v>
      </c>
      <c r="K213" t="str">
        <v>2407062</v>
      </c>
      <c r="L213" t="str">
        <v>○</v>
      </c>
    </row>
    <row r="214" spans="1:12" hidden="1" x14ac:dyDescent="0.15">
      <c r="A214">
        <v>2407062</v>
      </c>
      <c r="B214" t="str">
        <v>2-7</v>
      </c>
      <c r="C214" t="str">
        <v>CHAUDHARY SIRANJAN PRASAD</v>
      </c>
      <c r="D214" s="35" t="str">
        <v>愛甲学院専門学校</v>
      </c>
      <c r="E214" s="35">
        <v>0</v>
      </c>
      <c r="F214" t="str">
        <v>合格</v>
      </c>
      <c r="G214" s="11">
        <v>0</v>
      </c>
      <c r="H214" s="11">
        <v>0</v>
      </c>
      <c r="I214">
        <v>0</v>
      </c>
      <c r="J214" t="str">
        <v>○</v>
      </c>
      <c r="K214" t="str">
        <v>2407062○</v>
      </c>
      <c r="L214" t="str">
        <v>○</v>
      </c>
    </row>
    <row r="215" spans="1:12" hidden="1" x14ac:dyDescent="0.15">
      <c r="A215">
        <v>2407066</v>
      </c>
      <c r="B215" t="str">
        <v>2-7</v>
      </c>
      <c r="C215" t="str">
        <v>RAWAL RADHA</v>
      </c>
      <c r="D215" s="35" t="str">
        <v>日本ウェルネスAIIT保育専門学校</v>
      </c>
      <c r="E215" s="35">
        <v>0</v>
      </c>
      <c r="F215" t="str">
        <v>合格</v>
      </c>
      <c r="G215" s="11">
        <v>0</v>
      </c>
      <c r="H215" s="11">
        <v>0</v>
      </c>
      <c r="I215">
        <v>0</v>
      </c>
      <c r="J215" t="str">
        <v>○</v>
      </c>
      <c r="K215" t="str">
        <v>2407066○</v>
      </c>
      <c r="L215" t="str">
        <v>○</v>
      </c>
    </row>
    <row r="216" spans="1:12" ht="13.5" hidden="1" customHeight="1" x14ac:dyDescent="0.15">
      <c r="A216">
        <v>2410005</v>
      </c>
      <c r="B216" t="str">
        <v>2-7</v>
      </c>
      <c r="C216" t="str">
        <v>張 春輝</v>
      </c>
      <c r="D216" s="35" t="str">
        <v>トヨタ神戸自動車大学校</v>
      </c>
      <c r="E216" s="35">
        <v>0</v>
      </c>
      <c r="F216" t="str">
        <v>不合格</v>
      </c>
      <c r="G216" s="11">
        <v>0</v>
      </c>
      <c r="H216" s="11">
        <v>0</v>
      </c>
      <c r="I216">
        <v>0</v>
      </c>
      <c r="J216">
        <v>0</v>
      </c>
      <c r="K216" t="str">
        <v>2410005</v>
      </c>
      <c r="L216" t="str">
        <v>○</v>
      </c>
    </row>
    <row r="217" spans="1:12" hidden="1" x14ac:dyDescent="0.15">
      <c r="A217">
        <v>2410005</v>
      </c>
      <c r="B217" t="str">
        <v>2-7</v>
      </c>
      <c r="C217" t="str">
        <v>張 春輝</v>
      </c>
      <c r="D217" s="35" t="str">
        <v>日本経済大学</v>
      </c>
      <c r="E217" s="35">
        <v>0</v>
      </c>
      <c r="F217" t="str">
        <v>合格</v>
      </c>
      <c r="G217" s="11">
        <v>0</v>
      </c>
      <c r="H217" s="11">
        <v>45978</v>
      </c>
      <c r="I217">
        <v>0</v>
      </c>
      <c r="J217" t="str">
        <v>○</v>
      </c>
      <c r="K217" t="str">
        <v>2410005○</v>
      </c>
      <c r="L217" t="str">
        <v>○</v>
      </c>
    </row>
    <row r="218" spans="1:12" x14ac:dyDescent="0.15">
      <c r="A218">
        <v>2410006</v>
      </c>
      <c r="B218" t="str">
        <v>2-7</v>
      </c>
      <c r="C218" t="str">
        <v>徐 張帥</v>
      </c>
      <c r="D218" s="35" t="str">
        <v>流通科学大学</v>
      </c>
      <c r="E218" s="35">
        <v>0</v>
      </c>
      <c r="F218" t="str">
        <v>不合格</v>
      </c>
      <c r="G218" s="11">
        <v>46011</v>
      </c>
      <c r="H218" s="11">
        <v>46017</v>
      </c>
      <c r="I218">
        <v>0</v>
      </c>
      <c r="J218">
        <v>0</v>
      </c>
      <c r="K218" t="str">
        <v>2410006</v>
      </c>
      <c r="L218" t="str">
        <v>○</v>
      </c>
    </row>
    <row r="219" spans="1:12" hidden="1" x14ac:dyDescent="0.15">
      <c r="A219">
        <v>2410006</v>
      </c>
      <c r="B219" t="str">
        <v>2-7</v>
      </c>
      <c r="C219" t="str">
        <v>徐 張帥</v>
      </c>
      <c r="D219" s="35" t="str">
        <v>流通科学大学</v>
      </c>
      <c r="E219" s="35" t="str">
        <v>２回目</v>
      </c>
      <c r="F219" t="str">
        <v>合格</v>
      </c>
      <c r="G219" s="11">
        <v>46056</v>
      </c>
      <c r="H219" s="11">
        <v>46070</v>
      </c>
      <c r="I219">
        <v>0</v>
      </c>
      <c r="J219" t="str">
        <v>○</v>
      </c>
      <c r="K219" t="str">
        <v>2410006○</v>
      </c>
      <c r="L219" t="str">
        <v>○</v>
      </c>
    </row>
    <row r="220" spans="1:12" hidden="1" x14ac:dyDescent="0.15">
      <c r="A220">
        <v>2410006</v>
      </c>
      <c r="B220" t="str">
        <v>2-7</v>
      </c>
      <c r="C220" t="str">
        <v>徐 張帥</v>
      </c>
      <c r="D220" s="35" t="str">
        <v>兵庫大学</v>
      </c>
      <c r="E220" s="35">
        <v>0</v>
      </c>
      <c r="F220" t="str">
        <v>結果待ち</v>
      </c>
      <c r="G220" s="11">
        <v>46053</v>
      </c>
      <c r="H220" s="11">
        <v>46063</v>
      </c>
      <c r="I220">
        <v>0</v>
      </c>
      <c r="J220">
        <v>0</v>
      </c>
      <c r="K220" t="str">
        <v>2410006</v>
      </c>
      <c r="L220" t="str">
        <v>○</v>
      </c>
    </row>
    <row r="221" spans="1:12" hidden="1" x14ac:dyDescent="0.15">
      <c r="A221">
        <v>2404028</v>
      </c>
      <c r="B221" t="str">
        <v>2-8</v>
      </c>
      <c r="C221" t="str">
        <v>THET WAI KYAW</v>
      </c>
      <c r="D221" s="35">
        <v>0</v>
      </c>
      <c r="E221" s="35" t="str">
        <v>特定活動</v>
      </c>
      <c r="F221" t="str">
        <v>進学以外</v>
      </c>
      <c r="G221" s="11">
        <v>46039</v>
      </c>
      <c r="H221" s="11">
        <v>0</v>
      </c>
      <c r="I221" t="str">
        <v>特定活動</v>
      </c>
      <c r="J221">
        <v>0</v>
      </c>
      <c r="K221" t="str">
        <v>2404028</v>
      </c>
      <c r="L221" t="str">
        <v/>
      </c>
    </row>
    <row r="222" spans="1:12" hidden="1" x14ac:dyDescent="0.15">
      <c r="A222">
        <v>2404032</v>
      </c>
      <c r="B222" t="str">
        <v>2-8</v>
      </c>
      <c r="C222" t="str">
        <v>THU THU NYEIN</v>
      </c>
      <c r="D222" s="35" t="str">
        <v>関西国際大学</v>
      </c>
      <c r="E222" s="35" t="str">
        <v>経営</v>
      </c>
      <c r="F222" t="str">
        <v>合格</v>
      </c>
      <c r="G222" s="11">
        <v>46005</v>
      </c>
      <c r="H222" s="11">
        <v>46014</v>
      </c>
      <c r="I222">
        <v>0</v>
      </c>
      <c r="J222" t="str">
        <v>○</v>
      </c>
      <c r="K222" t="str">
        <v>2404032○</v>
      </c>
      <c r="L222" t="str">
        <v>○</v>
      </c>
    </row>
    <row r="223" spans="1:12" hidden="1" x14ac:dyDescent="0.15">
      <c r="A223">
        <v>2404039</v>
      </c>
      <c r="B223" t="str">
        <v>2-8</v>
      </c>
      <c r="C223" t="str">
        <v>THURA PHYO</v>
      </c>
      <c r="D223" s="35" t="str">
        <v>神戸国際大学</v>
      </c>
      <c r="E223" s="35" t="str">
        <v>指定校推薦</v>
      </c>
      <c r="F223" t="str">
        <v>合格</v>
      </c>
      <c r="G223" s="11">
        <v>46005</v>
      </c>
      <c r="H223" s="11">
        <v>46016</v>
      </c>
      <c r="I223">
        <v>0</v>
      </c>
      <c r="J223" t="str">
        <v>○</v>
      </c>
      <c r="K223" t="str">
        <v>2404039○</v>
      </c>
      <c r="L223" t="str">
        <v>○</v>
      </c>
    </row>
    <row r="224" spans="1:12" hidden="1" x14ac:dyDescent="0.15">
      <c r="A224">
        <v>2404052</v>
      </c>
      <c r="B224" t="str">
        <v>2-8</v>
      </c>
      <c r="C224" t="str">
        <v>SAW YU HNIN</v>
      </c>
      <c r="D224" s="35" t="str">
        <v>ECC外語専門学校</v>
      </c>
      <c r="E224" s="35" t="str">
        <v>ホテル学科</v>
      </c>
      <c r="F224" t="str">
        <v>不合格</v>
      </c>
      <c r="G224" s="11">
        <v>45969</v>
      </c>
      <c r="H224" s="11">
        <v>0</v>
      </c>
      <c r="I224">
        <v>0</v>
      </c>
      <c r="J224">
        <v>0</v>
      </c>
      <c r="K224" t="str">
        <v>2404052</v>
      </c>
      <c r="L224" t="str">
        <v>○</v>
      </c>
    </row>
    <row r="225" spans="1:12" hidden="1" x14ac:dyDescent="0.15">
      <c r="A225">
        <v>2404052</v>
      </c>
      <c r="B225" t="str">
        <v>2-8</v>
      </c>
      <c r="C225" t="str">
        <v>SAW YU HNIN</v>
      </c>
      <c r="D225" s="35" t="str">
        <v>流通科学大学</v>
      </c>
      <c r="E225" s="35" t="str">
        <v>経済</v>
      </c>
      <c r="F225" t="str">
        <v>合格</v>
      </c>
      <c r="G225" s="11">
        <v>46011</v>
      </c>
      <c r="H225" s="11">
        <v>46017</v>
      </c>
      <c r="I225">
        <v>0</v>
      </c>
      <c r="J225" t="str">
        <v>○</v>
      </c>
      <c r="K225" t="str">
        <v>2404052○</v>
      </c>
      <c r="L225" t="str">
        <v>○</v>
      </c>
    </row>
    <row r="226" spans="1:12" hidden="1" x14ac:dyDescent="0.15">
      <c r="A226">
        <v>2404053</v>
      </c>
      <c r="B226" t="str">
        <v>2-8</v>
      </c>
      <c r="C226" t="str">
        <v>HAN HAN HTWE</v>
      </c>
      <c r="D226" s="35" t="str">
        <v>修成建設専門学校</v>
      </c>
      <c r="E226" s="35" t="str">
        <v>建築</v>
      </c>
      <c r="F226" t="str">
        <v>不合格</v>
      </c>
      <c r="G226" s="11">
        <v>45955</v>
      </c>
      <c r="H226" s="11">
        <v>0</v>
      </c>
      <c r="I226">
        <v>0</v>
      </c>
      <c r="J226">
        <v>0</v>
      </c>
      <c r="K226" t="str">
        <v>2404053</v>
      </c>
      <c r="L226" t="str">
        <v>○</v>
      </c>
    </row>
    <row r="227" spans="1:12" hidden="1" x14ac:dyDescent="0.15">
      <c r="A227">
        <v>2404053</v>
      </c>
      <c r="B227" t="str">
        <v>2-8</v>
      </c>
      <c r="C227" t="str">
        <v>HAN HAN HTWE</v>
      </c>
      <c r="D227" s="35" t="str">
        <v>神戸電子専門学校</v>
      </c>
      <c r="E227" s="35" t="str">
        <v>建築</v>
      </c>
      <c r="F227" t="str">
        <v>合格</v>
      </c>
      <c r="G227" s="11">
        <v>45986</v>
      </c>
      <c r="H227" s="11">
        <v>0</v>
      </c>
      <c r="I227">
        <v>0</v>
      </c>
      <c r="J227" t="str">
        <v>○</v>
      </c>
      <c r="K227" t="str">
        <v>2404053○</v>
      </c>
      <c r="L227" t="str">
        <v>○</v>
      </c>
    </row>
    <row r="228" spans="1:12" hidden="1" x14ac:dyDescent="0.15">
      <c r="A228">
        <v>2404083</v>
      </c>
      <c r="B228" t="str">
        <v>2-8</v>
      </c>
      <c r="C228" t="str">
        <v>RAGIB SHAHRIAR TUSAR</v>
      </c>
      <c r="D228" s="35" t="str">
        <v>流通科学大学</v>
      </c>
      <c r="E228" s="35" t="str">
        <v>経営</v>
      </c>
      <c r="F228" t="str">
        <v>合格</v>
      </c>
      <c r="G228" s="11">
        <v>45948</v>
      </c>
      <c r="H228" s="11">
        <v>45965</v>
      </c>
      <c r="I228">
        <v>0</v>
      </c>
      <c r="J228" t="str">
        <v>○</v>
      </c>
      <c r="K228" t="str">
        <v>2404083○</v>
      </c>
      <c r="L228" t="str">
        <v>○</v>
      </c>
    </row>
    <row r="229" spans="1:12" hidden="1" x14ac:dyDescent="0.15">
      <c r="A229">
        <v>2404098</v>
      </c>
      <c r="B229" t="str">
        <v>2-8</v>
      </c>
      <c r="C229" t="str">
        <v>LIMON MD SAKIBUL HAQ</v>
      </c>
      <c r="D229" s="35" t="str">
        <v>神戸電子専門学校</v>
      </c>
      <c r="E229" s="35" t="str">
        <v>情報処理</v>
      </c>
      <c r="F229" t="str">
        <v>合格</v>
      </c>
      <c r="G229" s="11">
        <v>0</v>
      </c>
      <c r="H229" s="11">
        <v>45966</v>
      </c>
      <c r="I229">
        <v>0</v>
      </c>
      <c r="J229" t="str">
        <v>○</v>
      </c>
      <c r="K229" t="str">
        <v>2404098○</v>
      </c>
      <c r="L229" t="str">
        <v>○</v>
      </c>
    </row>
    <row r="230" spans="1:12" hidden="1" x14ac:dyDescent="0.15">
      <c r="A230">
        <v>2404100</v>
      </c>
      <c r="B230" t="str">
        <v>2-8</v>
      </c>
      <c r="C230" t="str">
        <v>HOSSAIN MD RAHIM</v>
      </c>
      <c r="D230" s="35" t="str">
        <v>関西国際旅行・ホテル専門学校</v>
      </c>
      <c r="E230" s="35" t="str">
        <v>進学</v>
      </c>
      <c r="F230" t="str">
        <v>合格</v>
      </c>
      <c r="G230" s="11">
        <v>0</v>
      </c>
      <c r="H230" s="11">
        <v>45938</v>
      </c>
      <c r="I230">
        <v>0</v>
      </c>
      <c r="J230" t="str">
        <v>○</v>
      </c>
      <c r="K230" t="str">
        <v>2404100○</v>
      </c>
      <c r="L230" t="str">
        <v>○</v>
      </c>
    </row>
    <row r="231" spans="1:12" hidden="1" x14ac:dyDescent="0.15">
      <c r="A231">
        <v>2404103</v>
      </c>
      <c r="B231" t="str">
        <v>2-8</v>
      </c>
      <c r="C231" t="str">
        <v>AKHAND MD RAJBIR</v>
      </c>
      <c r="D231" s="35" t="str">
        <v>流通科学大学</v>
      </c>
      <c r="E231" s="35" t="str">
        <v>指定校推薦</v>
      </c>
      <c r="F231" t="str">
        <v>合格</v>
      </c>
      <c r="G231" s="11">
        <v>45948</v>
      </c>
      <c r="H231" s="11">
        <v>45965</v>
      </c>
      <c r="I231">
        <v>0</v>
      </c>
      <c r="J231" t="str">
        <v>○</v>
      </c>
      <c r="K231" t="str">
        <v>2404103○</v>
      </c>
      <c r="L231" t="str">
        <v>○</v>
      </c>
    </row>
    <row r="232" spans="1:12" hidden="1" x14ac:dyDescent="0.15">
      <c r="A232">
        <v>2404136</v>
      </c>
      <c r="B232" t="str">
        <v>2-8</v>
      </c>
      <c r="C232" t="str">
        <v>PYAKUREL ANKIT</v>
      </c>
      <c r="D232" s="35" t="str">
        <v>関西国際旅行・ホテル専門学校</v>
      </c>
      <c r="E232" s="35" t="str">
        <v>観光ビジネス</v>
      </c>
      <c r="F232" t="str">
        <v>合格</v>
      </c>
      <c r="G232" s="11">
        <v>0</v>
      </c>
      <c r="H232" s="11">
        <v>45881</v>
      </c>
      <c r="I232">
        <v>0</v>
      </c>
      <c r="J232" t="str">
        <v>○</v>
      </c>
      <c r="K232" t="str">
        <v>2404136○</v>
      </c>
      <c r="L232" t="str">
        <v>○</v>
      </c>
    </row>
    <row r="233" spans="1:12" hidden="1" x14ac:dyDescent="0.15">
      <c r="A233">
        <v>2404141</v>
      </c>
      <c r="B233" t="str">
        <v>2-8</v>
      </c>
      <c r="C233" t="str">
        <v>BISHAL TAMANG</v>
      </c>
      <c r="D233" s="35" t="str">
        <v>神戸電子専門学校</v>
      </c>
      <c r="E233" s="35" t="str">
        <v>情報処理</v>
      </c>
      <c r="F233" t="str">
        <v>合格</v>
      </c>
      <c r="G233" s="11">
        <v>45972</v>
      </c>
      <c r="H233" s="11">
        <v>45981</v>
      </c>
      <c r="I233">
        <v>0</v>
      </c>
      <c r="J233" t="str">
        <v>○</v>
      </c>
      <c r="K233" t="str">
        <v>2404141○</v>
      </c>
      <c r="L233" t="str">
        <v>○</v>
      </c>
    </row>
    <row r="234" spans="1:12" hidden="1" x14ac:dyDescent="0.15">
      <c r="A234">
        <v>2404143</v>
      </c>
      <c r="B234" t="str">
        <v>2-8</v>
      </c>
      <c r="C234" t="str">
        <v>GHARTI MAGAR ESTHER</v>
      </c>
      <c r="D234" s="35" t="str">
        <v>流通科学大学</v>
      </c>
      <c r="E234" s="35" t="str">
        <v>指定校推薦　観光ビジネス</v>
      </c>
      <c r="F234" t="str">
        <v>合格</v>
      </c>
      <c r="G234" s="11">
        <v>45948</v>
      </c>
      <c r="H234" s="11">
        <v>45965</v>
      </c>
      <c r="I234">
        <v>0</v>
      </c>
      <c r="J234" t="str">
        <v>○</v>
      </c>
      <c r="K234" t="str">
        <v>2404143○</v>
      </c>
      <c r="L234" t="str">
        <v>○</v>
      </c>
    </row>
    <row r="235" spans="1:12" hidden="1" x14ac:dyDescent="0.15">
      <c r="A235">
        <v>2404162</v>
      </c>
      <c r="B235" t="str">
        <v>2-8</v>
      </c>
      <c r="C235" t="str">
        <v>DHENGA DEB BAHADUR</v>
      </c>
      <c r="D235" s="35" t="str">
        <v>日本工科大学校</v>
      </c>
      <c r="E235" s="35" t="str">
        <v>国際自動車学科</v>
      </c>
      <c r="F235" t="str">
        <v>合格</v>
      </c>
      <c r="G235" s="11">
        <v>0</v>
      </c>
      <c r="H235" s="11">
        <v>45834</v>
      </c>
      <c r="I235">
        <v>0</v>
      </c>
      <c r="J235" t="str">
        <v>○</v>
      </c>
      <c r="K235" t="str">
        <v>2404162○</v>
      </c>
      <c r="L235" t="str">
        <v>○</v>
      </c>
    </row>
    <row r="236" spans="1:12" hidden="1" x14ac:dyDescent="0.15">
      <c r="A236">
        <v>2404173</v>
      </c>
      <c r="B236" t="str">
        <v>2-8</v>
      </c>
      <c r="C236" t="str">
        <v>DIPESH TAMANG</v>
      </c>
      <c r="D236" s="35" t="str">
        <v>愛甲学院専門学校</v>
      </c>
      <c r="E236" s="35">
        <v>0</v>
      </c>
      <c r="F236" t="str">
        <v>合格</v>
      </c>
      <c r="G236" s="11">
        <v>0</v>
      </c>
      <c r="H236" s="11">
        <v>0</v>
      </c>
      <c r="I236">
        <v>0</v>
      </c>
      <c r="J236" t="str">
        <v>○</v>
      </c>
      <c r="K236" t="str">
        <v>2404173○</v>
      </c>
      <c r="L236" t="str">
        <v>○</v>
      </c>
    </row>
    <row r="237" spans="1:12" hidden="1" x14ac:dyDescent="0.15">
      <c r="A237">
        <v>2404174</v>
      </c>
      <c r="B237" t="str">
        <v>2-8</v>
      </c>
      <c r="C237" t="str">
        <v>SANJOG SHAH</v>
      </c>
      <c r="D237" s="35" t="str">
        <v>関西国際大学</v>
      </c>
      <c r="E237" s="35" t="str">
        <v>情報学科</v>
      </c>
      <c r="F237" t="str">
        <v>合格</v>
      </c>
      <c r="G237" s="11">
        <v>45963</v>
      </c>
      <c r="H237" s="11">
        <v>45972</v>
      </c>
      <c r="I237">
        <v>0</v>
      </c>
      <c r="J237" t="str">
        <v>○</v>
      </c>
      <c r="K237" t="str">
        <v>2404174○</v>
      </c>
      <c r="L237" t="str">
        <v>○</v>
      </c>
    </row>
    <row r="238" spans="1:12" hidden="1" x14ac:dyDescent="0.15">
      <c r="A238">
        <v>2404180</v>
      </c>
      <c r="B238" t="str">
        <v>2-8</v>
      </c>
      <c r="C238" t="str">
        <v>SITA PUDASAINI</v>
      </c>
      <c r="D238" s="35" t="str">
        <v>関西国際旅行・ホテル専門学校</v>
      </c>
      <c r="E238" s="35">
        <v>0</v>
      </c>
      <c r="F238" t="str">
        <v>辞退</v>
      </c>
      <c r="G238" s="11">
        <v>0</v>
      </c>
      <c r="H238" s="11">
        <v>45881</v>
      </c>
      <c r="I238">
        <v>0</v>
      </c>
      <c r="J238">
        <v>0</v>
      </c>
      <c r="K238" t="str">
        <v>2404180</v>
      </c>
      <c r="L238" t="str">
        <v>○</v>
      </c>
    </row>
    <row r="239" spans="1:12" hidden="1" x14ac:dyDescent="0.15">
      <c r="A239">
        <v>2404180</v>
      </c>
      <c r="B239" t="str">
        <v>2-8</v>
      </c>
      <c r="C239" t="str">
        <v>SITA PUDASAINI</v>
      </c>
      <c r="D239" s="35" t="str">
        <v>福岡外語専門学校</v>
      </c>
      <c r="E239" s="35" t="str">
        <v>ホテル学科</v>
      </c>
      <c r="F239" t="str">
        <v>合格</v>
      </c>
      <c r="G239" s="11">
        <v>45947</v>
      </c>
      <c r="H239" s="11">
        <v>0</v>
      </c>
      <c r="I239">
        <v>0</v>
      </c>
      <c r="J239" t="str">
        <v>○</v>
      </c>
      <c r="K239" t="str">
        <v>2404180○</v>
      </c>
      <c r="L239" t="str">
        <v>○</v>
      </c>
    </row>
    <row r="240" spans="1:12" hidden="1" x14ac:dyDescent="0.15">
      <c r="A240">
        <v>2407012</v>
      </c>
      <c r="B240" t="str">
        <v>2-8</v>
      </c>
      <c r="C240" t="str">
        <v>KYAL SIN NYEIN</v>
      </c>
      <c r="D240" s="35" t="str">
        <v>修成建設専門学校</v>
      </c>
      <c r="E240" s="35" t="str">
        <v>建築学科</v>
      </c>
      <c r="F240" t="str">
        <v>不合格</v>
      </c>
      <c r="G240" s="11">
        <v>45955</v>
      </c>
      <c r="H240" s="11">
        <v>45959</v>
      </c>
      <c r="I240">
        <v>0</v>
      </c>
      <c r="J240">
        <v>0</v>
      </c>
      <c r="K240" t="str">
        <v>2407012</v>
      </c>
      <c r="L240" t="str">
        <v>○</v>
      </c>
    </row>
    <row r="241" spans="1:12" hidden="1" x14ac:dyDescent="0.15">
      <c r="A241">
        <v>2407012</v>
      </c>
      <c r="B241" t="str">
        <v>2-8</v>
      </c>
      <c r="C241" t="str">
        <v>KYAL SIN NYEIN</v>
      </c>
      <c r="D241" s="35" t="str">
        <v>関西国際旅行・ホテル専門学校</v>
      </c>
      <c r="E241" s="35" t="str">
        <v>進学</v>
      </c>
      <c r="F241" t="str">
        <v>合格</v>
      </c>
      <c r="G241" s="11">
        <v>45969</v>
      </c>
      <c r="H241" s="11">
        <v>45978</v>
      </c>
      <c r="I241">
        <v>0</v>
      </c>
      <c r="J241" t="str">
        <v>○</v>
      </c>
      <c r="K241" t="str">
        <v>2407012○</v>
      </c>
      <c r="L241" t="str">
        <v>○</v>
      </c>
    </row>
    <row r="242" spans="1:12" hidden="1" x14ac:dyDescent="0.15">
      <c r="A242">
        <v>2407027</v>
      </c>
      <c r="B242" t="str">
        <v>2-8</v>
      </c>
      <c r="C242" t="str">
        <v>MI MI ZIN</v>
      </c>
      <c r="D242" s="35" t="str">
        <v>修成建設専門学校</v>
      </c>
      <c r="E242" s="35" t="str">
        <v>建築</v>
      </c>
      <c r="F242" t="str">
        <v>合格</v>
      </c>
      <c r="G242" s="11">
        <v>45955</v>
      </c>
      <c r="H242" s="11">
        <v>45959</v>
      </c>
      <c r="I242">
        <v>0</v>
      </c>
      <c r="J242" t="str">
        <v>○</v>
      </c>
      <c r="K242" t="str">
        <v>2407027○</v>
      </c>
      <c r="L242" t="str">
        <v>○</v>
      </c>
    </row>
    <row r="243" spans="1:12" hidden="1" x14ac:dyDescent="0.15">
      <c r="A243">
        <v>2407061</v>
      </c>
      <c r="B243" t="str">
        <v>2-8</v>
      </c>
      <c r="C243" t="str">
        <v>HASAN MEHEDI</v>
      </c>
      <c r="D243" s="35" t="str">
        <v>大和大学</v>
      </c>
      <c r="E243" s="35" t="str">
        <v>理工学部ロボット機械システム工学</v>
      </c>
      <c r="F243" t="str">
        <v>合格</v>
      </c>
      <c r="G243" s="11">
        <v>46011</v>
      </c>
      <c r="H243" s="11">
        <v>0</v>
      </c>
      <c r="I243">
        <v>0</v>
      </c>
      <c r="J243" t="str">
        <v>○</v>
      </c>
      <c r="K243" t="str">
        <v>2407061○</v>
      </c>
      <c r="L243" t="str">
        <v>○</v>
      </c>
    </row>
    <row r="244" spans="1:12" hidden="1" x14ac:dyDescent="0.15">
      <c r="A244">
        <v>2404007</v>
      </c>
      <c r="B244" t="str">
        <v>2-9</v>
      </c>
      <c r="C244" t="str">
        <v>于 国坤</v>
      </c>
      <c r="D244" s="35" t="str">
        <v>神戸親和大学</v>
      </c>
      <c r="E244" s="35" t="str">
        <v>心理学科、協定校推薦</v>
      </c>
      <c r="F244" t="str">
        <v>合格</v>
      </c>
      <c r="G244" s="11">
        <v>45997</v>
      </c>
      <c r="H244" s="11">
        <v>46003</v>
      </c>
      <c r="I244">
        <v>0</v>
      </c>
      <c r="J244" t="str">
        <v>○</v>
      </c>
      <c r="K244" t="str">
        <v>2404007○</v>
      </c>
      <c r="L244" t="str">
        <v>○</v>
      </c>
    </row>
    <row r="245" spans="1:12" hidden="1" x14ac:dyDescent="0.15">
      <c r="A245">
        <v>2404033</v>
      </c>
      <c r="B245" t="str">
        <v>2-9</v>
      </c>
      <c r="C245" t="str">
        <v>AUNG SATT PAING</v>
      </c>
      <c r="D245" s="35" t="str">
        <v>関西国際旅行・ホテル専門学校</v>
      </c>
      <c r="E245" s="35" t="str">
        <v>キャリア日本語コース、一般</v>
      </c>
      <c r="F245" t="str">
        <v>合格</v>
      </c>
      <c r="G245" s="11">
        <v>45990</v>
      </c>
      <c r="H245" s="11">
        <v>45994</v>
      </c>
      <c r="I245">
        <v>0</v>
      </c>
      <c r="J245" t="str">
        <v>○</v>
      </c>
      <c r="K245" t="str">
        <v>2404033○</v>
      </c>
      <c r="L245" t="str">
        <v>○</v>
      </c>
    </row>
    <row r="246" spans="1:12" hidden="1" x14ac:dyDescent="0.15">
      <c r="A246">
        <v>2404034</v>
      </c>
      <c r="B246" t="str">
        <v>2-9</v>
      </c>
      <c r="C246" t="str">
        <v>SOE LIN TUN</v>
      </c>
      <c r="D246" s="35" t="str">
        <v>関西国際旅行・ホテル専門学校</v>
      </c>
      <c r="E246" s="35" t="str">
        <v>キャリア日本語コース、一般</v>
      </c>
      <c r="F246" t="str">
        <v>不合格</v>
      </c>
      <c r="G246" s="11">
        <v>45934</v>
      </c>
      <c r="H246" s="11">
        <v>45938</v>
      </c>
      <c r="I246">
        <v>0</v>
      </c>
      <c r="J246">
        <v>0</v>
      </c>
      <c r="K246" t="str">
        <v>2404034</v>
      </c>
      <c r="L246" t="str">
        <v>○</v>
      </c>
    </row>
    <row r="247" spans="1:12" hidden="1" x14ac:dyDescent="0.15">
      <c r="A247">
        <v>2404034</v>
      </c>
      <c r="B247" t="str">
        <v>2-9</v>
      </c>
      <c r="C247" t="str">
        <v>SOE LIN TUN</v>
      </c>
      <c r="D247" s="35" t="str">
        <v>関西国際旅行・ホテル専門学校</v>
      </c>
      <c r="E247" s="35" t="str">
        <v>キャリア日本語コース、一般</v>
      </c>
      <c r="F247" t="str">
        <v>不合格</v>
      </c>
      <c r="G247" s="11">
        <v>45970</v>
      </c>
      <c r="H247" s="11">
        <v>45973</v>
      </c>
      <c r="I247">
        <v>0</v>
      </c>
      <c r="J247">
        <v>0</v>
      </c>
      <c r="K247" t="str">
        <v>2404034</v>
      </c>
      <c r="L247" t="str">
        <v>○</v>
      </c>
    </row>
    <row r="248" spans="1:12" hidden="1" x14ac:dyDescent="0.15">
      <c r="A248">
        <v>2404034</v>
      </c>
      <c r="B248" t="str">
        <v>2-9</v>
      </c>
      <c r="C248" t="str">
        <v>SOE LIN TUN</v>
      </c>
      <c r="D248" s="35" t="str">
        <v>大阪バイオメディカル専門学校</v>
      </c>
      <c r="E248" s="35" t="str">
        <v>日本文化教養学科、指定校推薦</v>
      </c>
      <c r="F248" t="str">
        <v>辞退</v>
      </c>
      <c r="G248" s="11">
        <v>0</v>
      </c>
      <c r="H248" s="11">
        <v>0</v>
      </c>
      <c r="I248">
        <v>0</v>
      </c>
      <c r="J248">
        <v>0</v>
      </c>
      <c r="K248" t="str">
        <v>2404034</v>
      </c>
      <c r="L248" t="str">
        <v>○</v>
      </c>
    </row>
    <row r="249" spans="1:12" hidden="1" x14ac:dyDescent="0.15">
      <c r="A249">
        <v>2404034</v>
      </c>
      <c r="B249" t="str">
        <v>2-9</v>
      </c>
      <c r="C249" t="str">
        <v>SOE LIN TUN</v>
      </c>
      <c r="D249" s="35" t="str">
        <v>専門学校広島国際ビジネスカレッジ</v>
      </c>
      <c r="E249" s="35" t="str">
        <v>国際文化コミュニケーション学科、学校推薦</v>
      </c>
      <c r="F249" t="str">
        <v>合格</v>
      </c>
      <c r="G249" s="11">
        <v>46050</v>
      </c>
      <c r="H249" s="11">
        <v>46057</v>
      </c>
      <c r="I249">
        <v>0</v>
      </c>
      <c r="J249" t="str">
        <v>○</v>
      </c>
      <c r="K249" t="str">
        <v>2404034○</v>
      </c>
      <c r="L249" t="str">
        <v>○</v>
      </c>
    </row>
    <row r="250" spans="1:12" hidden="1" x14ac:dyDescent="0.15">
      <c r="A250">
        <v>2404037</v>
      </c>
      <c r="B250" t="str">
        <v>2-9</v>
      </c>
      <c r="C250" t="str">
        <v>MAUNG PHYU</v>
      </c>
      <c r="D250" s="35" t="str">
        <v>関西国際旅行・ホテル専門学校</v>
      </c>
      <c r="E250" s="35" t="str">
        <v>ホテル学科、AO試験</v>
      </c>
      <c r="F250" t="str">
        <v>不合格</v>
      </c>
      <c r="G250" s="11">
        <v>45910</v>
      </c>
      <c r="H250" s="11">
        <v>45926</v>
      </c>
      <c r="I250">
        <v>0</v>
      </c>
      <c r="J250">
        <v>0</v>
      </c>
      <c r="K250" t="str">
        <v>2404037</v>
      </c>
      <c r="L250" t="str">
        <v>○</v>
      </c>
    </row>
    <row r="251" spans="1:12" hidden="1" x14ac:dyDescent="0.15">
      <c r="A251">
        <v>2404037</v>
      </c>
      <c r="B251" t="str">
        <v>2-9</v>
      </c>
      <c r="C251" t="str">
        <v>MAUNG PHYU</v>
      </c>
      <c r="D251" s="35" t="str">
        <v>関西国際旅行・ホテル専門学校</v>
      </c>
      <c r="E251" s="35" t="str">
        <v>ホテル学科、一般</v>
      </c>
      <c r="F251" t="str">
        <v>不合格</v>
      </c>
      <c r="G251" s="11">
        <v>45970</v>
      </c>
      <c r="H251" s="11">
        <v>45973</v>
      </c>
      <c r="I251">
        <v>0</v>
      </c>
      <c r="J251">
        <v>0</v>
      </c>
      <c r="K251" t="str">
        <v>2404037</v>
      </c>
      <c r="L251" t="str">
        <v>○</v>
      </c>
    </row>
    <row r="252" spans="1:12" hidden="1" x14ac:dyDescent="0.15">
      <c r="A252">
        <v>2404037</v>
      </c>
      <c r="B252" t="str">
        <v>2-9</v>
      </c>
      <c r="C252" t="str">
        <v>MAUNG PHYU</v>
      </c>
      <c r="D252" s="35" t="str">
        <v>大阪バイオメディカル専門学校</v>
      </c>
      <c r="E252" s="35" t="str">
        <v>日本文化教養学科、指定校推薦</v>
      </c>
      <c r="F252" t="str">
        <v>辞退</v>
      </c>
      <c r="G252" s="11">
        <v>0</v>
      </c>
      <c r="H252" s="11">
        <v>0</v>
      </c>
      <c r="I252">
        <v>0</v>
      </c>
      <c r="J252">
        <v>0</v>
      </c>
      <c r="K252" t="str">
        <v>2404037</v>
      </c>
      <c r="L252" t="str">
        <v>○</v>
      </c>
    </row>
    <row r="253" spans="1:12" hidden="1" x14ac:dyDescent="0.15">
      <c r="A253">
        <v>2404037</v>
      </c>
      <c r="B253" t="str">
        <v>2-9</v>
      </c>
      <c r="C253" t="str">
        <v>MAUNG PHYU</v>
      </c>
      <c r="D253" s="35" t="str">
        <v>専門学校広島国際ビジネスカレッジ</v>
      </c>
      <c r="E253" s="35" t="str">
        <v>国際文化コミュニケーション学科、学校推薦</v>
      </c>
      <c r="F253" t="str">
        <v>合格</v>
      </c>
      <c r="G253" s="11">
        <v>46050</v>
      </c>
      <c r="H253" s="11">
        <v>46057</v>
      </c>
      <c r="I253">
        <v>0</v>
      </c>
      <c r="J253" t="str">
        <v>○</v>
      </c>
      <c r="K253" t="str">
        <v>2404037○</v>
      </c>
      <c r="L253" t="str">
        <v>○</v>
      </c>
    </row>
    <row r="254" spans="1:12" hidden="1" x14ac:dyDescent="0.15">
      <c r="A254">
        <v>2404082</v>
      </c>
      <c r="B254" t="str">
        <v>2-9</v>
      </c>
      <c r="C254" t="str">
        <v>SHAHIN AHOMMED</v>
      </c>
      <c r="D254" s="35" t="str">
        <v>関西国際旅行・ホテル専門学校</v>
      </c>
      <c r="E254" s="35" t="str">
        <v>ホテル学科、AO試験</v>
      </c>
      <c r="F254" t="str">
        <v>合格</v>
      </c>
      <c r="G254" s="11">
        <v>45849</v>
      </c>
      <c r="H254" s="11">
        <v>45917</v>
      </c>
      <c r="I254">
        <v>0</v>
      </c>
      <c r="J254" t="str">
        <v>○</v>
      </c>
      <c r="K254" t="str">
        <v>2404082○</v>
      </c>
      <c r="L254" t="str">
        <v>○</v>
      </c>
    </row>
    <row r="255" spans="1:12" hidden="1" x14ac:dyDescent="0.15">
      <c r="A255">
        <v>2404095</v>
      </c>
      <c r="B255" t="str">
        <v>2-9</v>
      </c>
      <c r="C255" t="str">
        <v>TANZIM AHMED AKASH</v>
      </c>
      <c r="D255" s="35" t="str">
        <v>関西国際旅行・ホテル専門学校</v>
      </c>
      <c r="E255" s="35" t="str">
        <v>キャリア日本語コース、一般</v>
      </c>
      <c r="F255" t="str">
        <v>不合格</v>
      </c>
      <c r="G255" s="11">
        <v>45934</v>
      </c>
      <c r="H255" s="11">
        <v>45938</v>
      </c>
      <c r="I255">
        <v>0</v>
      </c>
      <c r="J255">
        <v>0</v>
      </c>
      <c r="K255" t="str">
        <v>2404095</v>
      </c>
      <c r="L255" t="str">
        <v>○</v>
      </c>
    </row>
    <row r="256" spans="1:12" hidden="1" x14ac:dyDescent="0.15">
      <c r="A256">
        <v>2404095</v>
      </c>
      <c r="B256" t="str">
        <v>2-9</v>
      </c>
      <c r="C256" t="str">
        <v>TANZIM AHMED AKASH</v>
      </c>
      <c r="D256" s="35" t="str">
        <v>国際アニメーション専門学校</v>
      </c>
      <c r="E256" s="35" t="str">
        <v>AI総合科、一般</v>
      </c>
      <c r="F256" t="str">
        <v>合格</v>
      </c>
      <c r="G256" s="11">
        <v>46015</v>
      </c>
      <c r="H256" s="11">
        <v>46017</v>
      </c>
      <c r="I256">
        <v>0</v>
      </c>
      <c r="J256" t="str">
        <v>○</v>
      </c>
      <c r="K256" t="str">
        <v>2404095○</v>
      </c>
      <c r="L256" t="str">
        <v>○</v>
      </c>
    </row>
    <row r="257" spans="1:12" hidden="1" x14ac:dyDescent="0.15">
      <c r="A257">
        <v>2404109</v>
      </c>
      <c r="B257" t="str">
        <v>2-9</v>
      </c>
      <c r="C257" t="str">
        <v>MAHIBUR RAHMAN SANNY</v>
      </c>
      <c r="D257" s="35" t="str">
        <v>大阪総合福祉専門学校</v>
      </c>
      <c r="E257" s="35">
        <v>0</v>
      </c>
      <c r="F257" t="str">
        <v>合格</v>
      </c>
      <c r="G257" s="11">
        <v>45876</v>
      </c>
      <c r="H257" s="11">
        <v>45910</v>
      </c>
      <c r="I257">
        <v>0</v>
      </c>
      <c r="J257" t="str">
        <v>○</v>
      </c>
      <c r="K257" t="str">
        <v>2404109○</v>
      </c>
      <c r="L257" t="str">
        <v>○</v>
      </c>
    </row>
    <row r="258" spans="1:12" hidden="1" x14ac:dyDescent="0.15">
      <c r="A258">
        <v>2404115</v>
      </c>
      <c r="B258" t="str">
        <v>2-9</v>
      </c>
      <c r="C258" t="str">
        <v>MD. IFTEKHAR</v>
      </c>
      <c r="D258" s="35" t="str">
        <v>関西国際旅行・ホテル専門学校</v>
      </c>
      <c r="E258" s="35" t="str">
        <v>キャリア日本語コース、一般</v>
      </c>
      <c r="F258" t="str">
        <v>不合格</v>
      </c>
      <c r="G258" s="11">
        <v>45934</v>
      </c>
      <c r="H258" s="11">
        <v>45938</v>
      </c>
      <c r="I258">
        <v>0</v>
      </c>
      <c r="J258">
        <v>0</v>
      </c>
      <c r="K258" t="str">
        <v>2404115</v>
      </c>
      <c r="L258" t="str">
        <v>○</v>
      </c>
    </row>
    <row r="259" spans="1:12" hidden="1" x14ac:dyDescent="0.15">
      <c r="A259">
        <v>2404115</v>
      </c>
      <c r="B259" t="str">
        <v>2-9</v>
      </c>
      <c r="C259" t="str">
        <v>MD. IFTEKHAR</v>
      </c>
      <c r="D259" s="35" t="str">
        <v>東京国際ビジネスカレッジ神戸校</v>
      </c>
      <c r="E259" s="35" t="str">
        <v>キャリアデザインコース、一般</v>
      </c>
      <c r="F259" t="str">
        <v>不合格</v>
      </c>
      <c r="G259" s="11">
        <v>45955</v>
      </c>
      <c r="H259" s="11">
        <v>45959</v>
      </c>
      <c r="I259">
        <v>0</v>
      </c>
      <c r="J259">
        <v>0</v>
      </c>
      <c r="K259" t="str">
        <v>2404115</v>
      </c>
      <c r="L259" t="str">
        <v>○</v>
      </c>
    </row>
    <row r="260" spans="1:12" hidden="1" x14ac:dyDescent="0.15">
      <c r="A260">
        <v>2404115</v>
      </c>
      <c r="B260" t="str">
        <v>2-9</v>
      </c>
      <c r="C260" t="str">
        <v>MD. IFTEKHAR</v>
      </c>
      <c r="D260" s="35" t="str">
        <v>関西国際旅行・ホテル専門学校</v>
      </c>
      <c r="E260" s="35" t="str">
        <v>キャリア日本語コース、一般</v>
      </c>
      <c r="F260" t="str">
        <v>不合格</v>
      </c>
      <c r="G260" s="11">
        <v>45970</v>
      </c>
      <c r="H260" s="11">
        <v>45973</v>
      </c>
      <c r="I260">
        <v>0</v>
      </c>
      <c r="J260">
        <v>0</v>
      </c>
      <c r="K260" t="str">
        <v>2404115</v>
      </c>
      <c r="L260" t="str">
        <v>○</v>
      </c>
    </row>
    <row r="261" spans="1:12" hidden="1" x14ac:dyDescent="0.15">
      <c r="A261">
        <v>2404115</v>
      </c>
      <c r="B261" t="str">
        <v>2-9</v>
      </c>
      <c r="C261" t="str">
        <v>MD. IFTEKHAR</v>
      </c>
      <c r="D261" s="35" t="str">
        <v>日本コンピュータ専門学校</v>
      </c>
      <c r="E261" s="35" t="str">
        <v>一般</v>
      </c>
      <c r="F261" t="str">
        <v>不合格</v>
      </c>
      <c r="G261" s="11">
        <v>45997</v>
      </c>
      <c r="H261" s="11">
        <v>46002</v>
      </c>
      <c r="I261">
        <v>0</v>
      </c>
      <c r="J261">
        <v>0</v>
      </c>
      <c r="K261" t="str">
        <v>2404115</v>
      </c>
      <c r="L261" t="str">
        <v>○</v>
      </c>
    </row>
    <row r="262" spans="1:12" hidden="1" x14ac:dyDescent="0.15">
      <c r="A262">
        <v>2404115</v>
      </c>
      <c r="B262" t="str">
        <v>2-9</v>
      </c>
      <c r="C262" t="str">
        <v>MD. IFTEKHAR</v>
      </c>
      <c r="D262" s="35" t="str">
        <v>日本経済大学</v>
      </c>
      <c r="E262" s="35" t="str">
        <v>経済学部商学科、一般</v>
      </c>
      <c r="F262" t="str">
        <v>不合格</v>
      </c>
      <c r="G262" s="11">
        <v>46004</v>
      </c>
      <c r="H262" s="11">
        <v>46013</v>
      </c>
      <c r="I262">
        <v>0</v>
      </c>
      <c r="J262">
        <v>0</v>
      </c>
      <c r="K262" t="str">
        <v>2404115</v>
      </c>
      <c r="L262" t="str">
        <v>○</v>
      </c>
    </row>
    <row r="263" spans="1:12" hidden="1" x14ac:dyDescent="0.15">
      <c r="A263">
        <v>2404115</v>
      </c>
      <c r="B263" t="str">
        <v>2-9</v>
      </c>
      <c r="C263" t="str">
        <v>MD. IFTEKHAR</v>
      </c>
      <c r="D263" s="35" t="str">
        <v>国際アニメーション専門学校</v>
      </c>
      <c r="E263" s="35" t="str">
        <v>AI総合科、一般</v>
      </c>
      <c r="F263" t="str">
        <v>合格</v>
      </c>
      <c r="G263" s="11">
        <v>46015</v>
      </c>
      <c r="H263" s="11">
        <v>46017</v>
      </c>
      <c r="I263">
        <v>0</v>
      </c>
      <c r="J263" t="str">
        <v>○</v>
      </c>
      <c r="K263" t="str">
        <v>2404115○</v>
      </c>
      <c r="L263" t="str">
        <v>○</v>
      </c>
    </row>
    <row r="264" spans="1:12" hidden="1" x14ac:dyDescent="0.15">
      <c r="A264">
        <v>2404137</v>
      </c>
      <c r="B264" t="str">
        <v>2-9</v>
      </c>
      <c r="C264" t="str">
        <v>KHANAL SUSAN</v>
      </c>
      <c r="D264" s="35" t="str">
        <v>岩谷学園よこはまITビジネス専門学校</v>
      </c>
      <c r="E264" s="35" t="str">
        <v>経営マネジメント科、グローバルビジネスコース、一般</v>
      </c>
      <c r="F264" t="str">
        <v>不合格</v>
      </c>
      <c r="G264" s="11">
        <v>45960</v>
      </c>
      <c r="H264" s="11">
        <v>45968</v>
      </c>
      <c r="I264">
        <v>0</v>
      </c>
      <c r="J264">
        <v>0</v>
      </c>
      <c r="K264" t="str">
        <v>2404137</v>
      </c>
      <c r="L264" t="str">
        <v>○</v>
      </c>
    </row>
    <row r="265" spans="1:12" hidden="1" x14ac:dyDescent="0.15">
      <c r="A265">
        <v>2404137</v>
      </c>
      <c r="B265" t="str">
        <v>2-9</v>
      </c>
      <c r="C265" t="str">
        <v>KHANAL SUSAN</v>
      </c>
      <c r="D265" s="35" t="str">
        <v>神田外語学院</v>
      </c>
      <c r="E265" s="35" t="str">
        <v>グローバルビジネスコース、一般</v>
      </c>
      <c r="F265" t="str">
        <v>不合格</v>
      </c>
      <c r="G265" s="11">
        <v>46032</v>
      </c>
      <c r="H265" s="11">
        <v>46036</v>
      </c>
      <c r="I265">
        <v>0</v>
      </c>
      <c r="J265">
        <v>0</v>
      </c>
      <c r="K265" t="str">
        <v>2404137</v>
      </c>
      <c r="L265" t="str">
        <v>○</v>
      </c>
    </row>
    <row r="266" spans="1:12" hidden="1" x14ac:dyDescent="0.15">
      <c r="A266">
        <v>2404137</v>
      </c>
      <c r="B266" t="str">
        <v>2-9</v>
      </c>
      <c r="C266" t="str">
        <v>KHANAL SUSAN</v>
      </c>
      <c r="D266" s="35" t="str">
        <v>兵庫大学</v>
      </c>
      <c r="E266" s="35" t="str">
        <v>現代ビジネス学科、一般</v>
      </c>
      <c r="F266" t="str">
        <v>合格</v>
      </c>
      <c r="G266" s="11">
        <v>46053</v>
      </c>
      <c r="H266" s="11">
        <v>46063</v>
      </c>
      <c r="I266">
        <v>0</v>
      </c>
      <c r="J266" t="str">
        <v>○</v>
      </c>
      <c r="K266" t="str">
        <v>2404137○</v>
      </c>
      <c r="L266" t="str">
        <v>○</v>
      </c>
    </row>
    <row r="267" spans="1:12" hidden="1" x14ac:dyDescent="0.15">
      <c r="A267">
        <v>2404138</v>
      </c>
      <c r="B267" t="str">
        <v>2-9</v>
      </c>
      <c r="C267" t="str">
        <v>THAPA MAGAR RAJ</v>
      </c>
      <c r="D267" s="35" t="str">
        <v>東京国際学園情報専門学校</v>
      </c>
      <c r="E267" s="35" t="str">
        <v>グローバルビジネス学科、一般</v>
      </c>
      <c r="F267" t="str">
        <v>不合格</v>
      </c>
      <c r="G267" s="11">
        <v>45944</v>
      </c>
      <c r="H267" s="11">
        <v>45952</v>
      </c>
      <c r="I267">
        <v>0</v>
      </c>
      <c r="J267">
        <v>0</v>
      </c>
      <c r="K267" t="str">
        <v>2404138</v>
      </c>
      <c r="L267" t="str">
        <v>○</v>
      </c>
    </row>
    <row r="268" spans="1:12" hidden="1" x14ac:dyDescent="0.15">
      <c r="A268">
        <v>2404138</v>
      </c>
      <c r="B268" t="str">
        <v>2-9</v>
      </c>
      <c r="C268" t="str">
        <v>THAPA MAGAR RAJ</v>
      </c>
      <c r="D268" s="35" t="str">
        <v>日本経済大学</v>
      </c>
      <c r="E268" s="35" t="str">
        <v>経済学部商学科、指定校</v>
      </c>
      <c r="F268" t="str">
        <v>合格</v>
      </c>
      <c r="G268" s="11">
        <v>45688</v>
      </c>
      <c r="H268" s="11">
        <v>46062</v>
      </c>
      <c r="I268">
        <v>0</v>
      </c>
      <c r="J268" t="str">
        <v>○</v>
      </c>
      <c r="K268" t="str">
        <v>2404138○</v>
      </c>
      <c r="L268" t="str">
        <v>○</v>
      </c>
    </row>
    <row r="269" spans="1:12" hidden="1" x14ac:dyDescent="0.15">
      <c r="A269">
        <v>2404142</v>
      </c>
      <c r="B269" t="str">
        <v>2-9</v>
      </c>
      <c r="C269" t="str">
        <v>SWASTIKA THAMI</v>
      </c>
      <c r="D269" s="35" t="str">
        <v>関西国際旅行・ホテル専門学校</v>
      </c>
      <c r="E269" s="35" t="str">
        <v>観光ビジネス学科、AO試験</v>
      </c>
      <c r="F269" t="str">
        <v>不合格</v>
      </c>
      <c r="G269" s="11">
        <v>45835</v>
      </c>
      <c r="H269" s="11">
        <v>45849</v>
      </c>
      <c r="I269">
        <v>0</v>
      </c>
      <c r="J269">
        <v>0</v>
      </c>
      <c r="K269" t="str">
        <v>2404142</v>
      </c>
      <c r="L269" t="str">
        <v>○</v>
      </c>
    </row>
    <row r="270" spans="1:12" hidden="1" x14ac:dyDescent="0.15">
      <c r="A270">
        <v>2404142</v>
      </c>
      <c r="B270" t="str">
        <v>2-9</v>
      </c>
      <c r="C270" t="str">
        <v>SWASTIKA THAMI</v>
      </c>
      <c r="D270" s="35" t="str">
        <v>専門学校アートカレッジ神戸</v>
      </c>
      <c r="E270" s="35" t="str">
        <v>DXビジネスコース、AO試験</v>
      </c>
      <c r="F270" t="str">
        <v>合格</v>
      </c>
      <c r="G270" s="11">
        <v>45876</v>
      </c>
      <c r="H270" s="11">
        <v>45889</v>
      </c>
      <c r="I270">
        <v>0</v>
      </c>
      <c r="J270" t="str">
        <v>○</v>
      </c>
      <c r="K270" t="str">
        <v>2404142○</v>
      </c>
      <c r="L270" t="str">
        <v>○</v>
      </c>
    </row>
    <row r="271" spans="1:12" hidden="1" x14ac:dyDescent="0.15">
      <c r="A271">
        <v>2404153</v>
      </c>
      <c r="B271" t="str">
        <v>2-9</v>
      </c>
      <c r="C271" t="str">
        <v>KHADKA ROSHMA</v>
      </c>
      <c r="D271" s="35" t="str">
        <v>関西国際旅行・ホテル専門学校</v>
      </c>
      <c r="E271" s="35" t="str">
        <v>観光ビジネスコース、一般</v>
      </c>
      <c r="F271" t="str">
        <v>合格</v>
      </c>
      <c r="G271" s="11">
        <v>45934</v>
      </c>
      <c r="H271" s="11">
        <v>45938</v>
      </c>
      <c r="I271">
        <v>0</v>
      </c>
      <c r="J271" t="str">
        <v>○</v>
      </c>
      <c r="K271" t="str">
        <v>2404153○</v>
      </c>
      <c r="L271" t="str">
        <v>○</v>
      </c>
    </row>
    <row r="272" spans="1:12" hidden="1" x14ac:dyDescent="0.15">
      <c r="A272">
        <v>2404164</v>
      </c>
      <c r="B272" t="str">
        <v>2-9</v>
      </c>
      <c r="C272" t="str">
        <v>RAI ARATI</v>
      </c>
      <c r="D272" s="35" t="str">
        <v>関西国際旅行・ホテル専門学校</v>
      </c>
      <c r="E272" s="35" t="str">
        <v>ホテル学科、AO試験</v>
      </c>
      <c r="F272" t="str">
        <v>合格</v>
      </c>
      <c r="G272" s="11">
        <v>45854</v>
      </c>
      <c r="H272" s="11">
        <v>45880</v>
      </c>
      <c r="I272">
        <v>0</v>
      </c>
      <c r="J272" t="str">
        <v>○</v>
      </c>
      <c r="K272" t="str">
        <v>2404164○</v>
      </c>
      <c r="L272" t="str">
        <v>○</v>
      </c>
    </row>
    <row r="273" spans="1:12" hidden="1" x14ac:dyDescent="0.15">
      <c r="A273">
        <v>2404175</v>
      </c>
      <c r="B273" t="str">
        <v>2-9</v>
      </c>
      <c r="C273" t="str">
        <v>JYOTI PANDEY</v>
      </c>
      <c r="D273" s="35" t="str">
        <v>専門学校アートカレッジ神戸</v>
      </c>
      <c r="E273" s="35" t="str">
        <v>DXビジネスコース、AO試験</v>
      </c>
      <c r="F273" t="str">
        <v>合格</v>
      </c>
      <c r="G273" s="11">
        <v>45889</v>
      </c>
      <c r="H273" s="11">
        <v>45930</v>
      </c>
      <c r="I273">
        <v>0</v>
      </c>
      <c r="J273" t="str">
        <v>○</v>
      </c>
      <c r="K273" t="str">
        <v>2404175○</v>
      </c>
      <c r="L273" t="str">
        <v>○</v>
      </c>
    </row>
    <row r="274" spans="1:12" hidden="1" x14ac:dyDescent="0.15">
      <c r="A274">
        <v>2404176</v>
      </c>
      <c r="B274" t="str">
        <v>2-9</v>
      </c>
      <c r="C274" t="str">
        <v>SHRESTHA GYANU</v>
      </c>
      <c r="D274" s="35" t="str">
        <v>国際工科専門学校</v>
      </c>
      <c r="E274" s="35" t="str">
        <v>ビジネススペシャリスト科ITマネジメントコース、AO試験</v>
      </c>
      <c r="F274" t="str">
        <v>合格</v>
      </c>
      <c r="G274" s="11">
        <v>45876</v>
      </c>
      <c r="H274" s="11">
        <v>45891</v>
      </c>
      <c r="I274">
        <v>0</v>
      </c>
      <c r="J274" t="str">
        <v>○</v>
      </c>
      <c r="K274" t="str">
        <v>2404176○</v>
      </c>
      <c r="L274" t="str">
        <v>○</v>
      </c>
    </row>
    <row r="275" spans="1:12" hidden="1" x14ac:dyDescent="0.15">
      <c r="A275">
        <v>2404179</v>
      </c>
      <c r="B275" t="str">
        <v>2-9</v>
      </c>
      <c r="C275" t="str">
        <v>KARKI ARUNA</v>
      </c>
      <c r="D275" s="35" t="str">
        <v>専門学校アートカレッジ神戸</v>
      </c>
      <c r="E275" s="35" t="str">
        <v>観光ホテルマネジメントコース、AO試験</v>
      </c>
      <c r="F275" t="str">
        <v>合格</v>
      </c>
      <c r="G275" s="11">
        <v>45889</v>
      </c>
      <c r="H275" s="11">
        <v>45930</v>
      </c>
      <c r="I275">
        <v>0</v>
      </c>
      <c r="J275" t="str">
        <v>○</v>
      </c>
      <c r="K275" t="str">
        <v>2404179○</v>
      </c>
      <c r="L275" t="str">
        <v>○</v>
      </c>
    </row>
    <row r="276" spans="1:12" hidden="1" x14ac:dyDescent="0.15">
      <c r="A276">
        <v>2407023</v>
      </c>
      <c r="B276" t="str">
        <v>2-9</v>
      </c>
      <c r="C276" t="str">
        <v>HNIN YU HLAING</v>
      </c>
      <c r="D276" s="35" t="str">
        <v>神戸親和大学</v>
      </c>
      <c r="E276" s="35" t="str">
        <v>国際文化学科、協定校推薦</v>
      </c>
      <c r="F276" t="str">
        <v>合格</v>
      </c>
      <c r="G276" s="11">
        <v>45997</v>
      </c>
      <c r="H276" s="11">
        <v>46003</v>
      </c>
      <c r="I276">
        <v>0</v>
      </c>
      <c r="J276" t="str">
        <v>○</v>
      </c>
      <c r="K276" t="str">
        <v>2407023○</v>
      </c>
      <c r="L276" t="str">
        <v>○</v>
      </c>
    </row>
    <row r="277" spans="1:12" hidden="1" x14ac:dyDescent="0.15">
      <c r="A277">
        <v>2407035</v>
      </c>
      <c r="B277" t="str">
        <v>2-9</v>
      </c>
      <c r="C277" t="str">
        <v>MD OBAYED BIN ANWAR ZIHAD</v>
      </c>
      <c r="D277" s="35" t="str">
        <v>東京工科自動車大学校</v>
      </c>
      <c r="E277" s="35" t="str">
        <v>世田谷校、自動車整備科、指定校推薦</v>
      </c>
      <c r="F277" t="str">
        <v>合格</v>
      </c>
      <c r="G277" s="11">
        <v>45868</v>
      </c>
      <c r="H277" s="11">
        <v>45896</v>
      </c>
      <c r="I277">
        <v>0</v>
      </c>
      <c r="J277" t="str">
        <v>○</v>
      </c>
      <c r="K277" t="str">
        <v>2407035○</v>
      </c>
      <c r="L277" t="str">
        <v>○</v>
      </c>
    </row>
    <row r="278" spans="1:12" hidden="1" x14ac:dyDescent="0.15">
      <c r="A278">
        <v>2407036</v>
      </c>
      <c r="B278" t="str">
        <v>2-9</v>
      </c>
      <c r="C278" t="str">
        <v>MD ASIKUZZAMAN</v>
      </c>
      <c r="D278" s="35" t="str">
        <v>神戸親和大学</v>
      </c>
      <c r="E278" s="35" t="str">
        <v>国際文化学科、協定校推薦</v>
      </c>
      <c r="F278" t="str">
        <v>合格</v>
      </c>
      <c r="G278" s="11">
        <v>45997</v>
      </c>
      <c r="H278" s="11">
        <v>46003</v>
      </c>
      <c r="I278">
        <v>0</v>
      </c>
      <c r="J278" t="str">
        <v>○</v>
      </c>
      <c r="K278" t="str">
        <v>2407036○</v>
      </c>
      <c r="L278" t="str">
        <v>○</v>
      </c>
    </row>
    <row r="279" spans="1:12" hidden="1" x14ac:dyDescent="0.15">
      <c r="A279">
        <v>2407039</v>
      </c>
      <c r="B279" t="str">
        <v>2-9</v>
      </c>
      <c r="C279" t="str">
        <v>PARVEZ AHMED</v>
      </c>
      <c r="D279" s="35" t="str">
        <v>神戸親和大学</v>
      </c>
      <c r="E279" s="35" t="str">
        <v>国際文化学科、協定校推薦</v>
      </c>
      <c r="F279" t="str">
        <v>合格</v>
      </c>
      <c r="G279" s="11">
        <v>45997</v>
      </c>
      <c r="H279" s="11">
        <v>46003</v>
      </c>
      <c r="I279">
        <v>0</v>
      </c>
      <c r="J279" t="str">
        <v>○</v>
      </c>
      <c r="K279" t="str">
        <v>2407039○</v>
      </c>
      <c r="L279" t="str">
        <v>○</v>
      </c>
    </row>
    <row r="280" spans="1:12" hidden="1" x14ac:dyDescent="0.15">
      <c r="A280">
        <v>2404010</v>
      </c>
      <c r="B280" t="str">
        <v>2-10</v>
      </c>
      <c r="C280" t="str">
        <v>DUONG THANH TUNG</v>
      </c>
      <c r="D280" s="35" t="str">
        <v>愛甲学院専門学校</v>
      </c>
      <c r="E280" s="35" t="str">
        <v>AO試験</v>
      </c>
      <c r="F280" t="str">
        <v>不合格</v>
      </c>
      <c r="G280" s="11">
        <v>0</v>
      </c>
      <c r="H280" s="11">
        <v>45865</v>
      </c>
      <c r="I280">
        <v>0</v>
      </c>
      <c r="J280">
        <v>0</v>
      </c>
      <c r="K280" t="str">
        <v>2404010</v>
      </c>
      <c r="L280" t="str">
        <v>○</v>
      </c>
    </row>
    <row r="281" spans="1:12" hidden="1" x14ac:dyDescent="0.15">
      <c r="A281">
        <v>2404010</v>
      </c>
      <c r="B281" t="str">
        <v>2-10</v>
      </c>
      <c r="C281" t="str">
        <v>DUONG THANH TUNG</v>
      </c>
      <c r="D281" s="35" t="str">
        <v>東亜経理専門学校</v>
      </c>
      <c r="E281" s="35" t="str">
        <v>AO試験</v>
      </c>
      <c r="F281" t="str">
        <v>合格</v>
      </c>
      <c r="G281" s="11">
        <v>0</v>
      </c>
      <c r="H281" s="11">
        <v>45912</v>
      </c>
      <c r="I281">
        <v>0</v>
      </c>
      <c r="J281" t="str">
        <v>○</v>
      </c>
      <c r="K281" t="str">
        <v>2404010○</v>
      </c>
      <c r="L281" t="str">
        <v>○</v>
      </c>
    </row>
    <row r="282" spans="1:12" hidden="1" x14ac:dyDescent="0.15">
      <c r="A282">
        <v>2404074</v>
      </c>
      <c r="B282" t="str">
        <v>2-10</v>
      </c>
      <c r="C282" t="str">
        <v>MD. OMAR BHUIYAN</v>
      </c>
      <c r="D282" s="35" t="str">
        <v>関西国際旅行・ホテル専門学校</v>
      </c>
      <c r="E282" s="35" t="str">
        <v>日本語科</v>
      </c>
      <c r="F282" t="str">
        <v>不合格</v>
      </c>
      <c r="G282" s="11">
        <v>0</v>
      </c>
      <c r="H282" s="11">
        <v>45938</v>
      </c>
      <c r="I282">
        <v>0</v>
      </c>
      <c r="J282">
        <v>0</v>
      </c>
      <c r="K282" t="str">
        <v>2404074</v>
      </c>
      <c r="L282" t="str">
        <v>○</v>
      </c>
    </row>
    <row r="283" spans="1:12" hidden="1" x14ac:dyDescent="0.15">
      <c r="A283">
        <v>2404074</v>
      </c>
      <c r="B283" t="str">
        <v>2-10</v>
      </c>
      <c r="C283" t="str">
        <v>MD. OMAR BHUIYAN</v>
      </c>
      <c r="D283" s="35" t="str">
        <v>関西国際旅行・ホテル専門学校</v>
      </c>
      <c r="E283" s="35" t="str">
        <v>日本語科、２回目受験</v>
      </c>
      <c r="F283" t="str">
        <v>不合格</v>
      </c>
      <c r="G283" s="11">
        <v>45970</v>
      </c>
      <c r="H283" s="11">
        <v>45973</v>
      </c>
      <c r="I283">
        <v>0</v>
      </c>
      <c r="J283">
        <v>0</v>
      </c>
      <c r="K283" t="str">
        <v>2404074</v>
      </c>
      <c r="L283" t="str">
        <v>○</v>
      </c>
    </row>
    <row r="284" spans="1:12" hidden="1" x14ac:dyDescent="0.15">
      <c r="A284">
        <v>2404074</v>
      </c>
      <c r="B284" t="str">
        <v>2-10</v>
      </c>
      <c r="C284" t="str">
        <v>MD. OMAR BHUIYAN</v>
      </c>
      <c r="D284" s="35" t="str">
        <v>東京国際学園外語専門学校</v>
      </c>
      <c r="E284" s="35" t="str">
        <v>応用日本語科（１年）</v>
      </c>
      <c r="F284" t="str">
        <v>不合格</v>
      </c>
      <c r="G284" s="11">
        <v>45975</v>
      </c>
      <c r="H284" s="11">
        <v>45982</v>
      </c>
      <c r="I284">
        <v>0</v>
      </c>
      <c r="J284">
        <v>0</v>
      </c>
      <c r="K284" t="str">
        <v>2404074</v>
      </c>
      <c r="L284" t="str">
        <v>○</v>
      </c>
    </row>
    <row r="285" spans="1:12" hidden="1" x14ac:dyDescent="0.15">
      <c r="A285">
        <v>2404074</v>
      </c>
      <c r="B285" t="str">
        <v>2-10</v>
      </c>
      <c r="C285" t="str">
        <v>MD. OMAR BHUIYAN</v>
      </c>
      <c r="D285" s="35" t="str">
        <v>日本コンピュータ専門学校</v>
      </c>
      <c r="E285" s="35" t="str">
        <v>ITスペシャリスト（1年）</v>
      </c>
      <c r="F285" t="str">
        <v>不合格</v>
      </c>
      <c r="G285" s="11">
        <v>45997</v>
      </c>
      <c r="H285" s="11">
        <v>46003</v>
      </c>
      <c r="I285">
        <v>0</v>
      </c>
      <c r="J285">
        <v>0</v>
      </c>
      <c r="K285" t="str">
        <v>2404074</v>
      </c>
      <c r="L285" t="str">
        <v>○</v>
      </c>
    </row>
    <row r="286" spans="1:12" hidden="1" x14ac:dyDescent="0.15">
      <c r="A286">
        <v>2404074</v>
      </c>
      <c r="B286" t="str">
        <v>2-10</v>
      </c>
      <c r="C286" t="str">
        <v>MD. OMAR BHUIYAN</v>
      </c>
      <c r="D286" s="35" t="str">
        <v>九州ビジネス専門学校</v>
      </c>
      <c r="E286" s="35" t="str">
        <v>ITビジネス科（２年）</v>
      </c>
      <c r="F286" t="str">
        <v>合格</v>
      </c>
      <c r="G286" s="11">
        <v>46015</v>
      </c>
      <c r="H286" s="11">
        <v>46015</v>
      </c>
      <c r="I286">
        <v>0</v>
      </c>
      <c r="J286" t="str">
        <v>○</v>
      </c>
      <c r="K286" t="str">
        <v>2404074○</v>
      </c>
      <c r="L286" t="str">
        <v>○</v>
      </c>
    </row>
    <row r="287" spans="1:12" hidden="1" x14ac:dyDescent="0.15">
      <c r="A287">
        <v>2404076</v>
      </c>
      <c r="B287" t="str">
        <v>2-10</v>
      </c>
      <c r="C287" t="str">
        <v>MD. RAYHAN PRODHAN</v>
      </c>
      <c r="D287" s="35" t="str">
        <v>流通科学大学</v>
      </c>
      <c r="E287" s="35">
        <v>0</v>
      </c>
      <c r="F287" t="str">
        <v>合格</v>
      </c>
      <c r="G287" s="11">
        <v>45948</v>
      </c>
      <c r="H287" s="11">
        <v>45965</v>
      </c>
      <c r="I287">
        <v>0</v>
      </c>
      <c r="J287" t="str">
        <v>○</v>
      </c>
      <c r="K287" t="str">
        <v>2404076○</v>
      </c>
      <c r="L287" t="str">
        <v>○</v>
      </c>
    </row>
    <row r="288" spans="1:12" hidden="1" x14ac:dyDescent="0.15">
      <c r="A288">
        <v>2404086</v>
      </c>
      <c r="B288" t="str">
        <v>2-10</v>
      </c>
      <c r="C288" t="str">
        <v>S.M.JONAYET</v>
      </c>
      <c r="D288" s="35" t="str">
        <v>関西国際旅行・ホテル専門学校</v>
      </c>
      <c r="E288" s="35" t="str">
        <v>AO試験</v>
      </c>
      <c r="F288" t="str">
        <v>不合格</v>
      </c>
      <c r="G288" s="11">
        <v>0</v>
      </c>
      <c r="H288" s="11">
        <v>45828</v>
      </c>
      <c r="I288">
        <v>0</v>
      </c>
      <c r="J288">
        <v>0</v>
      </c>
      <c r="K288" t="str">
        <v>2404086</v>
      </c>
      <c r="L288" t="str">
        <v>○</v>
      </c>
    </row>
    <row r="289" spans="1:19" hidden="1" x14ac:dyDescent="0.15">
      <c r="A289">
        <v>2404086</v>
      </c>
      <c r="B289" t="str">
        <v>2-10</v>
      </c>
      <c r="C289" t="str">
        <v>S.M.JONAYET</v>
      </c>
      <c r="D289" s="35" t="str">
        <v>専門学校アートカレッジ神戸</v>
      </c>
      <c r="E289" s="35">
        <v>0</v>
      </c>
      <c r="F289" t="str">
        <v>合格</v>
      </c>
      <c r="G289" s="11">
        <v>0</v>
      </c>
      <c r="H289" s="11">
        <v>45889</v>
      </c>
      <c r="I289">
        <v>0</v>
      </c>
      <c r="J289" t="str">
        <v>○</v>
      </c>
      <c r="K289" t="str">
        <v>2404086○</v>
      </c>
      <c r="L289" t="str">
        <v>○</v>
      </c>
    </row>
    <row r="290" spans="1:19" hidden="1" x14ac:dyDescent="0.15">
      <c r="A290">
        <v>2404089</v>
      </c>
      <c r="B290" t="str">
        <v>2-10</v>
      </c>
      <c r="C290" t="str">
        <v>MAHIM AHAD BHUIYAN</v>
      </c>
      <c r="D290" s="35" t="str">
        <v>東京日建工科専門学校</v>
      </c>
      <c r="E290" s="35" t="str">
        <v>AO試験</v>
      </c>
      <c r="F290" t="str">
        <v>合格</v>
      </c>
      <c r="G290" s="11">
        <v>0</v>
      </c>
      <c r="H290" s="11">
        <v>45827</v>
      </c>
      <c r="I290">
        <v>0</v>
      </c>
      <c r="J290" t="str">
        <v>○</v>
      </c>
      <c r="K290" t="str">
        <v>2404089○</v>
      </c>
      <c r="L290" t="str">
        <v>○</v>
      </c>
    </row>
    <row r="291" spans="1:19" hidden="1" x14ac:dyDescent="0.15">
      <c r="A291">
        <v>2404092</v>
      </c>
      <c r="B291" t="str">
        <v>2-10</v>
      </c>
      <c r="C291" t="str">
        <v>ZISAN MD. RAIHAN SARIF</v>
      </c>
      <c r="D291" s="35" t="str">
        <v>四国大学短期大学部</v>
      </c>
      <c r="E291" s="35" t="str">
        <v>ビジネス・コミュニケーション科</v>
      </c>
      <c r="F291" t="str">
        <v>合格</v>
      </c>
      <c r="G291" s="11">
        <v>45941</v>
      </c>
      <c r="H291" s="11">
        <v>45962</v>
      </c>
      <c r="I291">
        <v>0</v>
      </c>
      <c r="J291" t="str">
        <v>○</v>
      </c>
      <c r="K291" t="str">
        <v>2404092○</v>
      </c>
      <c r="L291" t="str">
        <v>○</v>
      </c>
    </row>
    <row r="292" spans="1:19" hidden="1" x14ac:dyDescent="0.15">
      <c r="A292">
        <v>2404117</v>
      </c>
      <c r="B292" t="str">
        <v>2-10</v>
      </c>
      <c r="C292" t="str">
        <v>BULBUL AHMED</v>
      </c>
      <c r="D292" s="35" t="str">
        <v>東大阪短期大学</v>
      </c>
      <c r="E292" s="35" t="str">
        <v>指定校推薦</v>
      </c>
      <c r="F292" t="str">
        <v>合格</v>
      </c>
      <c r="G292" s="11">
        <v>0</v>
      </c>
      <c r="H292" s="11">
        <v>45901</v>
      </c>
      <c r="I292">
        <v>0</v>
      </c>
      <c r="J292" t="str">
        <v>○</v>
      </c>
      <c r="K292" t="str">
        <v>2404117○</v>
      </c>
      <c r="L292" t="str">
        <v>○</v>
      </c>
    </row>
    <row r="293" spans="1:19" hidden="1" x14ac:dyDescent="0.15">
      <c r="A293">
        <v>2404118</v>
      </c>
      <c r="B293" t="str">
        <v>2-10</v>
      </c>
      <c r="C293" t="str">
        <v>ARNOB JAHIN SHAHRIAR</v>
      </c>
      <c r="D293" s="35" t="str">
        <v>流通科学大学</v>
      </c>
      <c r="E293" s="35">
        <v>0</v>
      </c>
      <c r="F293" t="str">
        <v>合格</v>
      </c>
      <c r="G293" s="11">
        <v>45948</v>
      </c>
      <c r="H293" s="11">
        <v>45965</v>
      </c>
      <c r="I293">
        <v>0</v>
      </c>
      <c r="J293" t="str">
        <v>○</v>
      </c>
      <c r="K293" t="str">
        <v>2404118○</v>
      </c>
      <c r="L293" t="str">
        <v>○</v>
      </c>
    </row>
    <row r="294" spans="1:19" hidden="1" x14ac:dyDescent="0.15">
      <c r="A294">
        <v>2404123</v>
      </c>
      <c r="B294" t="str">
        <v>2-10</v>
      </c>
      <c r="C294" t="str">
        <v>KHAN MD EMON</v>
      </c>
      <c r="D294" s="35" t="str">
        <v>トヨタ神戸自動車大学校</v>
      </c>
      <c r="E294" s="35" t="str">
        <v>一般、国際自動車整備科</v>
      </c>
      <c r="F294" t="str">
        <v>合格</v>
      </c>
      <c r="G294" s="11">
        <v>0</v>
      </c>
      <c r="H294" s="11">
        <v>45933</v>
      </c>
      <c r="I294">
        <v>0</v>
      </c>
      <c r="J294" t="str">
        <v>○</v>
      </c>
      <c r="K294" t="str">
        <v>2404123○</v>
      </c>
      <c r="L294" t="str">
        <v>○</v>
      </c>
    </row>
    <row r="295" spans="1:19" hidden="1" x14ac:dyDescent="0.15">
      <c r="A295">
        <v>2404124</v>
      </c>
      <c r="B295" t="str">
        <v>2-10</v>
      </c>
      <c r="C295" t="str">
        <v>MIRAZ MD SAIKAT ISLAM</v>
      </c>
      <c r="D295" s="35" t="str">
        <v>トヨタ神戸自動車大学校</v>
      </c>
      <c r="E295" s="35" t="str">
        <v>一般、国際自動車整備科</v>
      </c>
      <c r="F295" t="str">
        <v>不合格</v>
      </c>
      <c r="G295" s="11">
        <v>0</v>
      </c>
      <c r="H295" s="11">
        <v>45933</v>
      </c>
      <c r="I295">
        <v>0</v>
      </c>
      <c r="J295">
        <v>0</v>
      </c>
      <c r="K295" t="str">
        <v>2404124</v>
      </c>
      <c r="L295" t="str">
        <v>○</v>
      </c>
    </row>
    <row r="296" spans="1:19" hidden="1" x14ac:dyDescent="0.15">
      <c r="A296">
        <v>2404124</v>
      </c>
      <c r="B296" t="str">
        <v>2-10</v>
      </c>
      <c r="C296" t="str">
        <v>MIRAZ MD SAIKAT ISLAM</v>
      </c>
      <c r="D296" s="35" t="str">
        <v>関西国際旅行・ホテル専門学校</v>
      </c>
      <c r="E296" s="35" t="str">
        <v>1年制日本語コース</v>
      </c>
      <c r="F296" t="str">
        <v>不合格</v>
      </c>
      <c r="G296" s="11">
        <v>45955</v>
      </c>
      <c r="H296" s="11">
        <v>45959</v>
      </c>
      <c r="I296">
        <v>0</v>
      </c>
      <c r="J296">
        <v>0</v>
      </c>
      <c r="K296" t="str">
        <v>2404124</v>
      </c>
      <c r="L296" t="str">
        <v>○</v>
      </c>
    </row>
    <row r="297" spans="1:19" hidden="1" x14ac:dyDescent="0.15">
      <c r="A297">
        <v>2404124</v>
      </c>
      <c r="B297" t="str">
        <v>2-10</v>
      </c>
      <c r="C297" t="str">
        <v>MIRAZ MD SAIKAT ISLAM</v>
      </c>
      <c r="D297" s="35" t="str">
        <v>関西国際旅行・ホテル専門学校</v>
      </c>
      <c r="E297" s="35" t="str">
        <v>日本語科、２回目受験</v>
      </c>
      <c r="F297" t="str">
        <v>不合格</v>
      </c>
      <c r="G297" s="11">
        <v>45970</v>
      </c>
      <c r="H297" s="11">
        <v>45973</v>
      </c>
      <c r="I297">
        <v>0</v>
      </c>
      <c r="J297">
        <v>0</v>
      </c>
      <c r="K297" t="str">
        <v>2404124</v>
      </c>
      <c r="L297" t="str">
        <v>○</v>
      </c>
    </row>
    <row r="298" spans="1:19" hidden="1" x14ac:dyDescent="0.15">
      <c r="A298">
        <v>2404124</v>
      </c>
      <c r="B298" t="str">
        <v>2-10</v>
      </c>
      <c r="C298" t="str">
        <v>MIRAZ MD SAIKAT ISLAM</v>
      </c>
      <c r="D298" s="35" t="str">
        <v>東京国際学園外語専門学校</v>
      </c>
      <c r="E298" s="35" t="str">
        <v>応用日本語科（１年）</v>
      </c>
      <c r="F298" t="str">
        <v>合格</v>
      </c>
      <c r="G298" s="11">
        <v>45975</v>
      </c>
      <c r="H298" s="11">
        <v>45982</v>
      </c>
      <c r="I298">
        <v>0</v>
      </c>
      <c r="J298" t="str">
        <v>○</v>
      </c>
      <c r="K298" t="str">
        <v>2404124○</v>
      </c>
      <c r="L298" t="str">
        <v>○</v>
      </c>
    </row>
    <row r="299" spans="1:19" hidden="1" x14ac:dyDescent="0.15">
      <c r="A299">
        <v>2404124</v>
      </c>
      <c r="B299" t="str">
        <v>2-10</v>
      </c>
      <c r="C299" t="str">
        <v>MIRAZ MD SAIKAT ISLAM</v>
      </c>
      <c r="D299" s="35" t="str">
        <v>中部国際自動車大学校</v>
      </c>
      <c r="E299" s="35" t="str">
        <v>２級整備士コース・一般</v>
      </c>
      <c r="F299" t="str">
        <v>辞退</v>
      </c>
      <c r="G299" s="11">
        <v>45976</v>
      </c>
      <c r="H299" s="11">
        <v>45986</v>
      </c>
      <c r="I299">
        <v>0</v>
      </c>
      <c r="J299">
        <v>0</v>
      </c>
      <c r="K299" t="str">
        <v>2404124</v>
      </c>
      <c r="L299" t="str">
        <v>○</v>
      </c>
    </row>
    <row r="300" spans="1:19" hidden="1" x14ac:dyDescent="0.15">
      <c r="A300">
        <v>2404131</v>
      </c>
      <c r="B300" t="str">
        <v>2-10</v>
      </c>
      <c r="C300" t="str">
        <v>SAGAR NUR UDDIN</v>
      </c>
      <c r="D300" s="35" t="str">
        <v>四国大学短期大学部</v>
      </c>
      <c r="E300" s="35" t="str">
        <v>ビジネス・コミュニケーション科</v>
      </c>
      <c r="F300" t="str">
        <v>合格</v>
      </c>
      <c r="G300" s="11">
        <v>45941</v>
      </c>
      <c r="H300" s="11">
        <v>45962</v>
      </c>
      <c r="I300">
        <v>0</v>
      </c>
      <c r="J300" t="str">
        <v>○</v>
      </c>
      <c r="K300" t="str">
        <v>2404131○</v>
      </c>
      <c r="L300" t="str">
        <v>○</v>
      </c>
    </row>
    <row r="301" spans="1:19" hidden="1" x14ac:dyDescent="0.15">
      <c r="A301">
        <v>2404132</v>
      </c>
      <c r="B301" t="str">
        <v>2-10</v>
      </c>
      <c r="C301" t="str">
        <v>SHOVA MD ARAFAT HOSSAIN</v>
      </c>
      <c r="D301" s="35" t="str">
        <v>トヨタ神戸自動車大学校</v>
      </c>
      <c r="E301" s="35" t="str">
        <v>指定校推薦、国際自動車整備科</v>
      </c>
      <c r="F301" t="str">
        <v>合格</v>
      </c>
      <c r="G301" s="11">
        <v>0</v>
      </c>
      <c r="H301" s="11">
        <v>45933</v>
      </c>
      <c r="I301">
        <v>0</v>
      </c>
      <c r="J301" t="str">
        <v>○</v>
      </c>
      <c r="K301" t="str">
        <v>2404132○</v>
      </c>
      <c r="L301" t="str">
        <v>○</v>
      </c>
      <c r="O301" s="35"/>
      <c r="P301" s="35"/>
      <c r="R301" s="11"/>
      <c r="S301" s="11"/>
    </row>
    <row r="302" spans="1:19" hidden="1" x14ac:dyDescent="0.15">
      <c r="A302">
        <v>2404145</v>
      </c>
      <c r="B302" t="str">
        <v>2-10</v>
      </c>
      <c r="C302" t="str">
        <v>TILSARA MAHARA</v>
      </c>
      <c r="D302" s="35" t="str">
        <v>専門学校アートカレッジ神戸</v>
      </c>
      <c r="E302" s="35">
        <v>0</v>
      </c>
      <c r="F302" t="str">
        <v>合格</v>
      </c>
      <c r="G302" s="11">
        <v>0</v>
      </c>
      <c r="H302" s="11">
        <v>45889</v>
      </c>
      <c r="I302">
        <v>0</v>
      </c>
      <c r="J302" t="str">
        <v>○</v>
      </c>
      <c r="K302" t="str">
        <v>2404145○</v>
      </c>
      <c r="L302" t="str">
        <v>○</v>
      </c>
      <c r="O302" s="35"/>
      <c r="P302" s="35"/>
      <c r="R302" s="11"/>
      <c r="S302" s="11"/>
    </row>
    <row r="303" spans="1:19" hidden="1" x14ac:dyDescent="0.15">
      <c r="A303">
        <v>2404150</v>
      </c>
      <c r="B303" t="str">
        <v>2-10</v>
      </c>
      <c r="C303" t="str">
        <v>LOKENDRA SAUD</v>
      </c>
      <c r="D303" s="35" t="str">
        <v>専門学校アートカレッジ神戸</v>
      </c>
      <c r="E303" s="35" t="str">
        <v>AO試験</v>
      </c>
      <c r="F303" t="str">
        <v>不合格</v>
      </c>
      <c r="G303" s="11">
        <v>0</v>
      </c>
      <c r="H303" s="11">
        <v>45889</v>
      </c>
      <c r="I303">
        <v>0</v>
      </c>
      <c r="J303">
        <v>0</v>
      </c>
      <c r="K303" t="str">
        <v>2404150</v>
      </c>
      <c r="L303" t="str">
        <v>○</v>
      </c>
      <c r="O303" s="35"/>
      <c r="P303" s="35"/>
      <c r="R303" s="11"/>
      <c r="S303" s="11"/>
    </row>
    <row r="304" spans="1:19" hidden="1" x14ac:dyDescent="0.15">
      <c r="A304">
        <v>2404150</v>
      </c>
      <c r="B304" t="str">
        <v>2-10</v>
      </c>
      <c r="C304" t="str">
        <v>LOKENDRA SAUD</v>
      </c>
      <c r="D304" s="35" t="str">
        <v>東亜経理専門学校</v>
      </c>
      <c r="E304" s="35" t="str">
        <v>AO試験</v>
      </c>
      <c r="F304" t="str">
        <v>不合格</v>
      </c>
      <c r="G304" s="11">
        <v>45933</v>
      </c>
      <c r="H304" s="11">
        <v>0</v>
      </c>
      <c r="I304">
        <v>0</v>
      </c>
      <c r="J304">
        <v>0</v>
      </c>
      <c r="K304" t="str">
        <v>2404150</v>
      </c>
      <c r="L304" t="str">
        <v>○</v>
      </c>
      <c r="O304" s="35"/>
      <c r="P304" s="35"/>
      <c r="R304" s="11"/>
      <c r="S304" s="11"/>
    </row>
    <row r="305" spans="1:19" hidden="1" x14ac:dyDescent="0.15">
      <c r="A305">
        <v>2404150</v>
      </c>
      <c r="B305" t="str">
        <v>2-10</v>
      </c>
      <c r="C305" t="str">
        <v>LOKENDRA SAUD</v>
      </c>
      <c r="D305" s="35" t="str">
        <v>ICT専門学校高砂校</v>
      </c>
      <c r="E305" s="35" t="str">
        <v>一般</v>
      </c>
      <c r="F305" t="str">
        <v>合格</v>
      </c>
      <c r="G305" s="11">
        <v>45990</v>
      </c>
      <c r="H305" s="11">
        <v>45999</v>
      </c>
      <c r="I305">
        <v>0</v>
      </c>
      <c r="J305" t="str">
        <v>○</v>
      </c>
      <c r="K305" t="str">
        <v>2404150○</v>
      </c>
      <c r="L305" t="str">
        <v>○</v>
      </c>
      <c r="O305" s="35"/>
      <c r="P305" s="35"/>
      <c r="R305" s="11"/>
      <c r="S305" s="11"/>
    </row>
    <row r="306" spans="1:19" hidden="1" x14ac:dyDescent="0.15">
      <c r="A306">
        <v>2404151</v>
      </c>
      <c r="B306" t="str">
        <v>2-10</v>
      </c>
      <c r="C306" t="str">
        <v>RAJ KUMAR GIRI</v>
      </c>
      <c r="D306" s="35" t="str">
        <v>愛甲学院専門学校</v>
      </c>
      <c r="E306" s="35" t="str">
        <v>AO試験</v>
      </c>
      <c r="F306" t="str">
        <v>合格</v>
      </c>
      <c r="G306" s="11">
        <v>0</v>
      </c>
      <c r="H306" s="11">
        <v>45926</v>
      </c>
      <c r="I306">
        <v>0</v>
      </c>
      <c r="J306" t="str">
        <v>○</v>
      </c>
      <c r="K306" t="str">
        <v>2404151○</v>
      </c>
      <c r="L306" t="str">
        <v>○</v>
      </c>
      <c r="O306" s="35"/>
      <c r="P306" s="35"/>
      <c r="R306" s="11"/>
      <c r="S306" s="11"/>
    </row>
    <row r="307" spans="1:19" hidden="1" x14ac:dyDescent="0.15">
      <c r="A307">
        <v>2404156</v>
      </c>
      <c r="B307" t="str">
        <v>2-10</v>
      </c>
      <c r="C307" t="str">
        <v>HIMAL MALLA</v>
      </c>
      <c r="D307" s="35" t="str">
        <v>愛甲学院専門学校</v>
      </c>
      <c r="E307" s="35" t="str">
        <v>AO試験</v>
      </c>
      <c r="F307" t="str">
        <v>不合格</v>
      </c>
      <c r="G307" s="11">
        <v>45887</v>
      </c>
      <c r="H307" s="11">
        <v>0</v>
      </c>
      <c r="I307">
        <v>0</v>
      </c>
      <c r="J307">
        <v>0</v>
      </c>
      <c r="K307" t="str">
        <v>2404156</v>
      </c>
      <c r="L307" t="str">
        <v>○</v>
      </c>
      <c r="O307" s="35"/>
      <c r="P307" s="35"/>
      <c r="R307" s="11"/>
      <c r="S307" s="11"/>
    </row>
    <row r="308" spans="1:19" hidden="1" x14ac:dyDescent="0.15">
      <c r="A308">
        <v>2404156</v>
      </c>
      <c r="B308" t="str">
        <v>2-10</v>
      </c>
      <c r="C308" t="str">
        <v>HIMAL MALLA</v>
      </c>
      <c r="D308" s="35" t="str">
        <v>東亜経理専門学校</v>
      </c>
      <c r="E308" s="35" t="str">
        <v>AO試験</v>
      </c>
      <c r="F308" t="str">
        <v>合格</v>
      </c>
      <c r="G308" s="11">
        <v>0</v>
      </c>
      <c r="H308" s="11">
        <v>45933</v>
      </c>
      <c r="I308">
        <v>0</v>
      </c>
      <c r="J308" t="str">
        <v>○</v>
      </c>
      <c r="K308" t="str">
        <v>2404156○</v>
      </c>
      <c r="L308" t="str">
        <v>○</v>
      </c>
      <c r="O308" s="35"/>
      <c r="P308" s="35"/>
      <c r="R308" s="11"/>
      <c r="S308" s="11"/>
    </row>
    <row r="309" spans="1:19" hidden="1" x14ac:dyDescent="0.15">
      <c r="A309">
        <v>2404166</v>
      </c>
      <c r="B309" t="str">
        <v>2-10</v>
      </c>
      <c r="C309" t="str">
        <v>SHERPA AAYUSHA</v>
      </c>
      <c r="D309" s="35" t="str">
        <v>大阪観光大学</v>
      </c>
      <c r="E309" s="35">
        <v>0</v>
      </c>
      <c r="F309" t="str">
        <v>合格</v>
      </c>
      <c r="G309" s="11">
        <v>0</v>
      </c>
      <c r="H309" s="11">
        <v>45965</v>
      </c>
      <c r="I309">
        <v>0</v>
      </c>
      <c r="J309" t="str">
        <v>○</v>
      </c>
      <c r="K309" t="str">
        <v>2404166○</v>
      </c>
      <c r="L309" t="str">
        <v>○</v>
      </c>
      <c r="O309" s="35"/>
      <c r="P309" s="35"/>
      <c r="R309" s="11"/>
      <c r="S309" s="11"/>
    </row>
    <row r="310" spans="1:19" hidden="1" x14ac:dyDescent="0.15">
      <c r="A310">
        <v>2404169</v>
      </c>
      <c r="B310" t="str">
        <v>2-10</v>
      </c>
      <c r="C310" t="str">
        <v>MAHATO SALINA KUMARI</v>
      </c>
      <c r="D310" s="35" t="str">
        <v>アジア貢献ホスピタリティ専門学校</v>
      </c>
      <c r="E310" s="35" t="str">
        <v>ICTビジネス学科、AO試験</v>
      </c>
      <c r="F310" t="str">
        <v>不合格</v>
      </c>
      <c r="G310" s="11">
        <v>45951</v>
      </c>
      <c r="H310" s="11">
        <v>45962</v>
      </c>
      <c r="I310">
        <v>0</v>
      </c>
      <c r="J310">
        <v>0</v>
      </c>
      <c r="K310" t="str">
        <v>2404169</v>
      </c>
      <c r="L310" t="str">
        <v>○</v>
      </c>
      <c r="O310" s="35"/>
      <c r="P310" s="35"/>
      <c r="R310" s="11"/>
      <c r="S310" s="11"/>
    </row>
    <row r="311" spans="1:19" hidden="1" x14ac:dyDescent="0.15">
      <c r="A311">
        <v>2404169</v>
      </c>
      <c r="B311" t="str">
        <v>2-10</v>
      </c>
      <c r="C311" t="str">
        <v>MAHATO SALINA KUMARI</v>
      </c>
      <c r="D311" s="35" t="str">
        <v>岡山服飾ビジネス専門学校</v>
      </c>
      <c r="E311" s="35">
        <v>0</v>
      </c>
      <c r="F311" t="str">
        <v>合格</v>
      </c>
      <c r="G311" s="11">
        <v>46006</v>
      </c>
      <c r="H311" s="11">
        <v>46013</v>
      </c>
      <c r="I311">
        <v>0</v>
      </c>
      <c r="J311" t="str">
        <v>○</v>
      </c>
      <c r="K311" t="str">
        <v>2404169○</v>
      </c>
      <c r="L311" t="str">
        <v>○</v>
      </c>
      <c r="O311" s="35"/>
      <c r="P311" s="35"/>
      <c r="R311" s="11"/>
      <c r="S311" s="11"/>
    </row>
    <row r="312" spans="1:19" hidden="1" x14ac:dyDescent="0.15">
      <c r="A312">
        <v>2404178</v>
      </c>
      <c r="B312" t="str">
        <v>2-10</v>
      </c>
      <c r="C312" t="str">
        <v>JOGI MILAN KUMAR</v>
      </c>
      <c r="D312" s="35" t="str">
        <v>専門学校アートカレッジ神戸</v>
      </c>
      <c r="E312" s="35">
        <v>0</v>
      </c>
      <c r="F312" t="str">
        <v>合格</v>
      </c>
      <c r="G312" s="11">
        <v>0</v>
      </c>
      <c r="H312" s="11">
        <v>45889</v>
      </c>
      <c r="I312">
        <v>0</v>
      </c>
      <c r="J312" t="str">
        <v>○</v>
      </c>
      <c r="K312" t="str">
        <v>2404178○</v>
      </c>
      <c r="L312" t="str">
        <v>○</v>
      </c>
      <c r="O312" s="35"/>
      <c r="P312" s="35"/>
      <c r="R312" s="11"/>
      <c r="S312" s="11"/>
    </row>
    <row r="313" spans="1:19" hidden="1" x14ac:dyDescent="0.15">
      <c r="A313">
        <v>2404181</v>
      </c>
      <c r="B313" t="str">
        <v>2-10</v>
      </c>
      <c r="C313" t="str">
        <v>BHARAT B.K.</v>
      </c>
      <c r="D313" s="35" t="str">
        <v>関西国際旅行・ホテル専門学校</v>
      </c>
      <c r="E313" s="35">
        <v>0</v>
      </c>
      <c r="F313" t="str">
        <v>不合格</v>
      </c>
      <c r="G313" s="11">
        <v>0</v>
      </c>
      <c r="H313" s="11">
        <v>45835</v>
      </c>
      <c r="I313">
        <v>0</v>
      </c>
      <c r="J313">
        <v>0</v>
      </c>
      <c r="K313" t="str">
        <v>2404181</v>
      </c>
      <c r="L313" t="str">
        <v>○</v>
      </c>
      <c r="O313" s="35"/>
      <c r="P313" s="35"/>
      <c r="R313" s="11"/>
      <c r="S313" s="11"/>
    </row>
    <row r="314" spans="1:19" hidden="1" x14ac:dyDescent="0.15">
      <c r="A314">
        <v>2404181</v>
      </c>
      <c r="B314" t="str">
        <v>2-10</v>
      </c>
      <c r="C314" t="str">
        <v>BHARAT B.K.</v>
      </c>
      <c r="D314" s="35" t="str">
        <v>愛甲学院専門学校</v>
      </c>
      <c r="E314" s="35">
        <v>0</v>
      </c>
      <c r="F314" t="str">
        <v>不合格</v>
      </c>
      <c r="G314" s="11">
        <v>0</v>
      </c>
      <c r="H314" s="11">
        <v>45926</v>
      </c>
      <c r="I314">
        <v>0</v>
      </c>
      <c r="J314">
        <v>0</v>
      </c>
      <c r="K314" t="str">
        <v>2404181</v>
      </c>
      <c r="L314" t="str">
        <v>○</v>
      </c>
      <c r="O314" s="35"/>
      <c r="P314" s="35"/>
      <c r="R314" s="11"/>
      <c r="S314" s="11"/>
    </row>
    <row r="315" spans="1:19" hidden="1" x14ac:dyDescent="0.15">
      <c r="A315">
        <v>2404181</v>
      </c>
      <c r="B315" t="str">
        <v>2-10</v>
      </c>
      <c r="C315" t="str">
        <v>BHARAT B.K.</v>
      </c>
      <c r="D315" s="35" t="str">
        <v>東亜経理専門学校</v>
      </c>
      <c r="E315" s="35" t="str">
        <v>AO試験</v>
      </c>
      <c r="F315" t="str">
        <v>合格</v>
      </c>
      <c r="G315" s="11">
        <v>0</v>
      </c>
      <c r="H315" s="11">
        <v>45938</v>
      </c>
      <c r="I315">
        <v>0</v>
      </c>
      <c r="J315" t="str">
        <v>○</v>
      </c>
      <c r="K315" t="str">
        <v>2404181○</v>
      </c>
      <c r="L315" t="str">
        <v>○</v>
      </c>
      <c r="O315" s="35"/>
      <c r="P315" s="35"/>
      <c r="R315" s="11"/>
      <c r="S315" s="11"/>
    </row>
    <row r="316" spans="1:19" hidden="1" x14ac:dyDescent="0.15">
      <c r="A316">
        <v>2404035</v>
      </c>
      <c r="B316" t="str">
        <v>2-11</v>
      </c>
      <c r="C316" t="str">
        <v>MI AYE SOE MOE</v>
      </c>
      <c r="D316" s="35" t="str">
        <v>関西国際旅行・ホテル専門学校</v>
      </c>
      <c r="E316" s="35" t="str">
        <v>AO試験、ホテル学科</v>
      </c>
      <c r="F316" t="str">
        <v>合格</v>
      </c>
      <c r="G316" s="11">
        <v>45922</v>
      </c>
      <c r="H316" s="11">
        <v>45936</v>
      </c>
      <c r="I316">
        <v>0</v>
      </c>
      <c r="J316" t="str">
        <v>○</v>
      </c>
      <c r="K316" t="str">
        <v>2404035○</v>
      </c>
      <c r="L316" t="str">
        <v>○</v>
      </c>
      <c r="O316" s="35"/>
      <c r="P316" s="35"/>
      <c r="R316" s="11"/>
      <c r="S316" s="11"/>
    </row>
    <row r="317" spans="1:19" hidden="1" x14ac:dyDescent="0.15">
      <c r="A317">
        <v>2404056</v>
      </c>
      <c r="B317" t="str">
        <v>2-11</v>
      </c>
      <c r="C317" t="str">
        <v>MIN KYAW</v>
      </c>
      <c r="D317" s="35" t="str">
        <v>トヨタ神戸自動車大学校</v>
      </c>
      <c r="E317" s="35" t="str">
        <v>一般、国際自動車整備学科</v>
      </c>
      <c r="F317" t="str">
        <v>合格</v>
      </c>
      <c r="G317" s="11">
        <v>45927</v>
      </c>
      <c r="H317" s="11">
        <v>45933</v>
      </c>
      <c r="I317">
        <v>0</v>
      </c>
      <c r="J317" t="str">
        <v>○</v>
      </c>
      <c r="K317" t="str">
        <v>2404056○</v>
      </c>
      <c r="L317" t="str">
        <v>○</v>
      </c>
      <c r="O317" s="35"/>
      <c r="P317" s="35"/>
      <c r="R317" s="11"/>
      <c r="S317" s="11"/>
    </row>
    <row r="318" spans="1:19" hidden="1" x14ac:dyDescent="0.15">
      <c r="A318">
        <v>2404077</v>
      </c>
      <c r="B318" t="str">
        <v>2-11</v>
      </c>
      <c r="C318" t="str">
        <v>MD. ATIKUL ISLAM</v>
      </c>
      <c r="D318" s="35" t="str">
        <v>新潟国際自動車大学校</v>
      </c>
      <c r="E318" s="35" t="str">
        <v>AO試験、２級自動車整備学科</v>
      </c>
      <c r="F318" t="str">
        <v>合格</v>
      </c>
      <c r="G318" s="11">
        <v>45856</v>
      </c>
      <c r="H318" s="11">
        <v>45863</v>
      </c>
      <c r="I318">
        <v>0</v>
      </c>
      <c r="J318" t="str">
        <v>○</v>
      </c>
      <c r="K318" t="str">
        <v>2404077○</v>
      </c>
      <c r="L318" t="str">
        <v>○</v>
      </c>
      <c r="O318" s="35"/>
      <c r="P318" s="35"/>
      <c r="R318" s="11"/>
      <c r="S318" s="11"/>
    </row>
    <row r="319" spans="1:19" hidden="1" x14ac:dyDescent="0.15">
      <c r="A319">
        <v>2404096</v>
      </c>
      <c r="B319" t="str">
        <v>2-11</v>
      </c>
      <c r="C319" t="str">
        <v>MD MASHAYEL KHAN ANID</v>
      </c>
      <c r="D319" s="35" t="str">
        <v>新潟国際自動車大学校</v>
      </c>
      <c r="E319" s="35" t="str">
        <v>AO試験、２級自動車整備学科</v>
      </c>
      <c r="F319" t="str">
        <v>合格</v>
      </c>
      <c r="G319" s="11">
        <v>45856</v>
      </c>
      <c r="H319" s="11">
        <v>45863</v>
      </c>
      <c r="I319">
        <v>0</v>
      </c>
      <c r="J319" t="str">
        <v>○</v>
      </c>
      <c r="K319" t="str">
        <v>2404096○</v>
      </c>
      <c r="L319" t="str">
        <v>○</v>
      </c>
      <c r="O319" s="35"/>
      <c r="P319" s="35"/>
      <c r="R319" s="11"/>
      <c r="S319" s="11"/>
    </row>
    <row r="320" spans="1:19" hidden="1" x14ac:dyDescent="0.15">
      <c r="A320">
        <v>2404099</v>
      </c>
      <c r="B320" t="str">
        <v>2-11</v>
      </c>
      <c r="C320" t="str">
        <v>HOSAIN ARIF</v>
      </c>
      <c r="D320" s="35" t="str">
        <v>大阪キリスト教短期大学</v>
      </c>
      <c r="E320" s="35" t="str">
        <v>介護福祉別科</v>
      </c>
      <c r="F320" t="str">
        <v>辞退</v>
      </c>
      <c r="G320" s="11">
        <v>45901</v>
      </c>
      <c r="H320" s="11">
        <v>45916</v>
      </c>
      <c r="I320">
        <v>0</v>
      </c>
      <c r="J320">
        <v>0</v>
      </c>
      <c r="K320" t="str">
        <v>2404099</v>
      </c>
      <c r="L320" t="str">
        <v>○</v>
      </c>
      <c r="O320" s="35"/>
      <c r="P320" s="35"/>
      <c r="R320" s="11"/>
      <c r="S320" s="11"/>
    </row>
    <row r="321" spans="1:19" hidden="1" x14ac:dyDescent="0.15">
      <c r="A321">
        <v>2404099</v>
      </c>
      <c r="B321" t="str">
        <v>2-11</v>
      </c>
      <c r="C321" t="str">
        <v>HOSAIN ARIF</v>
      </c>
      <c r="D321" s="35" t="str">
        <v>芦屋大学</v>
      </c>
      <c r="E321" s="35" t="str">
        <v>自動車整備学科</v>
      </c>
      <c r="F321" t="str">
        <v>不合格</v>
      </c>
      <c r="G321" s="11">
        <v>45937</v>
      </c>
      <c r="H321" s="11">
        <v>46309</v>
      </c>
      <c r="I321">
        <v>0</v>
      </c>
      <c r="J321">
        <v>0</v>
      </c>
      <c r="K321" t="str">
        <v>2404099</v>
      </c>
      <c r="L321" t="str">
        <v>○</v>
      </c>
      <c r="O321" s="35"/>
      <c r="P321" s="35"/>
      <c r="R321" s="11"/>
      <c r="S321" s="11"/>
    </row>
    <row r="322" spans="1:19" hidden="1" x14ac:dyDescent="0.15">
      <c r="A322">
        <v>2404099</v>
      </c>
      <c r="B322" t="str">
        <v>2-11</v>
      </c>
      <c r="C322" t="str">
        <v>HOSAIN ARIF</v>
      </c>
      <c r="D322" s="35" t="str">
        <v>日本理工情報専門学校</v>
      </c>
      <c r="E322" s="35" t="str">
        <v>学校推薦、自動車整備科</v>
      </c>
      <c r="F322" t="str">
        <v>不合格</v>
      </c>
      <c r="G322" s="11">
        <v>45948</v>
      </c>
      <c r="H322" s="11">
        <v>46323</v>
      </c>
      <c r="I322">
        <v>0</v>
      </c>
      <c r="J322">
        <v>0</v>
      </c>
      <c r="K322" t="str">
        <v>2404099</v>
      </c>
      <c r="L322" t="str">
        <v>○</v>
      </c>
      <c r="O322" s="35"/>
      <c r="P322" s="35"/>
      <c r="R322" s="11"/>
      <c r="S322" s="11"/>
    </row>
    <row r="323" spans="1:19" hidden="1" x14ac:dyDescent="0.15">
      <c r="A323">
        <v>2404099</v>
      </c>
      <c r="B323" t="str">
        <v>2-11</v>
      </c>
      <c r="C323" t="str">
        <v>HOSAIN ARIF</v>
      </c>
      <c r="D323" s="35" t="str">
        <v>京都コンピュータ学院</v>
      </c>
      <c r="E323" s="35" t="str">
        <v>国際ICTビジネスコース</v>
      </c>
      <c r="F323" t="str">
        <v>合格</v>
      </c>
      <c r="G323" s="11">
        <v>45993</v>
      </c>
      <c r="H323" s="11">
        <v>46002</v>
      </c>
      <c r="I323">
        <v>0</v>
      </c>
      <c r="J323" t="str">
        <v>○</v>
      </c>
      <c r="K323" t="str">
        <v>2404099○</v>
      </c>
      <c r="L323" t="str">
        <v>○</v>
      </c>
      <c r="O323" s="35"/>
      <c r="P323" s="35"/>
      <c r="R323" s="11"/>
      <c r="S323" s="11"/>
    </row>
    <row r="324" spans="1:19" hidden="1" x14ac:dyDescent="0.15">
      <c r="A324">
        <v>2404112</v>
      </c>
      <c r="B324" t="str">
        <v>2-11</v>
      </c>
      <c r="C324" t="str">
        <v>HOSSEN JABER</v>
      </c>
      <c r="D324" s="35" t="str">
        <v>大阪キリスト教短期大学</v>
      </c>
      <c r="E324" s="35" t="str">
        <v>一般、介護福祉別科</v>
      </c>
      <c r="F324" t="str">
        <v>合格</v>
      </c>
      <c r="G324" s="11">
        <v>45901</v>
      </c>
      <c r="H324" s="11">
        <v>45916</v>
      </c>
      <c r="I324">
        <v>0</v>
      </c>
      <c r="J324" t="str">
        <v>○</v>
      </c>
      <c r="K324" t="str">
        <v>2404112○</v>
      </c>
      <c r="L324" t="str">
        <v>○</v>
      </c>
      <c r="O324" s="35"/>
      <c r="P324" s="35"/>
      <c r="R324" s="11"/>
      <c r="S324" s="11"/>
    </row>
    <row r="325" spans="1:19" hidden="1" x14ac:dyDescent="0.15">
      <c r="A325">
        <v>2404120</v>
      </c>
      <c r="B325" t="str">
        <v>2-11</v>
      </c>
      <c r="C325" t="str">
        <v>MAHBUB</v>
      </c>
      <c r="D325" s="35" t="str">
        <v>流通科学大学</v>
      </c>
      <c r="E325" s="35" t="str">
        <v>商学部経営学科</v>
      </c>
      <c r="F325" t="str">
        <v>合格</v>
      </c>
      <c r="G325" s="11">
        <v>45948</v>
      </c>
      <c r="H325" s="11">
        <v>45965</v>
      </c>
      <c r="I325">
        <v>0</v>
      </c>
      <c r="J325" t="str">
        <v>○</v>
      </c>
      <c r="K325" t="str">
        <v>2404120○</v>
      </c>
      <c r="L325" t="str">
        <v>○</v>
      </c>
      <c r="O325" s="35"/>
      <c r="P325" s="35"/>
      <c r="R325" s="11"/>
      <c r="S325" s="11"/>
    </row>
    <row r="326" spans="1:19" hidden="1" x14ac:dyDescent="0.15">
      <c r="A326">
        <v>2404121</v>
      </c>
      <c r="B326" t="str">
        <v>2-11</v>
      </c>
      <c r="C326" t="str">
        <v>AKASH MD</v>
      </c>
      <c r="D326" s="35" t="str">
        <v>流通科学大学</v>
      </c>
      <c r="E326" s="35" t="str">
        <v>商学部経営学科</v>
      </c>
      <c r="F326" t="str">
        <v>合格</v>
      </c>
      <c r="G326" s="11">
        <v>45948</v>
      </c>
      <c r="H326" s="11">
        <v>45965</v>
      </c>
      <c r="I326">
        <v>0</v>
      </c>
      <c r="J326" t="str">
        <v>○</v>
      </c>
      <c r="K326" t="str">
        <v>2404121○</v>
      </c>
      <c r="L326" t="str">
        <v>○</v>
      </c>
      <c r="O326" s="35"/>
      <c r="P326" s="35"/>
      <c r="R326" s="11"/>
      <c r="S326" s="11"/>
    </row>
    <row r="327" spans="1:19" hidden="1" x14ac:dyDescent="0.15">
      <c r="A327">
        <v>2404122</v>
      </c>
      <c r="B327" t="str">
        <v>2-11</v>
      </c>
      <c r="C327" t="str">
        <v>SHANTO MD MEHEDI HASAN</v>
      </c>
      <c r="D327" s="35" t="str">
        <v>関東工業自動車大学校</v>
      </c>
      <c r="E327" s="35" t="str">
        <v>一般、国際サービスエンジニア科　</v>
      </c>
      <c r="F327" t="str">
        <v>合格</v>
      </c>
      <c r="G327" s="11">
        <v>45910</v>
      </c>
      <c r="H327" s="11">
        <v>45930</v>
      </c>
      <c r="I327">
        <v>0</v>
      </c>
      <c r="J327" t="str">
        <v>○</v>
      </c>
      <c r="K327" t="str">
        <v>2404122○</v>
      </c>
      <c r="L327" t="str">
        <v>○</v>
      </c>
      <c r="O327" s="35"/>
      <c r="P327" s="35"/>
      <c r="R327" s="11"/>
      <c r="S327" s="11"/>
    </row>
    <row r="328" spans="1:19" hidden="1" x14ac:dyDescent="0.15">
      <c r="A328">
        <v>2404125</v>
      </c>
      <c r="B328" t="str">
        <v>2-11</v>
      </c>
      <c r="C328" t="str">
        <v>MD. EMRAN HOSSAIN</v>
      </c>
      <c r="D328" s="35" t="str">
        <v>流通科学大学</v>
      </c>
      <c r="E328" s="35" t="str">
        <v>商学部経営学科</v>
      </c>
      <c r="F328" t="str">
        <v>合格</v>
      </c>
      <c r="G328" s="11">
        <v>45948</v>
      </c>
      <c r="H328" s="11">
        <v>45965</v>
      </c>
      <c r="I328">
        <v>0</v>
      </c>
      <c r="J328" t="str">
        <v>○</v>
      </c>
      <c r="K328" t="str">
        <v>2404125○</v>
      </c>
      <c r="L328" t="str">
        <v>○</v>
      </c>
      <c r="O328" s="35"/>
      <c r="P328" s="35"/>
      <c r="R328" s="11"/>
      <c r="S328" s="11"/>
    </row>
    <row r="329" spans="1:19" hidden="1" x14ac:dyDescent="0.15">
      <c r="A329">
        <v>2404144</v>
      </c>
      <c r="B329" t="str">
        <v>2-11</v>
      </c>
      <c r="C329" t="str">
        <v>GURUNG MANISH</v>
      </c>
      <c r="D329" s="35" t="str">
        <v>神戸電子専門学校</v>
      </c>
      <c r="E329" s="35" t="str">
        <v>特別指定校推薦、国際コミュニケーション学科　</v>
      </c>
      <c r="F329" t="str">
        <v>合格</v>
      </c>
      <c r="G329" s="11">
        <v>45913</v>
      </c>
      <c r="H329" s="11">
        <v>45918</v>
      </c>
      <c r="I329">
        <v>0</v>
      </c>
      <c r="J329" t="str">
        <v>○</v>
      </c>
      <c r="K329" t="str">
        <v>2404144○</v>
      </c>
      <c r="L329" t="str">
        <v>○</v>
      </c>
      <c r="O329" s="35"/>
      <c r="P329" s="35"/>
      <c r="R329" s="11"/>
      <c r="S329" s="11"/>
    </row>
    <row r="330" spans="1:19" ht="13.5" customHeight="1" x14ac:dyDescent="0.15">
      <c r="A330">
        <v>2404160</v>
      </c>
      <c r="B330" t="str">
        <v>2-11</v>
      </c>
      <c r="C330" t="str">
        <v>AAKRITI THAPA</v>
      </c>
      <c r="D330" s="35" t="str">
        <v>岩谷学園よこはまITビジネス専門学校</v>
      </c>
      <c r="E330" s="35" t="str">
        <v>一般、情報ビジネス科</v>
      </c>
      <c r="F330" t="str">
        <v>合格</v>
      </c>
      <c r="G330" s="11">
        <v>45926</v>
      </c>
      <c r="H330" s="11">
        <v>45938</v>
      </c>
      <c r="I330">
        <v>0</v>
      </c>
      <c r="J330" t="str">
        <v>○</v>
      </c>
      <c r="K330" t="str">
        <v>2404160○</v>
      </c>
      <c r="L330" t="str">
        <v>○</v>
      </c>
      <c r="O330" s="35"/>
      <c r="P330" s="35"/>
      <c r="R330" s="11"/>
      <c r="S330" s="11"/>
    </row>
    <row r="331" spans="1:19" ht="13.5" customHeight="1" x14ac:dyDescent="0.15">
      <c r="A331">
        <v>2410003</v>
      </c>
      <c r="B331" t="str">
        <v>2-11</v>
      </c>
      <c r="C331" t="str">
        <v>高 興</v>
      </c>
      <c r="D331" s="35" t="str">
        <v>流通科学大学</v>
      </c>
      <c r="E331" s="35" t="str">
        <v>経済学部経済学科</v>
      </c>
      <c r="F331" t="str">
        <v>辞退</v>
      </c>
      <c r="G331" s="11">
        <v>46011</v>
      </c>
      <c r="H331" s="11">
        <v>46017</v>
      </c>
      <c r="I331">
        <v>0</v>
      </c>
      <c r="J331">
        <v>0</v>
      </c>
      <c r="K331" t="str">
        <v>2410003</v>
      </c>
      <c r="L331" t="str">
        <v>○</v>
      </c>
      <c r="O331" s="35"/>
      <c r="P331" s="35"/>
      <c r="R331" s="11"/>
      <c r="S331" s="11"/>
    </row>
    <row r="332" spans="1:19" hidden="1" x14ac:dyDescent="0.15">
      <c r="A332">
        <v>2410003</v>
      </c>
      <c r="B332" t="str">
        <v>2-11</v>
      </c>
      <c r="C332" t="str">
        <v>高 興</v>
      </c>
      <c r="D332" s="35" t="str">
        <v>神戸国際大学</v>
      </c>
      <c r="E332" s="35" t="str">
        <v>経済学部経済経営学科</v>
      </c>
      <c r="F332" t="str">
        <v>合格</v>
      </c>
      <c r="G332" s="11">
        <v>46005</v>
      </c>
      <c r="H332" s="11">
        <v>46016</v>
      </c>
      <c r="I332">
        <v>0</v>
      </c>
      <c r="J332" t="str">
        <v>○</v>
      </c>
      <c r="K332" t="str">
        <v>2410003○</v>
      </c>
      <c r="L332" t="str">
        <v>○</v>
      </c>
      <c r="O332" s="35"/>
      <c r="P332" s="35"/>
      <c r="R332" s="11"/>
      <c r="S332" s="11"/>
    </row>
    <row r="333" spans="1:19" hidden="1" x14ac:dyDescent="0.15">
      <c r="A333">
        <v>2404038</v>
      </c>
      <c r="B333" t="str">
        <v>2-12</v>
      </c>
      <c r="C333" t="str">
        <v>LIN LIN TUN</v>
      </c>
      <c r="D333" s="35">
        <v>0</v>
      </c>
      <c r="E333" s="35" t="str">
        <v>特定活動</v>
      </c>
      <c r="F333" t="str">
        <v>進学以外</v>
      </c>
      <c r="G333" s="11">
        <v>46038</v>
      </c>
      <c r="H333" s="11">
        <v>46070</v>
      </c>
      <c r="I333" t="str">
        <v>特定活動</v>
      </c>
      <c r="J333" t="str">
        <v>○</v>
      </c>
      <c r="K333" t="str">
        <v>2404038○</v>
      </c>
      <c r="L333" t="str">
        <v>○</v>
      </c>
      <c r="O333" s="35"/>
      <c r="P333" s="35"/>
      <c r="R333" s="11"/>
      <c r="S333" s="11"/>
    </row>
    <row r="334" spans="1:19" hidden="1" x14ac:dyDescent="0.15">
      <c r="A334">
        <v>2404057</v>
      </c>
      <c r="B334" t="str">
        <v>2-12</v>
      </c>
      <c r="C334" t="str">
        <v>NAN DAR HTAY</v>
      </c>
      <c r="D334" s="35">
        <v>0</v>
      </c>
      <c r="E334" s="35" t="str">
        <v>特定活動</v>
      </c>
      <c r="F334" t="str">
        <v>進学以外</v>
      </c>
      <c r="G334" s="11">
        <v>0</v>
      </c>
      <c r="H334" s="11">
        <v>46070</v>
      </c>
      <c r="I334" t="str">
        <v>特定活動</v>
      </c>
      <c r="J334">
        <v>0</v>
      </c>
      <c r="K334" t="str">
        <v>2404057</v>
      </c>
      <c r="L334" t="str">
        <v/>
      </c>
      <c r="O334" s="35"/>
      <c r="P334" s="35"/>
      <c r="R334" s="11"/>
      <c r="S334" s="11"/>
    </row>
    <row r="335" spans="1:19" ht="13.5" customHeight="1" x14ac:dyDescent="0.15">
      <c r="A335">
        <v>2404152</v>
      </c>
      <c r="B335" t="str">
        <v>2-12</v>
      </c>
      <c r="C335" t="str">
        <v>NIRAJ POKHAREL</v>
      </c>
      <c r="D335" s="35" t="str">
        <v>プロスペラ学院ビジネス専門学校</v>
      </c>
      <c r="E335" s="35">
        <v>0</v>
      </c>
      <c r="F335" t="str">
        <v>合格</v>
      </c>
      <c r="G335" s="11">
        <v>45930</v>
      </c>
      <c r="H335" s="11">
        <v>45938</v>
      </c>
      <c r="I335">
        <v>0</v>
      </c>
      <c r="J335" t="str">
        <v>○</v>
      </c>
      <c r="K335" t="str">
        <v>2404152○</v>
      </c>
      <c r="L335" t="str">
        <v>○</v>
      </c>
      <c r="O335" s="35"/>
      <c r="P335" s="35"/>
      <c r="R335" s="11"/>
      <c r="S335" s="11"/>
    </row>
    <row r="336" spans="1:19" hidden="1" x14ac:dyDescent="0.15">
      <c r="A336">
        <v>2404157</v>
      </c>
      <c r="B336" t="str">
        <v>2-12</v>
      </c>
      <c r="C336" t="str">
        <v>BOHARA NISHA</v>
      </c>
      <c r="D336" s="35" t="str">
        <v>関西国際旅行・ホテル専門学校</v>
      </c>
      <c r="E336" s="35" t="str">
        <v>ホテル学科</v>
      </c>
      <c r="F336" t="str">
        <v>合格</v>
      </c>
      <c r="G336" s="11">
        <v>46197</v>
      </c>
      <c r="H336" s="11">
        <v>46214</v>
      </c>
      <c r="I336">
        <v>0</v>
      </c>
      <c r="J336" t="str">
        <v>○</v>
      </c>
      <c r="K336" t="str">
        <v>2404157○</v>
      </c>
      <c r="L336" t="str">
        <v>○</v>
      </c>
      <c r="O336" s="35"/>
      <c r="P336" s="35"/>
      <c r="R336" s="11"/>
      <c r="S336" s="11"/>
    </row>
    <row r="337" spans="1:19" hidden="1" x14ac:dyDescent="0.15">
      <c r="A337">
        <v>2407001</v>
      </c>
      <c r="B337" t="str">
        <v>2-12</v>
      </c>
      <c r="C337" t="str">
        <v>陳 佳楽</v>
      </c>
      <c r="D337" s="35" t="str">
        <v>神戸国際大学</v>
      </c>
      <c r="E337" s="35" t="str">
        <v>経済学部経済経営学科</v>
      </c>
      <c r="F337" t="str">
        <v>合格</v>
      </c>
      <c r="G337" s="11">
        <v>45942</v>
      </c>
      <c r="H337" s="11">
        <v>45962</v>
      </c>
      <c r="I337">
        <v>0</v>
      </c>
      <c r="J337" t="str">
        <v>○</v>
      </c>
      <c r="K337" t="str">
        <v>2407001○</v>
      </c>
      <c r="L337" t="str">
        <v>○</v>
      </c>
      <c r="O337" s="35"/>
      <c r="P337" s="35"/>
      <c r="R337" s="11"/>
      <c r="S337" s="11"/>
    </row>
    <row r="338" spans="1:19" ht="13.5" customHeight="1" x14ac:dyDescent="0.15">
      <c r="A338">
        <v>2407011</v>
      </c>
      <c r="B338" t="str">
        <v>2-12</v>
      </c>
      <c r="C338" t="str">
        <v>MIN AUNG HTET OO</v>
      </c>
      <c r="D338" s="35">
        <v>0</v>
      </c>
      <c r="E338" s="35" t="str">
        <v>特定活動</v>
      </c>
      <c r="F338" t="str">
        <v>進学以外</v>
      </c>
      <c r="G338" s="11">
        <v>46038</v>
      </c>
      <c r="H338" s="11">
        <v>46070</v>
      </c>
      <c r="I338" t="str">
        <v>特定活動</v>
      </c>
      <c r="J338" t="str">
        <v>○</v>
      </c>
      <c r="K338" t="str">
        <v>2407011○</v>
      </c>
      <c r="L338" t="str">
        <v>○</v>
      </c>
      <c r="O338" s="35"/>
      <c r="P338" s="35"/>
      <c r="R338" s="11"/>
      <c r="S338" s="11"/>
    </row>
    <row r="339" spans="1:19" hidden="1" x14ac:dyDescent="0.15">
      <c r="A339">
        <v>2407022</v>
      </c>
      <c r="B339" t="str">
        <v>2-12</v>
      </c>
      <c r="C339" t="str">
        <v>SHWE SIN PHYOE</v>
      </c>
      <c r="D339" t="str">
        <v>流通科学大学</v>
      </c>
      <c r="E339" t="str">
        <v>観光学科、指定校推薦</v>
      </c>
      <c r="F339" t="str">
        <v>合格</v>
      </c>
      <c r="G339" s="11">
        <v>45948</v>
      </c>
      <c r="H339" s="11">
        <v>45965</v>
      </c>
      <c r="I339">
        <v>0</v>
      </c>
      <c r="J339" t="str">
        <v>○</v>
      </c>
      <c r="K339" t="str">
        <v>2407022○</v>
      </c>
      <c r="L339" t="str">
        <v>○</v>
      </c>
    </row>
    <row r="340" spans="1:19" hidden="1" x14ac:dyDescent="0.15">
      <c r="A340">
        <v>2407026</v>
      </c>
      <c r="B340" t="str">
        <v>2-12</v>
      </c>
      <c r="C340" t="str">
        <v>SU SU WIN</v>
      </c>
      <c r="D340" t="str">
        <v>愛甲学院専門学校</v>
      </c>
      <c r="E340" t="str">
        <v>AO試験</v>
      </c>
      <c r="F340" t="str">
        <v>合格</v>
      </c>
      <c r="G340" s="11">
        <v>45948</v>
      </c>
      <c r="H340" s="11">
        <v>45957</v>
      </c>
      <c r="I340">
        <v>0</v>
      </c>
      <c r="J340" t="str">
        <v>○</v>
      </c>
      <c r="K340" t="str">
        <v>2407026○</v>
      </c>
      <c r="L340" t="str">
        <v>○</v>
      </c>
    </row>
    <row r="341" spans="1:19" hidden="1" x14ac:dyDescent="0.15">
      <c r="A341">
        <v>2407031</v>
      </c>
      <c r="B341" t="str">
        <v>2-12</v>
      </c>
      <c r="C341" t="str">
        <v>AYE YADANAR MOE</v>
      </c>
      <c r="D341">
        <v>0</v>
      </c>
      <c r="E341" t="str">
        <v>特定活動</v>
      </c>
      <c r="F341" t="str">
        <v>進学以外</v>
      </c>
      <c r="G341" s="11">
        <v>46039</v>
      </c>
      <c r="H341" s="11">
        <v>46070</v>
      </c>
      <c r="I341" t="str">
        <v>特定活動</v>
      </c>
      <c r="J341">
        <v>0</v>
      </c>
      <c r="K341" t="str">
        <v>2407031</v>
      </c>
      <c r="L341" t="str">
        <v/>
      </c>
    </row>
    <row r="342" spans="1:19" hidden="1" x14ac:dyDescent="0.15">
      <c r="A342">
        <v>2407032</v>
      </c>
      <c r="B342" t="str">
        <v>2-12</v>
      </c>
      <c r="C342" t="str">
        <v>HEIN HTET ZAW</v>
      </c>
      <c r="D342" t="str">
        <v>ECC国際外語専門学校</v>
      </c>
      <c r="E342" t="str">
        <v>進学準備コース</v>
      </c>
      <c r="F342" t="str">
        <v>合格</v>
      </c>
      <c r="G342" s="11">
        <v>45990</v>
      </c>
      <c r="H342" s="11">
        <v>45993</v>
      </c>
      <c r="I342">
        <v>0</v>
      </c>
      <c r="J342" t="str">
        <v>○</v>
      </c>
      <c r="K342" t="str">
        <v>2407032○</v>
      </c>
      <c r="L342" t="str">
        <v>○</v>
      </c>
    </row>
    <row r="343" spans="1:19" hidden="1" x14ac:dyDescent="0.15">
      <c r="A343">
        <v>2407033</v>
      </c>
      <c r="B343" t="str">
        <v>2-12</v>
      </c>
      <c r="C343" t="str">
        <v>SABBIR SAJID AHMED</v>
      </c>
      <c r="D343" t="str">
        <v>東京工科自動車大学校世田谷校</v>
      </c>
      <c r="E343" t="str">
        <v>早期指定校推薦</v>
      </c>
      <c r="F343" t="str">
        <v>合格</v>
      </c>
      <c r="G343" s="11">
        <v>46233</v>
      </c>
      <c r="H343" s="11">
        <v>46266</v>
      </c>
      <c r="I343">
        <v>0</v>
      </c>
      <c r="J343" t="str">
        <v>○</v>
      </c>
      <c r="K343" t="str">
        <v>2407033○</v>
      </c>
      <c r="L343" t="str">
        <v>○</v>
      </c>
    </row>
    <row r="344" spans="1:19" hidden="1" x14ac:dyDescent="0.15">
      <c r="A344">
        <v>2407050</v>
      </c>
      <c r="B344" t="str">
        <v>2-12</v>
      </c>
      <c r="C344" t="str">
        <v>MIA ROMAN</v>
      </c>
      <c r="D344" t="str">
        <v>東京工科自動車大学校世田谷校</v>
      </c>
      <c r="E344" t="str">
        <v>自動車整備科</v>
      </c>
      <c r="F344" t="str">
        <v>不合格</v>
      </c>
      <c r="G344" s="11">
        <v>46282</v>
      </c>
      <c r="H344" s="11">
        <v>45954</v>
      </c>
      <c r="I344">
        <v>0</v>
      </c>
      <c r="J344">
        <v>0</v>
      </c>
      <c r="K344" t="str">
        <v>2407050</v>
      </c>
      <c r="L344" t="str">
        <v>○</v>
      </c>
    </row>
    <row r="345" spans="1:19" hidden="1" x14ac:dyDescent="0.15">
      <c r="A345">
        <v>2407050</v>
      </c>
      <c r="B345" t="str">
        <v>2-12</v>
      </c>
      <c r="C345" t="str">
        <v>MIA ROMAN</v>
      </c>
      <c r="D345" t="str">
        <v>ECC国際外語専門学校</v>
      </c>
      <c r="E345" t="str">
        <v>進学準備コース</v>
      </c>
      <c r="F345" t="str">
        <v>合格</v>
      </c>
      <c r="G345" s="11">
        <v>45962</v>
      </c>
      <c r="H345" s="11">
        <v>45971</v>
      </c>
      <c r="I345">
        <v>0</v>
      </c>
      <c r="J345" t="str">
        <v>○</v>
      </c>
      <c r="K345" t="str">
        <v>2407050○</v>
      </c>
      <c r="L345" t="str">
        <v>○</v>
      </c>
    </row>
    <row r="346" spans="1:19" hidden="1" x14ac:dyDescent="0.15">
      <c r="A346">
        <v>2407057</v>
      </c>
      <c r="B346" t="str">
        <v>2-12</v>
      </c>
      <c r="C346" t="str">
        <v>MIZAN MD</v>
      </c>
      <c r="D346" t="str">
        <v>東京工科自動車大学校世田谷校</v>
      </c>
      <c r="E346" t="str">
        <v>早期指定校推薦</v>
      </c>
      <c r="F346" t="str">
        <v>合格</v>
      </c>
      <c r="G346" s="11">
        <v>46233</v>
      </c>
      <c r="H346" s="11">
        <v>46266</v>
      </c>
      <c r="I346">
        <v>0</v>
      </c>
      <c r="J346" t="str">
        <v>○</v>
      </c>
      <c r="K346" t="str">
        <v>2407057○</v>
      </c>
      <c r="L346" t="str">
        <v>○</v>
      </c>
    </row>
    <row r="347" spans="1:19" hidden="1" x14ac:dyDescent="0.15">
      <c r="A347">
        <v>2407058</v>
      </c>
      <c r="B347" t="str">
        <v>2-12</v>
      </c>
      <c r="C347" t="str">
        <v>ISLAM SAIFUL</v>
      </c>
      <c r="D347" t="str">
        <v>東京工科自動車大学校世田谷校</v>
      </c>
      <c r="E347" t="str">
        <v>早期指定校推薦</v>
      </c>
      <c r="F347" t="str">
        <v>合格</v>
      </c>
      <c r="G347" s="11">
        <v>46233</v>
      </c>
      <c r="H347" s="11">
        <v>46266</v>
      </c>
      <c r="I347">
        <v>0</v>
      </c>
      <c r="J347" t="str">
        <v>○</v>
      </c>
      <c r="K347" t="str">
        <v>2407058○</v>
      </c>
      <c r="L347" t="str">
        <v>○</v>
      </c>
    </row>
    <row r="348" spans="1:19" hidden="1" x14ac:dyDescent="0.15">
      <c r="A348">
        <v>2407063</v>
      </c>
      <c r="B348" t="str">
        <v>2-12</v>
      </c>
      <c r="C348" t="str">
        <v>SUSMITA ARYAL</v>
      </c>
      <c r="D348" t="str">
        <v>愛甲学院専門学校</v>
      </c>
      <c r="E348" t="str">
        <v>AO試験</v>
      </c>
      <c r="F348" t="str">
        <v>合格</v>
      </c>
      <c r="G348" s="11">
        <v>45948</v>
      </c>
      <c r="H348" s="11">
        <v>45957</v>
      </c>
      <c r="I348">
        <v>0</v>
      </c>
      <c r="J348" t="str">
        <v>○</v>
      </c>
      <c r="K348" t="str">
        <v>2407063○</v>
      </c>
      <c r="L348" t="str">
        <v>○</v>
      </c>
    </row>
    <row r="349" spans="1:19" hidden="1" x14ac:dyDescent="0.15">
      <c r="A349">
        <v>2407065</v>
      </c>
      <c r="B349" t="str">
        <v>2-12</v>
      </c>
      <c r="C349" t="str">
        <v>MAGAR SANDESH SAMAL</v>
      </c>
      <c r="D349" t="str">
        <v>日本経済大学</v>
      </c>
      <c r="E349" t="str">
        <v>経済学部商学科、一般</v>
      </c>
      <c r="F349" t="str">
        <v>合格</v>
      </c>
      <c r="G349" s="11">
        <v>46004</v>
      </c>
      <c r="H349" s="11">
        <v>46013</v>
      </c>
      <c r="I349">
        <v>0</v>
      </c>
      <c r="J349" t="str">
        <v>○</v>
      </c>
      <c r="K349" t="str">
        <v>2407065○</v>
      </c>
      <c r="L349" t="str">
        <v>○</v>
      </c>
    </row>
    <row r="350" spans="1:19" hidden="1" x14ac:dyDescent="0.15">
      <c r="A350">
        <v>2407065</v>
      </c>
      <c r="B350" t="str">
        <v>2-12</v>
      </c>
      <c r="C350" t="str">
        <v>MAGAR SANDESH SAMAL</v>
      </c>
      <c r="D350" t="str">
        <v>愛甲学院専門学校</v>
      </c>
      <c r="E350" t="str">
        <v>国際学科</v>
      </c>
      <c r="F350" t="str">
        <v>不合格</v>
      </c>
      <c r="G350" s="11">
        <v>45976</v>
      </c>
      <c r="H350" s="11">
        <v>45986</v>
      </c>
      <c r="I350">
        <v>0</v>
      </c>
      <c r="J350">
        <v>0</v>
      </c>
      <c r="K350" t="str">
        <v>2407065</v>
      </c>
      <c r="L350" t="str">
        <v>○</v>
      </c>
    </row>
    <row r="351" spans="1:19" hidden="1" x14ac:dyDescent="0.15">
      <c r="A351">
        <v>2407065</v>
      </c>
      <c r="B351" t="str">
        <v>2-12</v>
      </c>
      <c r="C351" t="str">
        <v>MAGAR SANDESH SAMAL</v>
      </c>
      <c r="D351" t="str">
        <v>関西国際旅行・ホテル専門学校</v>
      </c>
      <c r="E351" t="str">
        <v>一般試験</v>
      </c>
      <c r="F351" t="str">
        <v>不合格</v>
      </c>
      <c r="G351" s="11">
        <v>45934</v>
      </c>
      <c r="H351" s="11">
        <v>45938</v>
      </c>
      <c r="I351">
        <v>0</v>
      </c>
      <c r="J351">
        <v>0</v>
      </c>
      <c r="K351" t="str">
        <v>2407065</v>
      </c>
      <c r="L351" t="str">
        <v>○</v>
      </c>
    </row>
    <row r="352" spans="1:19" hidden="1" x14ac:dyDescent="0.15">
      <c r="A352">
        <v>2407069</v>
      </c>
      <c r="B352" t="str">
        <v>2-12</v>
      </c>
      <c r="C352" t="str">
        <v>OLI REKHA</v>
      </c>
      <c r="D352" t="str">
        <v>東京豊島IT医療福祉専門学校</v>
      </c>
      <c r="E352" t="str">
        <v>情報ビジネス学科</v>
      </c>
      <c r="F352" t="str">
        <v>合格</v>
      </c>
      <c r="G352" s="11">
        <v>46197</v>
      </c>
      <c r="H352" s="11">
        <v>46211</v>
      </c>
      <c r="I352">
        <v>0</v>
      </c>
      <c r="J352" t="str">
        <v>○</v>
      </c>
      <c r="K352" t="str">
        <v>2407069○</v>
      </c>
      <c r="L352" t="str">
        <v>○</v>
      </c>
    </row>
    <row r="353" spans="1:12" hidden="1" x14ac:dyDescent="0.15">
      <c r="A353">
        <v>2407071</v>
      </c>
      <c r="B353" t="str">
        <v>2-12</v>
      </c>
      <c r="C353" t="str">
        <v>SHRESTHA ASMITA</v>
      </c>
      <c r="D353" t="str">
        <v>愛甲学院専門学校</v>
      </c>
      <c r="E353" t="str">
        <v>AO試験</v>
      </c>
      <c r="F353" t="str">
        <v>合格</v>
      </c>
      <c r="G353" s="11">
        <v>46261</v>
      </c>
      <c r="H353" s="11">
        <v>46298</v>
      </c>
      <c r="I353">
        <v>0</v>
      </c>
      <c r="J353" t="str">
        <v>○</v>
      </c>
      <c r="K353" t="str">
        <v>2407071○</v>
      </c>
      <c r="L353" t="str">
        <v>○</v>
      </c>
    </row>
    <row r="354" spans="1:12" ht="13.5" customHeight="1" x14ac:dyDescent="0.15">
      <c r="A354">
        <v>2407072</v>
      </c>
      <c r="B354" t="str">
        <v>2-12</v>
      </c>
      <c r="C354" t="str">
        <v>GURUNG YUG</v>
      </c>
      <c r="D354" t="str">
        <v>流通科学大学</v>
      </c>
      <c r="E354" t="str">
        <v>一般試験</v>
      </c>
      <c r="F354" t="str">
        <v>結果待ち</v>
      </c>
      <c r="G354" s="11">
        <v>46011</v>
      </c>
      <c r="H354" s="11">
        <v>46017</v>
      </c>
      <c r="I354">
        <v>0</v>
      </c>
      <c r="J354">
        <v>0</v>
      </c>
      <c r="K354" t="str">
        <v>2407072</v>
      </c>
      <c r="L354" t="str">
        <v>○</v>
      </c>
    </row>
    <row r="355" spans="1:12" hidden="1" x14ac:dyDescent="0.15">
      <c r="A355">
        <v>2407072</v>
      </c>
      <c r="B355" t="str">
        <v>2-12</v>
      </c>
      <c r="C355" t="str">
        <v>GURUNG YUG</v>
      </c>
      <c r="D355" t="str">
        <v>神戸親和大学</v>
      </c>
      <c r="E355" t="str">
        <v>一般試験</v>
      </c>
      <c r="F355" t="str">
        <v>合格</v>
      </c>
      <c r="G355" s="11">
        <v>45997</v>
      </c>
      <c r="H355" s="11">
        <v>46006</v>
      </c>
      <c r="I355">
        <v>0</v>
      </c>
      <c r="J355" t="str">
        <v>○</v>
      </c>
      <c r="K355" t="str">
        <v>2407072○</v>
      </c>
      <c r="L355" t="str">
        <v>○</v>
      </c>
    </row>
    <row r="356" spans="1:12" ht="13.5" customHeight="1" x14ac:dyDescent="0.15">
      <c r="A356">
        <v>2407072</v>
      </c>
      <c r="B356" t="str">
        <v>2-12</v>
      </c>
      <c r="C356" t="str">
        <v>GURUNG YUG</v>
      </c>
      <c r="D356" t="str">
        <v>神戸国際大学</v>
      </c>
      <c r="E356" t="str">
        <v>一般試験</v>
      </c>
      <c r="F356" t="str">
        <v>不合格</v>
      </c>
      <c r="G356" s="11">
        <v>45942</v>
      </c>
      <c r="H356" s="11">
        <v>45962</v>
      </c>
      <c r="I356">
        <v>0</v>
      </c>
      <c r="J356">
        <v>0</v>
      </c>
      <c r="K356" t="str">
        <v>2407072</v>
      </c>
      <c r="L356" t="str">
        <v>○</v>
      </c>
    </row>
    <row r="357" spans="1:12" ht="13.5" customHeight="1" x14ac:dyDescent="0.15">
      <c r="A357">
        <v>2407076</v>
      </c>
      <c r="B357" t="str">
        <v>2-12</v>
      </c>
      <c r="C357" t="str">
        <v>RAI SUSMITA</v>
      </c>
      <c r="D357">
        <v>0</v>
      </c>
      <c r="E357" t="str">
        <v>３月帰国予定</v>
      </c>
      <c r="F357" t="str">
        <v>進学以外</v>
      </c>
      <c r="G357" s="11">
        <v>0</v>
      </c>
      <c r="H357" s="11">
        <v>46070</v>
      </c>
      <c r="I357" t="str">
        <v>帰国予定</v>
      </c>
      <c r="J357">
        <v>0</v>
      </c>
      <c r="K357" t="str">
        <v>2407076</v>
      </c>
      <c r="L357" t="str">
        <v/>
      </c>
    </row>
    <row r="358" spans="1:12" ht="13.5" customHeight="1" x14ac:dyDescent="0.15">
      <c r="A358">
        <v>2404005</v>
      </c>
      <c r="B358" t="str">
        <v>2-13</v>
      </c>
      <c r="C358" t="str">
        <v>林 衛健</v>
      </c>
      <c r="D358" t="str">
        <v>大阪産業大学</v>
      </c>
      <c r="E358">
        <v>0</v>
      </c>
      <c r="F358" t="str">
        <v>合格</v>
      </c>
      <c r="G358" s="11">
        <v>45941</v>
      </c>
      <c r="H358" s="11">
        <v>45962</v>
      </c>
      <c r="I358">
        <v>0</v>
      </c>
      <c r="J358" t="str">
        <v>○</v>
      </c>
      <c r="K358" t="str">
        <v>2404005○</v>
      </c>
      <c r="L358" t="str">
        <v>○</v>
      </c>
    </row>
    <row r="359" spans="1:12" ht="13.5" customHeight="1" x14ac:dyDescent="0.15">
      <c r="A359">
        <v>2404036</v>
      </c>
      <c r="B359" t="str">
        <v>2-13</v>
      </c>
      <c r="C359" t="str">
        <v>KAUNG WAI YAN</v>
      </c>
      <c r="D359">
        <v>0</v>
      </c>
      <c r="E359" t="str">
        <v>特定活動</v>
      </c>
      <c r="F359" t="str">
        <v>進学以外</v>
      </c>
      <c r="G359" s="11">
        <v>0</v>
      </c>
      <c r="H359" s="11">
        <v>0</v>
      </c>
      <c r="I359" t="str">
        <v>特定活動</v>
      </c>
      <c r="J359">
        <v>0</v>
      </c>
      <c r="K359" t="str">
        <v>2404036</v>
      </c>
      <c r="L359" t="str">
        <v/>
      </c>
    </row>
    <row r="360" spans="1:12" ht="13.5" customHeight="1" x14ac:dyDescent="0.15">
      <c r="A360">
        <v>2404041</v>
      </c>
      <c r="B360" t="str">
        <v>2-13</v>
      </c>
      <c r="C360" t="str">
        <v>SAI KAUNG KHANT AUNG</v>
      </c>
      <c r="D360" t="str">
        <v>日本工科大学校</v>
      </c>
      <c r="E360">
        <v>0</v>
      </c>
      <c r="F360" t="str">
        <v>不合格</v>
      </c>
      <c r="G360" s="11">
        <v>0</v>
      </c>
      <c r="H360" s="11">
        <v>0</v>
      </c>
      <c r="I360">
        <v>0</v>
      </c>
      <c r="J360">
        <v>0</v>
      </c>
      <c r="K360" t="str">
        <v>2404041</v>
      </c>
      <c r="L360">
        <v>0</v>
      </c>
    </row>
    <row r="361" spans="1:12" ht="13.5" customHeight="1" x14ac:dyDescent="0.15">
      <c r="A361">
        <v>2404041</v>
      </c>
      <c r="B361" t="str">
        <v>2-13</v>
      </c>
      <c r="C361" t="str">
        <v>SAI KAUNG KHANT AUNG</v>
      </c>
      <c r="D361" t="str">
        <v>関西国際旅行・ホテル専門学校</v>
      </c>
      <c r="E361">
        <v>0</v>
      </c>
      <c r="F361" t="str">
        <v>不合格</v>
      </c>
      <c r="G361" s="11">
        <v>0</v>
      </c>
      <c r="H361" s="11">
        <v>0</v>
      </c>
      <c r="I361">
        <v>0</v>
      </c>
      <c r="J361">
        <v>0</v>
      </c>
      <c r="K361" t="str">
        <v>2404041</v>
      </c>
      <c r="L361">
        <v>0</v>
      </c>
    </row>
    <row r="362" spans="1:12" ht="13.5" customHeight="1" x14ac:dyDescent="0.15">
      <c r="A362">
        <v>2404041</v>
      </c>
      <c r="B362" t="str">
        <v>2-13</v>
      </c>
      <c r="C362" t="str">
        <v>SAI KAUNG KHANT AUNG</v>
      </c>
      <c r="D362" t="str">
        <v>日本コンピュータ専門学校</v>
      </c>
      <c r="E362" t="str">
        <v>ITスペシャリスト科</v>
      </c>
      <c r="F362" t="str">
        <v>不合格</v>
      </c>
      <c r="G362" s="11">
        <v>45976</v>
      </c>
      <c r="H362" s="11">
        <v>45987</v>
      </c>
      <c r="I362">
        <v>0</v>
      </c>
      <c r="J362">
        <v>0</v>
      </c>
      <c r="K362" t="str">
        <v>2404041</v>
      </c>
      <c r="L362">
        <v>0</v>
      </c>
    </row>
    <row r="363" spans="1:12" x14ac:dyDescent="0.15">
      <c r="A363">
        <v>2404041</v>
      </c>
      <c r="B363" t="str">
        <v>2-13</v>
      </c>
      <c r="C363" t="str">
        <v>SAI KAUNG KHANT AUNG</v>
      </c>
      <c r="D363" t="str">
        <v>阪神自動車航空鉄道専門学校</v>
      </c>
      <c r="E363">
        <v>0</v>
      </c>
      <c r="F363" t="str">
        <v>不合格</v>
      </c>
      <c r="G363" s="11">
        <v>45991</v>
      </c>
      <c r="H363" s="11">
        <v>0</v>
      </c>
      <c r="I363">
        <v>0</v>
      </c>
      <c r="J363">
        <v>0</v>
      </c>
      <c r="K363" t="str">
        <v>2404041</v>
      </c>
      <c r="L363">
        <v>0</v>
      </c>
    </row>
    <row r="364" spans="1:12" hidden="1" x14ac:dyDescent="0.15">
      <c r="A364">
        <v>2404041</v>
      </c>
      <c r="B364" t="str">
        <v>2-13</v>
      </c>
      <c r="C364" t="str">
        <v>SAI KAUNG KHANT AUNG</v>
      </c>
      <c r="D364" t="str">
        <v>国際外語・観光・エアライン専門学校</v>
      </c>
      <c r="E364" t="str">
        <v>日本語ビジネス科（１年）</v>
      </c>
      <c r="F364" t="str">
        <v>辞退</v>
      </c>
      <c r="G364" s="11">
        <v>46044</v>
      </c>
      <c r="H364" s="11">
        <v>0</v>
      </c>
      <c r="I364">
        <v>0</v>
      </c>
      <c r="J364">
        <v>0</v>
      </c>
      <c r="K364" t="str">
        <v>2404041</v>
      </c>
      <c r="L364">
        <v>0</v>
      </c>
    </row>
    <row r="365" spans="1:12" hidden="1" x14ac:dyDescent="0.15">
      <c r="A365">
        <v>2404041</v>
      </c>
      <c r="B365" t="str">
        <v>2-13</v>
      </c>
      <c r="C365" t="str">
        <v>SAI KAUNG KHANT AUNG</v>
      </c>
      <c r="D365">
        <v>0</v>
      </c>
      <c r="E365" t="str">
        <v>特定活動</v>
      </c>
      <c r="F365" t="str">
        <v>進学以外</v>
      </c>
      <c r="G365" s="11">
        <v>0</v>
      </c>
      <c r="H365" s="11">
        <v>0</v>
      </c>
      <c r="I365" t="str">
        <v>特定活動</v>
      </c>
      <c r="J365">
        <v>0</v>
      </c>
      <c r="K365" t="str">
        <v>2404041</v>
      </c>
      <c r="L365">
        <v>0</v>
      </c>
    </row>
    <row r="366" spans="1:12" hidden="1" x14ac:dyDescent="0.15">
      <c r="A366">
        <v>2404055</v>
      </c>
      <c r="B366" t="str">
        <v>2-13</v>
      </c>
      <c r="C366" t="str">
        <v>HAN ZIN PHYO</v>
      </c>
      <c r="D366">
        <v>0</v>
      </c>
      <c r="E366" t="str">
        <v>特定活動</v>
      </c>
      <c r="F366" t="str">
        <v>進学以外</v>
      </c>
      <c r="G366" s="11">
        <v>0</v>
      </c>
      <c r="H366" s="11">
        <v>0</v>
      </c>
      <c r="I366" t="str">
        <v>特定活動</v>
      </c>
      <c r="J366" t="str">
        <v>○</v>
      </c>
      <c r="K366" t="str">
        <v>2404055○</v>
      </c>
      <c r="L366" t="str">
        <v>○</v>
      </c>
    </row>
    <row r="367" spans="1:12" hidden="1" x14ac:dyDescent="0.15">
      <c r="A367">
        <v>2404066</v>
      </c>
      <c r="B367" t="str">
        <v>2-13</v>
      </c>
      <c r="C367" t="str">
        <v>SIFAT</v>
      </c>
      <c r="D367" t="str">
        <v>東京国際ビジネスカレッジ神戸校</v>
      </c>
      <c r="E367">
        <v>0</v>
      </c>
      <c r="F367" t="str">
        <v>合格</v>
      </c>
      <c r="G367" s="11">
        <v>0</v>
      </c>
      <c r="H367" s="11">
        <v>45904</v>
      </c>
      <c r="I367">
        <v>0</v>
      </c>
      <c r="J367" t="str">
        <v>○</v>
      </c>
      <c r="K367" t="str">
        <v>2404066○</v>
      </c>
      <c r="L367" t="str">
        <v>○</v>
      </c>
    </row>
    <row r="368" spans="1:12" hidden="1" x14ac:dyDescent="0.15">
      <c r="A368">
        <v>2404071</v>
      </c>
      <c r="B368" t="str">
        <v>2-13</v>
      </c>
      <c r="C368" t="str">
        <v>RAIHAN INTISHAR BIN</v>
      </c>
      <c r="D368" t="str">
        <v>兵庫大学</v>
      </c>
      <c r="E368">
        <v>0</v>
      </c>
      <c r="F368" t="str">
        <v>合格</v>
      </c>
      <c r="G368">
        <v>45949</v>
      </c>
      <c r="H368">
        <v>45962</v>
      </c>
      <c r="I368">
        <v>0</v>
      </c>
      <c r="J368" t="str">
        <v>○</v>
      </c>
      <c r="K368" t="str">
        <v>2404071○</v>
      </c>
      <c r="L368" t="str">
        <v>○</v>
      </c>
    </row>
    <row r="369" spans="1:12" hidden="1" x14ac:dyDescent="0.15">
      <c r="A369">
        <v>2404072</v>
      </c>
      <c r="B369" t="str">
        <v>2-13</v>
      </c>
      <c r="C369" t="str">
        <v>FAHAD TAZNUR AHAMED</v>
      </c>
      <c r="D369" t="str">
        <v>新潟国際自動車大学校</v>
      </c>
      <c r="E369" t="str">
        <v>AO試験</v>
      </c>
      <c r="F369" t="str">
        <v>合格</v>
      </c>
      <c r="G369">
        <v>0</v>
      </c>
      <c r="H369">
        <v>45863</v>
      </c>
      <c r="I369">
        <v>0</v>
      </c>
      <c r="J369" t="str">
        <v>○</v>
      </c>
      <c r="K369" t="str">
        <v>2404072○</v>
      </c>
      <c r="L369" t="str">
        <v>○</v>
      </c>
    </row>
    <row r="370" spans="1:12" hidden="1" x14ac:dyDescent="0.15">
      <c r="A370">
        <v>2404079</v>
      </c>
      <c r="B370" t="str">
        <v>2-13</v>
      </c>
      <c r="C370" t="str">
        <v>JESMIN AKTER</v>
      </c>
      <c r="D370" t="str">
        <v>中央情報専門学校</v>
      </c>
      <c r="E370" t="str">
        <v>AO試験</v>
      </c>
      <c r="F370" t="str">
        <v>合格</v>
      </c>
      <c r="G370">
        <v>0</v>
      </c>
      <c r="H370">
        <v>45899</v>
      </c>
      <c r="I370">
        <v>0</v>
      </c>
      <c r="J370" t="str">
        <v>○</v>
      </c>
      <c r="K370" t="str">
        <v>2404079○</v>
      </c>
      <c r="L370" t="str">
        <v>○</v>
      </c>
    </row>
    <row r="371" spans="1:12" hidden="1" x14ac:dyDescent="0.15">
      <c r="A371">
        <v>2404101</v>
      </c>
      <c r="B371" t="str">
        <v>2-13</v>
      </c>
      <c r="C371" t="str">
        <v>SAEM MD</v>
      </c>
      <c r="D371" t="str">
        <v>駿台ITビジネスカレッジ</v>
      </c>
      <c r="E371">
        <v>0</v>
      </c>
      <c r="F371" t="str">
        <v>不合格</v>
      </c>
      <c r="G371">
        <v>0</v>
      </c>
      <c r="H371">
        <v>0</v>
      </c>
      <c r="I371">
        <v>0</v>
      </c>
      <c r="J371">
        <v>0</v>
      </c>
      <c r="K371" t="str">
        <v>2404101</v>
      </c>
      <c r="L371" t="str">
        <v>○</v>
      </c>
    </row>
    <row r="372" spans="1:12" hidden="1" x14ac:dyDescent="0.15">
      <c r="A372">
        <v>2404101</v>
      </c>
      <c r="B372" t="str">
        <v>2-13</v>
      </c>
      <c r="C372" t="str">
        <v>SAEM MD</v>
      </c>
      <c r="D372" t="str">
        <v>新潟国際自動車大学校</v>
      </c>
      <c r="E372">
        <v>0</v>
      </c>
      <c r="F372" t="str">
        <v>合格</v>
      </c>
      <c r="G372">
        <v>0</v>
      </c>
      <c r="H372">
        <v>45916</v>
      </c>
      <c r="I372">
        <v>0</v>
      </c>
      <c r="J372" t="str">
        <v>○</v>
      </c>
      <c r="K372" t="str">
        <v>2404101○</v>
      </c>
      <c r="L372" t="str">
        <v>○</v>
      </c>
    </row>
    <row r="373" spans="1:12" hidden="1" x14ac:dyDescent="0.15">
      <c r="A373">
        <v>2404135</v>
      </c>
      <c r="B373" t="str">
        <v>2-13</v>
      </c>
      <c r="C373" t="str">
        <v>ROSHAN GAUTAM</v>
      </c>
      <c r="D373" t="str">
        <v>中央美術学園</v>
      </c>
      <c r="E373" t="str">
        <v>指定校推薦</v>
      </c>
      <c r="F373" t="str">
        <v>合格</v>
      </c>
      <c r="G373">
        <v>0</v>
      </c>
      <c r="H373">
        <v>45889</v>
      </c>
      <c r="I373">
        <v>0</v>
      </c>
      <c r="J373" t="str">
        <v>○</v>
      </c>
      <c r="K373" t="str">
        <v>2404135○</v>
      </c>
      <c r="L373" t="str">
        <v>○</v>
      </c>
    </row>
    <row r="374" spans="1:12" hidden="1" x14ac:dyDescent="0.15">
      <c r="A374">
        <v>2404147</v>
      </c>
      <c r="B374" t="str">
        <v>2-13</v>
      </c>
      <c r="C374" t="str">
        <v>TARA KUMARI BOHARA</v>
      </c>
      <c r="D374" t="str">
        <v>関西国際旅行・ホテル専門学校</v>
      </c>
      <c r="E374">
        <v>0</v>
      </c>
      <c r="F374" t="str">
        <v>不合格</v>
      </c>
      <c r="G374">
        <v>0</v>
      </c>
      <c r="H374">
        <v>0</v>
      </c>
      <c r="I374">
        <v>0</v>
      </c>
      <c r="J374">
        <v>0</v>
      </c>
      <c r="K374" t="str">
        <v>2404147</v>
      </c>
      <c r="L374" t="str">
        <v>○</v>
      </c>
    </row>
    <row r="375" spans="1:12" hidden="1" x14ac:dyDescent="0.15">
      <c r="A375">
        <v>2404147</v>
      </c>
      <c r="B375" t="str">
        <v>2-13</v>
      </c>
      <c r="C375" t="str">
        <v>TARA KUMARI BOHARA</v>
      </c>
      <c r="D375" t="str">
        <v>専門学校アートカレッジ神戸</v>
      </c>
      <c r="E375" t="str">
        <v>AO試験</v>
      </c>
      <c r="F375" t="str">
        <v>合格</v>
      </c>
      <c r="G375">
        <v>0</v>
      </c>
      <c r="H375">
        <v>45889</v>
      </c>
      <c r="I375">
        <v>0</v>
      </c>
      <c r="J375" t="str">
        <v>○</v>
      </c>
      <c r="K375" t="str">
        <v>2404147○</v>
      </c>
      <c r="L375" t="str">
        <v>○</v>
      </c>
    </row>
    <row r="376" spans="1:12" hidden="1" x14ac:dyDescent="0.15">
      <c r="A376">
        <v>2404161</v>
      </c>
      <c r="B376" t="str">
        <v>2-13</v>
      </c>
      <c r="C376" t="str">
        <v>SHRESTHA ROJINA</v>
      </c>
      <c r="D376" t="str">
        <v>専門学校アートカレッジ神戸</v>
      </c>
      <c r="E376" t="str">
        <v>AO試験</v>
      </c>
      <c r="F376" t="str">
        <v>合格</v>
      </c>
      <c r="G376">
        <v>0</v>
      </c>
      <c r="H376">
        <v>45853</v>
      </c>
      <c r="I376">
        <v>0</v>
      </c>
      <c r="J376" t="str">
        <v>○</v>
      </c>
      <c r="K376" t="str">
        <v>2404161○</v>
      </c>
      <c r="L376" t="str">
        <v>○</v>
      </c>
    </row>
    <row r="377" spans="1:12" hidden="1" x14ac:dyDescent="0.15">
      <c r="A377">
        <v>2404167</v>
      </c>
      <c r="B377" t="str">
        <v>2-13</v>
      </c>
      <c r="C377" t="str">
        <v>ANUSHA PURI</v>
      </c>
      <c r="D377" t="str">
        <v>中央美術学園</v>
      </c>
      <c r="E377" t="str">
        <v>指定校推薦</v>
      </c>
      <c r="F377" t="str">
        <v>合格</v>
      </c>
      <c r="G377">
        <v>0</v>
      </c>
      <c r="H377">
        <v>45889</v>
      </c>
      <c r="I377">
        <v>0</v>
      </c>
      <c r="J377" t="str">
        <v>○</v>
      </c>
      <c r="K377" t="str">
        <v>2404167○</v>
      </c>
      <c r="L377" t="str">
        <v>○</v>
      </c>
    </row>
    <row r="378" spans="1:12" hidden="1" x14ac:dyDescent="0.15">
      <c r="A378">
        <v>2404168</v>
      </c>
      <c r="B378" t="str">
        <v>2-13</v>
      </c>
      <c r="C378" t="str">
        <v>LAMICHHANE BHUWANESHOWARI</v>
      </c>
      <c r="D378" t="str">
        <v>関西国際旅行・ホテル専門学校</v>
      </c>
      <c r="E378">
        <v>0</v>
      </c>
      <c r="F378" t="str">
        <v>不合格</v>
      </c>
      <c r="G378">
        <v>0</v>
      </c>
      <c r="H378">
        <v>0</v>
      </c>
      <c r="I378">
        <v>0</v>
      </c>
      <c r="J378">
        <v>0</v>
      </c>
      <c r="K378" t="str">
        <v>2404168</v>
      </c>
      <c r="L378" t="str">
        <v>○</v>
      </c>
    </row>
    <row r="379" spans="1:12" hidden="1" x14ac:dyDescent="0.15">
      <c r="A379">
        <v>2404168</v>
      </c>
      <c r="B379" t="str">
        <v>2-13</v>
      </c>
      <c r="C379" t="str">
        <v>LAMICHHANE BHUWANESHOWARI</v>
      </c>
      <c r="D379" t="str">
        <v>専門学校アートカレッジ神戸</v>
      </c>
      <c r="E379" t="str">
        <v>AO試験</v>
      </c>
      <c r="F379" t="str">
        <v>合格</v>
      </c>
      <c r="G379">
        <v>0</v>
      </c>
      <c r="H379">
        <v>45889</v>
      </c>
      <c r="I379">
        <v>0</v>
      </c>
      <c r="J379" t="str">
        <v>○</v>
      </c>
      <c r="K379" t="str">
        <v>2404168○</v>
      </c>
      <c r="L379" t="str">
        <v>○</v>
      </c>
    </row>
    <row r="380" spans="1:12" hidden="1" x14ac:dyDescent="0.15">
      <c r="A380">
        <v>2407034</v>
      </c>
      <c r="B380" t="str">
        <v>2-13</v>
      </c>
      <c r="C380" t="str">
        <v>MD JAHID PRODHANIA</v>
      </c>
      <c r="D380" t="str">
        <v>東京テクニカルカレッジ中野校</v>
      </c>
      <c r="E380" t="str">
        <v>AO試験</v>
      </c>
      <c r="F380" t="str">
        <v>不合格</v>
      </c>
      <c r="G380">
        <v>0</v>
      </c>
      <c r="H380">
        <v>0</v>
      </c>
      <c r="I380">
        <v>0</v>
      </c>
      <c r="J380">
        <v>0</v>
      </c>
      <c r="K380" t="str">
        <v>2407034</v>
      </c>
      <c r="L380" t="str">
        <v>○</v>
      </c>
    </row>
    <row r="381" spans="1:12" hidden="1" x14ac:dyDescent="0.15">
      <c r="A381">
        <v>2407034</v>
      </c>
      <c r="B381" t="str">
        <v>2-13</v>
      </c>
      <c r="C381" t="str">
        <v>MD JAHID PRODHANIA</v>
      </c>
      <c r="D381" t="str">
        <v>東京テクニカルカレッジ中野校</v>
      </c>
      <c r="E381" t="str">
        <v>一般試験（再受験）</v>
      </c>
      <c r="F381" t="str">
        <v>不合格</v>
      </c>
      <c r="G381">
        <v>0</v>
      </c>
      <c r="H381">
        <v>0</v>
      </c>
      <c r="I381">
        <v>0</v>
      </c>
      <c r="J381">
        <v>0</v>
      </c>
      <c r="K381" t="str">
        <v>2407034</v>
      </c>
      <c r="L381" t="str">
        <v>○</v>
      </c>
    </row>
    <row r="382" spans="1:12" hidden="1" x14ac:dyDescent="0.15">
      <c r="A382">
        <v>2407034</v>
      </c>
      <c r="B382" t="str">
        <v>2-13</v>
      </c>
      <c r="C382" t="str">
        <v>MD JAHID PRODHANIA</v>
      </c>
      <c r="D382" t="str">
        <v>関西国際旅行・ホテル専門学校</v>
      </c>
      <c r="E382">
        <v>0</v>
      </c>
      <c r="F382" t="str">
        <v>不合格</v>
      </c>
      <c r="G382">
        <v>45955</v>
      </c>
      <c r="H382">
        <v>45959</v>
      </c>
      <c r="I382">
        <v>0</v>
      </c>
      <c r="J382">
        <v>0</v>
      </c>
      <c r="K382" t="str">
        <v>2407034</v>
      </c>
      <c r="L382" t="str">
        <v>○</v>
      </c>
    </row>
    <row r="383" spans="1:12" hidden="1" x14ac:dyDescent="0.15">
      <c r="A383">
        <v>2407034</v>
      </c>
      <c r="B383" t="str">
        <v>2-13</v>
      </c>
      <c r="C383" t="str">
        <v>MD JAHID PRODHANIA</v>
      </c>
      <c r="D383" t="str">
        <v>エール学園</v>
      </c>
      <c r="E383" t="str">
        <v>一般試験</v>
      </c>
      <c r="F383" t="str">
        <v>合格</v>
      </c>
      <c r="G383">
        <v>45969</v>
      </c>
      <c r="H383">
        <v>45978</v>
      </c>
      <c r="I383">
        <v>0</v>
      </c>
      <c r="J383" t="str">
        <v>○</v>
      </c>
      <c r="K383" t="str">
        <v>2407034○</v>
      </c>
      <c r="L383" t="str">
        <v>○</v>
      </c>
    </row>
    <row r="384" spans="1:12" hidden="1" x14ac:dyDescent="0.15">
      <c r="A384">
        <v>2407045</v>
      </c>
      <c r="B384" t="str">
        <v>2-13</v>
      </c>
      <c r="C384" t="str">
        <v>RATUL TANVIR HASAN</v>
      </c>
      <c r="D384" t="str">
        <v>東京テクニカルカレッジ中野校</v>
      </c>
      <c r="E384" t="str">
        <v>AO試験</v>
      </c>
      <c r="F384" t="str">
        <v>合格</v>
      </c>
      <c r="G384">
        <v>0</v>
      </c>
      <c r="H384">
        <v>45875</v>
      </c>
      <c r="I384">
        <v>0</v>
      </c>
      <c r="J384" t="str">
        <v>○</v>
      </c>
      <c r="K384" t="str">
        <v>2407045○</v>
      </c>
      <c r="L384" t="str">
        <v>○</v>
      </c>
    </row>
    <row r="385" spans="1:12" ht="13.5" customHeight="1" x14ac:dyDescent="0.15">
      <c r="A385">
        <v>2407046</v>
      </c>
      <c r="B385" t="str">
        <v>2-13</v>
      </c>
      <c r="C385" t="str">
        <v>DEBNATH EMON</v>
      </c>
      <c r="D385" t="str">
        <v>名古屋経済大学</v>
      </c>
      <c r="E385" t="str">
        <v xml:space="preserve">                                 </v>
      </c>
      <c r="F385" t="str">
        <v>合格</v>
      </c>
      <c r="G385" s="11">
        <v>45948</v>
      </c>
      <c r="H385" s="11">
        <v>45965</v>
      </c>
      <c r="I385">
        <v>0</v>
      </c>
      <c r="J385" t="str">
        <v>○</v>
      </c>
      <c r="K385" t="str">
        <v>2407046○</v>
      </c>
      <c r="L385" t="str">
        <v>○</v>
      </c>
    </row>
    <row r="386" spans="1:12" x14ac:dyDescent="0.15">
      <c r="A386">
        <v>2407059</v>
      </c>
      <c r="B386" t="str">
        <v>2-13</v>
      </c>
      <c r="C386" t="str">
        <v>MIA MD RAHIM</v>
      </c>
      <c r="D386" t="str">
        <v>日本経済大学</v>
      </c>
      <c r="E386">
        <v>0</v>
      </c>
      <c r="F386" t="str">
        <v>合格</v>
      </c>
      <c r="G386">
        <v>45941</v>
      </c>
      <c r="H386">
        <v>45951</v>
      </c>
      <c r="I386">
        <v>0</v>
      </c>
      <c r="J386" t="str">
        <v>○</v>
      </c>
      <c r="K386" t="str">
        <v>2407059○</v>
      </c>
      <c r="L386" t="str">
        <v>○</v>
      </c>
    </row>
    <row r="387" spans="1:12" hidden="1" x14ac:dyDescent="0.15">
      <c r="A387">
        <v>2407073</v>
      </c>
      <c r="B387" t="str">
        <v>2-13</v>
      </c>
      <c r="C387" t="str">
        <v>HIMAL THAPA</v>
      </c>
      <c r="D387" t="str">
        <v>専門学校アートカレッジ神戸</v>
      </c>
      <c r="E387" t="str">
        <v>AO試験</v>
      </c>
      <c r="F387" t="str">
        <v>合格</v>
      </c>
      <c r="G387" s="11">
        <v>0</v>
      </c>
      <c r="H387" s="11">
        <v>45853</v>
      </c>
      <c r="I387">
        <v>0</v>
      </c>
      <c r="J387" t="str">
        <v>○</v>
      </c>
      <c r="K387" t="str">
        <v>2407073○</v>
      </c>
      <c r="L387" t="str">
        <v>○</v>
      </c>
    </row>
    <row r="388" spans="1:12" x14ac:dyDescent="0.15">
      <c r="A388">
        <v>2501003</v>
      </c>
      <c r="B388" t="str">
        <v>2-13</v>
      </c>
      <c r="C388" t="str">
        <v>DANG PHI HUNG</v>
      </c>
      <c r="D388">
        <v>0</v>
      </c>
      <c r="E388" t="str">
        <v>就職希望</v>
      </c>
      <c r="F388" t="str">
        <v>進学以外</v>
      </c>
      <c r="G388">
        <v>0</v>
      </c>
      <c r="H388">
        <v>0</v>
      </c>
      <c r="I388" t="str">
        <v>就職</v>
      </c>
      <c r="J388">
        <v>0</v>
      </c>
      <c r="K388" t="str">
        <v>2501003</v>
      </c>
      <c r="L388" t="str">
        <v/>
      </c>
    </row>
    <row r="389" spans="1:12" x14ac:dyDescent="0.15">
      <c r="A389">
        <v>2510001</v>
      </c>
      <c r="B389" t="str">
        <v>1-9</v>
      </c>
      <c r="C389" t="str">
        <v>康 力文</v>
      </c>
      <c r="D389" t="str">
        <v>甲陽音楽＆ダンス専門学校</v>
      </c>
      <c r="E389">
        <v>0</v>
      </c>
      <c r="F389" t="str">
        <v>結果待ち</v>
      </c>
      <c r="G389">
        <v>46368</v>
      </c>
      <c r="H389">
        <v>46046</v>
      </c>
      <c r="I389">
        <v>0</v>
      </c>
      <c r="J389">
        <v>0</v>
      </c>
      <c r="K389" t="str">
        <v>2510001</v>
      </c>
      <c r="L389" t="str">
        <v/>
      </c>
    </row>
  </sheetData>
  <sheetProtection autoFilter="0"/>
  <autoFilter ref="A6:L387" xr:uid="{F267345F-691E-4231-9D8D-25F290B8AFB8}">
    <filterColumn colId="9">
      <customFilters>
        <customFilter operator="notEqual" val=" "/>
      </customFilters>
    </filterColumn>
    <filterColumn colId="11">
      <filters blank="1">
        <filter val="0"/>
      </filters>
    </filterColumn>
  </autoFilter>
  <phoneticPr fontId="1"/>
  <conditionalFormatting sqref="A8:C1001">
    <cfRule type="expression" dxfId="5" priority="4">
      <formula>$A7=$A8</formula>
    </cfRule>
  </conditionalFormatting>
  <conditionalFormatting sqref="A7:L300 A301:V338 A339:L1000 G338:H367">
    <cfRule type="expression" dxfId="4" priority="5">
      <formula>$A7=$A8</formula>
    </cfRule>
  </conditionalFormatting>
  <conditionalFormatting sqref="A7:L300 A301:V338 G338:H367 A339:L1000">
    <cfRule type="expression" dxfId="3" priority="6">
      <formula>$A7&lt;&gt;$A8</formula>
    </cfRule>
  </conditionalFormatting>
  <conditionalFormatting sqref="D7:J1000">
    <cfRule type="expression" dxfId="2" priority="3">
      <formula>D7=0</formula>
    </cfRule>
  </conditionalFormatting>
  <conditionalFormatting sqref="L301:N338">
    <cfRule type="expression" dxfId="1" priority="2">
      <formula>$A300=$A301</formula>
    </cfRule>
  </conditionalFormatting>
  <conditionalFormatting sqref="O301:U338">
    <cfRule type="expression" dxfId="0" priority="1">
      <formula>O301=0</formula>
    </cfRule>
  </conditionalFormatting>
  <pageMargins left="0" right="0" top="0" bottom="0" header="0" footer="0"/>
  <pageSetup paperSize="9" scale="92" fitToHeight="0" orientation="landscape"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84881-A03E-4326-B5D8-30F6352C266C}">
  <dimension ref="A1:U246"/>
  <sheetViews>
    <sheetView zoomScale="200" zoomScaleNormal="200" workbookViewId="0">
      <pane ySplit="6" topLeftCell="A7" activePane="bottomLeft" state="frozen"/>
      <selection pane="bottomLeft" activeCell="C102" sqref="C102"/>
    </sheetView>
  </sheetViews>
  <sheetFormatPr defaultRowHeight="13.5" x14ac:dyDescent="0.15"/>
  <cols>
    <col min="3" max="3" width="33.75" bestFit="1" customWidth="1"/>
    <col min="4" max="4" width="11.375" customWidth="1"/>
    <col min="5" max="5" width="15.5" customWidth="1"/>
    <col min="6" max="6" width="8.125" hidden="1" customWidth="1"/>
    <col min="7" max="7" width="8.125" customWidth="1"/>
    <col min="8" max="8" width="33.875" hidden="1" customWidth="1"/>
    <col min="9" max="9" width="9.625" customWidth="1"/>
    <col min="10" max="10" width="15.375" customWidth="1"/>
    <col min="11" max="15" width="11.125" hidden="1" customWidth="1"/>
    <col min="16" max="22" width="19.5" customWidth="1"/>
    <col min="24" max="24" width="17" customWidth="1"/>
    <col min="25" max="25" width="11.125" bestFit="1" customWidth="1"/>
    <col min="26" max="29" width="6.25" bestFit="1" customWidth="1"/>
    <col min="30" max="37" width="5.125" bestFit="1" customWidth="1"/>
    <col min="38" max="38" width="5.75" bestFit="1" customWidth="1"/>
  </cols>
  <sheetData>
    <row r="1" spans="1:21" x14ac:dyDescent="0.15">
      <c r="A1" t="str">
        <f>進路状況入力シート!A1</f>
        <v>卒業予定人数：240名</v>
      </c>
    </row>
    <row r="2" spans="1:21" x14ac:dyDescent="0.15">
      <c r="A2" t="str">
        <f>進路状況入力シート!A2</f>
        <v>進学確定人数：216／217名（99.5%)</v>
      </c>
    </row>
    <row r="3" spans="1:21" x14ac:dyDescent="0.15">
      <c r="A3" t="str">
        <f>進路状況入力シート!A3</f>
        <v>進学以外の人数：23名</v>
      </c>
    </row>
    <row r="4" spans="1:21" x14ac:dyDescent="0.15">
      <c r="C4" s="48"/>
    </row>
    <row r="5" spans="1:21" x14ac:dyDescent="0.15">
      <c r="K5" s="9">
        <v>45991</v>
      </c>
      <c r="L5" s="9">
        <v>46022</v>
      </c>
      <c r="M5" s="9">
        <v>46053</v>
      </c>
      <c r="N5" s="9">
        <v>46081</v>
      </c>
      <c r="O5" s="9">
        <v>46112</v>
      </c>
    </row>
    <row r="6" spans="1:21" x14ac:dyDescent="0.15">
      <c r="A6" s="3" t="s">
        <v>428</v>
      </c>
      <c r="B6" s="3" t="s">
        <v>430</v>
      </c>
      <c r="C6" s="3" t="s">
        <v>429</v>
      </c>
      <c r="D6" s="3" t="s">
        <v>718</v>
      </c>
      <c r="E6" s="3" t="s">
        <v>431</v>
      </c>
      <c r="F6" s="3" t="s">
        <v>491</v>
      </c>
      <c r="G6" s="3" t="s">
        <v>492</v>
      </c>
      <c r="H6" s="3" t="s">
        <v>433</v>
      </c>
      <c r="I6" s="3" t="s">
        <v>625</v>
      </c>
      <c r="J6" s="3" t="s">
        <v>490</v>
      </c>
      <c r="K6" s="3" t="s">
        <v>27</v>
      </c>
      <c r="L6" s="21" t="s">
        <v>28</v>
      </c>
      <c r="M6" s="21" t="s">
        <v>29</v>
      </c>
      <c r="N6" s="21" t="s">
        <v>30</v>
      </c>
      <c r="O6" s="21" t="s">
        <v>31</v>
      </c>
      <c r="P6" s="3" t="s">
        <v>731</v>
      </c>
      <c r="Q6" s="3"/>
      <c r="R6" s="3"/>
      <c r="S6" s="3"/>
      <c r="T6" s="3"/>
      <c r="U6" s="3"/>
    </row>
    <row r="7" spans="1:21" x14ac:dyDescent="0.15">
      <c r="A7" s="32">
        <v>2404012</v>
      </c>
      <c r="B7" s="30" t="str">
        <f>VLOOKUP(T_学生別進路[[#This Row],[学籍番号]],進路状況入力シート!A:B,2,FALSE)</f>
        <v>2-1</v>
      </c>
      <c r="C7" s="49" t="str">
        <f>VLOOKUP(T_学生別進路[[#This Row],[学籍番号]],進路状況入力シート!A:C,3,FALSE)</f>
        <v>KAUNG KHANT KYAW</v>
      </c>
      <c r="D7" s="30" t="str">
        <f>IF(AND(T_学生別進路[[#This Row],[進路確定]]="○",T_学生別進路[[#This Row],[進学希望フラグ]]=1),"○","")</f>
        <v/>
      </c>
      <c r="E7" s="30" t="str">
        <f>_xlfn.IFNA(RIGHT(VLOOKUP(T_学生別進路[[#This Row],[学籍番号]]&amp;"○",進路状況入力シート!K:K,1,FALSE),1),"")</f>
        <v/>
      </c>
      <c r="F7" s="30" t="str">
        <f>IF(T_学生別進路[[#This Row],[進学希望フラグ]]=0,"",IF(T_学生別進路[[#This Row],[進路確定]]="○",1,0))</f>
        <v/>
      </c>
      <c r="G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7" s="30" t="str">
        <f>_xlfn.XLOOKUP(T_学生別進路[[#This Row],[学籍番号]]&amp;"○",進路状況入力シート!K:K,進路状況入力シート!D:D,"",0,1)</f>
        <v/>
      </c>
      <c r="I7" s="39"/>
      <c r="J7" s="31"/>
      <c r="K7" s="30">
        <f>IF(T_学生別進路[[#This Row],[合格時期]]="",0,IF(T_学生別進路[[#This Row],[合格時期]]&lt;K$5,1,0))</f>
        <v>0</v>
      </c>
      <c r="L7" s="30">
        <f>IF(T_学生別進路[[#This Row],[合格時期]]="",0,IF(T_学生別進路[[#This Row],[合格時期]]&lt;L$5,1,0))</f>
        <v>0</v>
      </c>
      <c r="M7" s="30">
        <f>IF(T_学生別進路[[#This Row],[合格時期]]="",0,IF(T_学生別進路[[#This Row],[合格時期]]&lt;M$5,1,0))</f>
        <v>0</v>
      </c>
      <c r="N7" s="30">
        <f>IF(T_学生別進路[[#This Row],[合格時期]]="",0,IF(T_学生別進路[[#This Row],[合格時期]]&lt;N$5,1,0))</f>
        <v>0</v>
      </c>
      <c r="O7" s="30">
        <f>IF(T_学生別進路[[#This Row],[合格時期]]="",0,IF(T_学生別進路[[#This Row],[合格時期]]&lt;O$5,1,0))</f>
        <v>0</v>
      </c>
      <c r="P7" s="30" t="s">
        <v>735</v>
      </c>
      <c r="Q7" s="3"/>
      <c r="R7" s="3"/>
      <c r="S7" s="3"/>
      <c r="T7" s="3"/>
      <c r="U7" s="3"/>
    </row>
    <row r="8" spans="1:21" hidden="1" x14ac:dyDescent="0.15">
      <c r="A8" s="32">
        <v>2404021</v>
      </c>
      <c r="B8" s="30" t="str">
        <f>VLOOKUP(T_学生別進路[[#This Row],[学籍番号]],進路状況入力シート!A:B,2,FALSE)</f>
        <v>2-1</v>
      </c>
      <c r="C8" s="30" t="str">
        <f>VLOOKUP(T_学生別進路[[#This Row],[学籍番号]],進路状況入力シート!A:C,3,FALSE)</f>
        <v>NANG PHWAY WADI OO</v>
      </c>
      <c r="D8" s="30" t="str">
        <f>IF(AND(T_学生別進路[[#This Row],[進路確定]]="○",T_学生別進路[[#This Row],[進学希望フラグ]]=1),"○","")</f>
        <v>○</v>
      </c>
      <c r="E8" s="30" t="str">
        <f>_xlfn.IFNA(RIGHT(VLOOKUP(T_学生別進路[[#This Row],[学籍番号]]&amp;"○",進路状況入力シート!K:K,1,FALSE),1),"")</f>
        <v>○</v>
      </c>
      <c r="F8" s="30">
        <f>IF(T_学生別進路[[#This Row],[進学希望フラグ]]=0,"",IF(T_学生別進路[[#This Row],[進路確定]]="○",1,0))</f>
        <v>1</v>
      </c>
      <c r="G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 s="30" t="str">
        <f>_xlfn.XLOOKUP(T_学生別進路[[#This Row],[学籍番号]]&amp;"○",進路状況入力シート!K:K,進路状況入力シート!D:D,"",0,1)</f>
        <v>大阪モード学園</v>
      </c>
      <c r="I8" s="39" t="s">
        <v>627</v>
      </c>
      <c r="J8" s="31">
        <v>45962</v>
      </c>
      <c r="K8" s="30">
        <f>IF(T_学生別進路[[#This Row],[合格時期]]="",0,IF(T_学生別進路[[#This Row],[合格時期]]&lt;K$5,1,0))</f>
        <v>1</v>
      </c>
      <c r="L8" s="30">
        <f>IF(T_学生別進路[[#This Row],[合格時期]]="",0,IF(T_学生別進路[[#This Row],[合格時期]]&lt;L$5,1,0))</f>
        <v>1</v>
      </c>
      <c r="M8" s="30">
        <f>IF(T_学生別進路[[#This Row],[合格時期]]="",0,IF(T_学生別進路[[#This Row],[合格時期]]&lt;M$5,1,0))</f>
        <v>1</v>
      </c>
      <c r="N8" s="30">
        <f>IF(T_学生別進路[[#This Row],[合格時期]]="",0,IF(T_学生別進路[[#This Row],[合格時期]]&lt;N$5,1,0))</f>
        <v>1</v>
      </c>
      <c r="O8" s="30">
        <f>IF(T_学生別進路[[#This Row],[合格時期]]="",0,IF(T_学生別進路[[#This Row],[合格時期]]&lt;O$5,1,0))</f>
        <v>1</v>
      </c>
      <c r="P8" s="30"/>
      <c r="Q8" s="3"/>
      <c r="R8" s="3"/>
      <c r="S8" s="3"/>
      <c r="T8" s="3"/>
      <c r="U8" s="3"/>
    </row>
    <row r="9" spans="1:21" hidden="1" x14ac:dyDescent="0.15">
      <c r="A9" s="32">
        <v>2404022</v>
      </c>
      <c r="B9" s="30" t="str">
        <f>VLOOKUP(T_学生別進路[[#This Row],[学籍番号]],進路状況入力シート!A:B,2,FALSE)</f>
        <v>2-1</v>
      </c>
      <c r="C9" s="30" t="str">
        <f>VLOOKUP(T_学生別進路[[#This Row],[学籍番号]],進路状況入力シート!A:C,3,FALSE)</f>
        <v>THIRI MAY</v>
      </c>
      <c r="D9" s="30" t="str">
        <f>IF(AND(T_学生別進路[[#This Row],[進路確定]]="○",T_学生別進路[[#This Row],[進学希望フラグ]]=1),"○","")</f>
        <v>○</v>
      </c>
      <c r="E9" s="30" t="str">
        <f>_xlfn.IFNA(RIGHT(VLOOKUP(T_学生別進路[[#This Row],[学籍番号]]&amp;"○",進路状況入力シート!K:K,1,FALSE),1),"")</f>
        <v>○</v>
      </c>
      <c r="F9" s="30">
        <f>IF(T_学生別進路[[#This Row],[進学希望フラグ]]=0,"",IF(T_学生別進路[[#This Row],[進路確定]]="○",1,0))</f>
        <v>1</v>
      </c>
      <c r="G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 s="30" t="str">
        <f>_xlfn.XLOOKUP(T_学生別進路[[#This Row],[学籍番号]]&amp;"○",進路状況入力シート!K:K,進路状況入力シート!D:D,"",0,1)</f>
        <v>神戸松蔭大学</v>
      </c>
      <c r="I9" s="39" t="s">
        <v>626</v>
      </c>
      <c r="J9" s="31">
        <v>45992</v>
      </c>
      <c r="K9" s="30">
        <f>IF(T_学生別進路[[#This Row],[合格時期]]="",0,IF(T_学生別進路[[#This Row],[合格時期]]&lt;K$5,1,0))</f>
        <v>0</v>
      </c>
      <c r="L9" s="30">
        <f>IF(T_学生別進路[[#This Row],[合格時期]]="",0,IF(T_学生別進路[[#This Row],[合格時期]]&lt;L$5,1,0))</f>
        <v>1</v>
      </c>
      <c r="M9" s="30">
        <f>IF(T_学生別進路[[#This Row],[合格時期]]="",0,IF(T_学生別進路[[#This Row],[合格時期]]&lt;M$5,1,0))</f>
        <v>1</v>
      </c>
      <c r="N9" s="30">
        <f>IF(T_学生別進路[[#This Row],[合格時期]]="",0,IF(T_学生別進路[[#This Row],[合格時期]]&lt;N$5,1,0))</f>
        <v>1</v>
      </c>
      <c r="O9" s="30">
        <f>IF(T_学生別進路[[#This Row],[合格時期]]="",0,IF(T_学生別進路[[#This Row],[合格時期]]&lt;O$5,1,0))</f>
        <v>1</v>
      </c>
      <c r="P9" s="30"/>
      <c r="Q9" s="3"/>
      <c r="R9" s="3"/>
      <c r="S9" s="3"/>
      <c r="T9" s="3"/>
      <c r="U9" s="3"/>
    </row>
    <row r="10" spans="1:21" hidden="1" x14ac:dyDescent="0.15">
      <c r="A10" s="32">
        <v>2404025</v>
      </c>
      <c r="B10" s="30" t="str">
        <f>VLOOKUP(T_学生別進路[[#This Row],[学籍番号]],進路状況入力シート!A:B,2,FALSE)</f>
        <v>2-1</v>
      </c>
      <c r="C10" s="30" t="str">
        <f>VLOOKUP(T_学生別進路[[#This Row],[学籍番号]],進路状況入力シート!A:C,3,FALSE)</f>
        <v>MIN THIHA</v>
      </c>
      <c r="D10" s="30" t="str">
        <f>IF(AND(T_学生別進路[[#This Row],[進路確定]]="○",T_学生別進路[[#This Row],[進学希望フラグ]]=1),"○","")</f>
        <v>○</v>
      </c>
      <c r="E10" s="30" t="str">
        <f>_xlfn.IFNA(RIGHT(VLOOKUP(T_学生別進路[[#This Row],[学籍番号]]&amp;"○",進路状況入力シート!K:K,1,FALSE),1),"")</f>
        <v>○</v>
      </c>
      <c r="F10" s="30">
        <f>IF(T_学生別進路[[#This Row],[進学希望フラグ]]=0,"",IF(T_学生別進路[[#This Row],[進路確定]]="○",1,0))</f>
        <v>1</v>
      </c>
      <c r="G1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 s="30" t="str">
        <f>_xlfn.XLOOKUP(T_学生別進路[[#This Row],[学籍番号]]&amp;"○",進路状況入力シート!K:K,進路状況入力シート!D:D,"",0,1)</f>
        <v>大阪産業大学</v>
      </c>
      <c r="I10" s="39" t="s">
        <v>627</v>
      </c>
      <c r="J10" s="31">
        <v>45992</v>
      </c>
      <c r="K10" s="30">
        <f>IF(T_学生別進路[[#This Row],[合格時期]]="",0,IF(T_学生別進路[[#This Row],[合格時期]]&lt;K$5,1,0))</f>
        <v>0</v>
      </c>
      <c r="L10" s="30">
        <f>IF(T_学生別進路[[#This Row],[合格時期]]="",0,IF(T_学生別進路[[#This Row],[合格時期]]&lt;L$5,1,0))</f>
        <v>1</v>
      </c>
      <c r="M10" s="30">
        <f>IF(T_学生別進路[[#This Row],[合格時期]]="",0,IF(T_学生別進路[[#This Row],[合格時期]]&lt;M$5,1,0))</f>
        <v>1</v>
      </c>
      <c r="N10" s="30">
        <f>IF(T_学生別進路[[#This Row],[合格時期]]="",0,IF(T_学生別進路[[#This Row],[合格時期]]&lt;N$5,1,0))</f>
        <v>1</v>
      </c>
      <c r="O10" s="30">
        <f>IF(T_学生別進路[[#This Row],[合格時期]]="",0,IF(T_学生別進路[[#This Row],[合格時期]]&lt;O$5,1,0))</f>
        <v>1</v>
      </c>
      <c r="P10" s="30"/>
      <c r="Q10" s="3"/>
      <c r="R10" s="3"/>
      <c r="S10" s="3"/>
      <c r="T10" s="3"/>
      <c r="U10" s="3"/>
    </row>
    <row r="11" spans="1:21" hidden="1" x14ac:dyDescent="0.15">
      <c r="A11" s="32">
        <v>2404027</v>
      </c>
      <c r="B11" s="30" t="str">
        <f>VLOOKUP(T_学生別進路[[#This Row],[学籍番号]],進路状況入力シート!A:B,2,FALSE)</f>
        <v>2-1</v>
      </c>
      <c r="C11" s="30" t="str">
        <f>VLOOKUP(T_学生別進路[[#This Row],[学籍番号]],進路状況入力シート!A:C,3,FALSE)</f>
        <v>PHYO SI THU</v>
      </c>
      <c r="D11" s="30" t="str">
        <f>IF(AND(T_学生別進路[[#This Row],[進路確定]]="○",T_学生別進路[[#This Row],[進学希望フラグ]]=1),"○","")</f>
        <v>○</v>
      </c>
      <c r="E11" s="30" t="str">
        <f>_xlfn.IFNA(RIGHT(VLOOKUP(T_学生別進路[[#This Row],[学籍番号]]&amp;"○",進路状況入力シート!K:K,1,FALSE),1),"")</f>
        <v>○</v>
      </c>
      <c r="F11" s="30">
        <f>IF(T_学生別進路[[#This Row],[進学希望フラグ]]=0,"",IF(T_学生別進路[[#This Row],[進路確定]]="○",1,0))</f>
        <v>1</v>
      </c>
      <c r="G1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 s="30" t="str">
        <f>_xlfn.XLOOKUP(T_学生別進路[[#This Row],[学籍番号]]&amp;"○",進路状況入力シート!K:K,進路状況入力シート!D:D,"",0,1)</f>
        <v>東京テクニカルカレッジ</v>
      </c>
      <c r="I11" s="39" t="s">
        <v>626</v>
      </c>
      <c r="J11" s="31">
        <v>45962</v>
      </c>
      <c r="K11" s="30">
        <f>IF(T_学生別進路[[#This Row],[合格時期]]="",0,IF(T_学生別進路[[#This Row],[合格時期]]&lt;K$5,1,0))</f>
        <v>1</v>
      </c>
      <c r="L11" s="30">
        <f>IF(T_学生別進路[[#This Row],[合格時期]]="",0,IF(T_学生別進路[[#This Row],[合格時期]]&lt;L$5,1,0))</f>
        <v>1</v>
      </c>
      <c r="M11" s="30">
        <f>IF(T_学生別進路[[#This Row],[合格時期]]="",0,IF(T_学生別進路[[#This Row],[合格時期]]&lt;M$5,1,0))</f>
        <v>1</v>
      </c>
      <c r="N11" s="30">
        <f>IF(T_学生別進路[[#This Row],[合格時期]]="",0,IF(T_学生別進路[[#This Row],[合格時期]]&lt;N$5,1,0))</f>
        <v>1</v>
      </c>
      <c r="O11" s="30">
        <f>IF(T_学生別進路[[#This Row],[合格時期]]="",0,IF(T_学生別進路[[#This Row],[合格時期]]&lt;O$5,1,0))</f>
        <v>1</v>
      </c>
      <c r="P11" s="30"/>
      <c r="Q11" s="3"/>
      <c r="R11" s="3"/>
      <c r="S11" s="3"/>
      <c r="T11" s="3"/>
      <c r="U11" s="3"/>
    </row>
    <row r="12" spans="1:21" hidden="1" x14ac:dyDescent="0.15">
      <c r="A12" s="32">
        <v>2404031</v>
      </c>
      <c r="B12" s="30" t="str">
        <f>VLOOKUP(T_学生別進路[[#This Row],[学籍番号]],進路状況入力シート!A:B,2,FALSE)</f>
        <v>2-1</v>
      </c>
      <c r="C12" s="30" t="str">
        <f>VLOOKUP(T_学生別進路[[#This Row],[学籍番号]],進路状況入力シート!A:C,3,FALSE)</f>
        <v>NWAY NWAY TUN</v>
      </c>
      <c r="D12" s="30" t="str">
        <f>IF(AND(T_学生別進路[[#This Row],[進路確定]]="○",T_学生別進路[[#This Row],[進学希望フラグ]]=1),"○","")</f>
        <v>○</v>
      </c>
      <c r="E12" s="30" t="str">
        <f>_xlfn.IFNA(RIGHT(VLOOKUP(T_学生別進路[[#This Row],[学籍番号]]&amp;"○",進路状況入力シート!K:K,1,FALSE),1),"")</f>
        <v>○</v>
      </c>
      <c r="F12" s="30">
        <f>IF(T_学生別進路[[#This Row],[進学希望フラグ]]=0,"",IF(T_学生別進路[[#This Row],[進路確定]]="○",1,0))</f>
        <v>1</v>
      </c>
      <c r="G1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 s="30" t="str">
        <f>_xlfn.XLOOKUP(T_学生別進路[[#This Row],[学籍番号]]&amp;"○",進路状況入力シート!K:K,進路状況入力シート!D:D,"",0,1)</f>
        <v>東京テクニカルカレッジ</v>
      </c>
      <c r="I12" s="30"/>
      <c r="J12" s="31">
        <v>45931</v>
      </c>
      <c r="K12" s="30">
        <f>IF(T_学生別進路[[#This Row],[合格時期]]="",0,IF(T_学生別進路[[#This Row],[合格時期]]&lt;K$5,1,0))</f>
        <v>1</v>
      </c>
      <c r="L12" s="30">
        <f>IF(T_学生別進路[[#This Row],[合格時期]]="",0,IF(T_学生別進路[[#This Row],[合格時期]]&lt;L$5,1,0))</f>
        <v>1</v>
      </c>
      <c r="M12" s="30">
        <f>IF(T_学生別進路[[#This Row],[合格時期]]="",0,IF(T_学生別進路[[#This Row],[合格時期]]&lt;M$5,1,0))</f>
        <v>1</v>
      </c>
      <c r="N12" s="30">
        <f>IF(T_学生別進路[[#This Row],[合格時期]]="",0,IF(T_学生別進路[[#This Row],[合格時期]]&lt;N$5,1,0))</f>
        <v>1</v>
      </c>
      <c r="O12" s="30">
        <f>IF(T_学生別進路[[#This Row],[合格時期]]="",0,IF(T_学生別進路[[#This Row],[合格時期]]&lt;O$5,1,0))</f>
        <v>1</v>
      </c>
      <c r="P12" s="30"/>
      <c r="Q12" s="3"/>
      <c r="R12" s="3"/>
      <c r="S12" s="3"/>
      <c r="T12" s="3"/>
      <c r="U12" s="3"/>
    </row>
    <row r="13" spans="1:21" hidden="1" x14ac:dyDescent="0.15">
      <c r="A13" s="32">
        <v>2404042</v>
      </c>
      <c r="B13" s="30" t="str">
        <f>VLOOKUP(T_学生別進路[[#This Row],[学籍番号]],進路状況入力シート!A:B,2,FALSE)</f>
        <v>2-1</v>
      </c>
      <c r="C13" s="30" t="str">
        <f>VLOOKUP(T_学生別進路[[#This Row],[学籍番号]],進路状況入力シート!A:C,3,FALSE)</f>
        <v>PHU PHU MYAT THU</v>
      </c>
      <c r="D13" s="30" t="str">
        <f>IF(AND(T_学生別進路[[#This Row],[進路確定]]="○",T_学生別進路[[#This Row],[進学希望フラグ]]=1),"○","")</f>
        <v>○</v>
      </c>
      <c r="E13" s="30" t="str">
        <f>_xlfn.IFNA(RIGHT(VLOOKUP(T_学生別進路[[#This Row],[学籍番号]]&amp;"○",進路状況入力シート!K:K,1,FALSE),1),"")</f>
        <v>○</v>
      </c>
      <c r="F13" s="30">
        <f>IF(T_学生別進路[[#This Row],[進学希望フラグ]]=0,"",IF(T_学生別進路[[#This Row],[進路確定]]="○",1,0))</f>
        <v>1</v>
      </c>
      <c r="G1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 s="30" t="str">
        <f>_xlfn.XLOOKUP(T_学生別進路[[#This Row],[学籍番号]]&amp;"○",進路状況入力シート!K:K,進路状況入力シート!D:D,"",0,1)</f>
        <v>ECC国際外語専門学校</v>
      </c>
      <c r="I13" s="39" t="s">
        <v>626</v>
      </c>
      <c r="J13" s="31">
        <v>45992</v>
      </c>
      <c r="K13" s="30">
        <f>IF(T_学生別進路[[#This Row],[合格時期]]="",0,IF(T_学生別進路[[#This Row],[合格時期]]&lt;K$5,1,0))</f>
        <v>0</v>
      </c>
      <c r="L13" s="30">
        <f>IF(T_学生別進路[[#This Row],[合格時期]]="",0,IF(T_学生別進路[[#This Row],[合格時期]]&lt;L$5,1,0))</f>
        <v>1</v>
      </c>
      <c r="M13" s="30">
        <f>IF(T_学生別進路[[#This Row],[合格時期]]="",0,IF(T_学生別進路[[#This Row],[合格時期]]&lt;M$5,1,0))</f>
        <v>1</v>
      </c>
      <c r="N13" s="30">
        <f>IF(T_学生別進路[[#This Row],[合格時期]]="",0,IF(T_学生別進路[[#This Row],[合格時期]]&lt;N$5,1,0))</f>
        <v>1</v>
      </c>
      <c r="O13" s="30">
        <f>IF(T_学生別進路[[#This Row],[合格時期]]="",0,IF(T_学生別進路[[#This Row],[合格時期]]&lt;O$5,1,0))</f>
        <v>1</v>
      </c>
      <c r="P13" s="30"/>
      <c r="Q13" s="3"/>
      <c r="R13" s="3"/>
      <c r="S13" s="3"/>
      <c r="T13" s="3"/>
      <c r="U13" s="3"/>
    </row>
    <row r="14" spans="1:21" hidden="1" x14ac:dyDescent="0.15">
      <c r="A14" s="32">
        <v>2404043</v>
      </c>
      <c r="B14" s="30" t="str">
        <f>VLOOKUP(T_学生別進路[[#This Row],[学籍番号]],進路状況入力シート!A:B,2,FALSE)</f>
        <v>2-1</v>
      </c>
      <c r="C14" s="30" t="str">
        <f>VLOOKUP(T_学生別進路[[#This Row],[学籍番号]],進路状況入力シート!A:C,3,FALSE)</f>
        <v>RITA HLA MOE</v>
      </c>
      <c r="D14" s="30" t="str">
        <f>IF(AND(T_学生別進路[[#This Row],[進路確定]]="○",T_学生別進路[[#This Row],[進学希望フラグ]]=1),"○","")</f>
        <v>○</v>
      </c>
      <c r="E14" s="30" t="str">
        <f>_xlfn.IFNA(RIGHT(VLOOKUP(T_学生別進路[[#This Row],[学籍番号]]&amp;"○",進路状況入力シート!K:K,1,FALSE),1),"")</f>
        <v>○</v>
      </c>
      <c r="F14" s="30">
        <f>IF(T_学生別進路[[#This Row],[進学希望フラグ]]=0,"",IF(T_学生別進路[[#This Row],[進路確定]]="○",1,0))</f>
        <v>1</v>
      </c>
      <c r="G1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 s="30" t="str">
        <f>_xlfn.XLOOKUP(T_学生別進路[[#This Row],[学籍番号]]&amp;"○",進路状況入力シート!K:K,進路状況入力シート!D:D,"",0,1)</f>
        <v>神戸国際大学</v>
      </c>
      <c r="I14" s="30"/>
      <c r="J14" s="31">
        <v>45962</v>
      </c>
      <c r="K14" s="30">
        <f>IF(T_学生別進路[[#This Row],[合格時期]]="",0,IF(T_学生別進路[[#This Row],[合格時期]]&lt;K$5,1,0))</f>
        <v>1</v>
      </c>
      <c r="L14" s="30">
        <f>IF(T_学生別進路[[#This Row],[合格時期]]="",0,IF(T_学生別進路[[#This Row],[合格時期]]&lt;L$5,1,0))</f>
        <v>1</v>
      </c>
      <c r="M14" s="30">
        <f>IF(T_学生別進路[[#This Row],[合格時期]]="",0,IF(T_学生別進路[[#This Row],[合格時期]]&lt;M$5,1,0))</f>
        <v>1</v>
      </c>
      <c r="N14" s="30">
        <f>IF(T_学生別進路[[#This Row],[合格時期]]="",0,IF(T_学生別進路[[#This Row],[合格時期]]&lt;N$5,1,0))</f>
        <v>1</v>
      </c>
      <c r="O14" s="30">
        <f>IF(T_学生別進路[[#This Row],[合格時期]]="",0,IF(T_学生別進路[[#This Row],[合格時期]]&lt;O$5,1,0))</f>
        <v>1</v>
      </c>
      <c r="P14" s="30"/>
      <c r="Q14" s="3"/>
      <c r="R14" s="3"/>
      <c r="S14" s="3"/>
      <c r="T14" s="3"/>
      <c r="U14" s="3"/>
    </row>
    <row r="15" spans="1:21" hidden="1" x14ac:dyDescent="0.15">
      <c r="A15" s="32">
        <v>2404046</v>
      </c>
      <c r="B15" s="30" t="str">
        <f>VLOOKUP(T_学生別進路[[#This Row],[学籍番号]],進路状況入力シート!A:B,2,FALSE)</f>
        <v>2-1</v>
      </c>
      <c r="C15" s="30" t="str">
        <f>VLOOKUP(T_学生別進路[[#This Row],[学籍番号]],進路状況入力シート!A:C,3,FALSE)</f>
        <v>KYAL SIN LIN</v>
      </c>
      <c r="D15" s="30" t="str">
        <f>IF(AND(T_学生別進路[[#This Row],[進路確定]]="○",T_学生別進路[[#This Row],[進学希望フラグ]]=1),"○","")</f>
        <v>○</v>
      </c>
      <c r="E15" s="30" t="str">
        <f>_xlfn.IFNA(RIGHT(VLOOKUP(T_学生別進路[[#This Row],[学籍番号]]&amp;"○",進路状況入力シート!K:K,1,FALSE),1),"")</f>
        <v>○</v>
      </c>
      <c r="F15" s="30">
        <f>IF(T_学生別進路[[#This Row],[進学希望フラグ]]=0,"",IF(T_学生別進路[[#This Row],[進路確定]]="○",1,0))</f>
        <v>1</v>
      </c>
      <c r="G1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 s="30" t="str">
        <f>_xlfn.XLOOKUP(T_学生別進路[[#This Row],[学籍番号]]&amp;"○",進路状況入力シート!K:K,進路状況入力シート!D:D,"",0,1)</f>
        <v>ECC国際外語専門学校</v>
      </c>
      <c r="I15" s="39" t="s">
        <v>626</v>
      </c>
      <c r="J15" s="31">
        <v>45992</v>
      </c>
      <c r="K15" s="30">
        <f>IF(T_学生別進路[[#This Row],[合格時期]]="",0,IF(T_学生別進路[[#This Row],[合格時期]]&lt;K$5,1,0))</f>
        <v>0</v>
      </c>
      <c r="L15" s="30">
        <f>IF(T_学生別進路[[#This Row],[合格時期]]="",0,IF(T_学生別進路[[#This Row],[合格時期]]&lt;L$5,1,0))</f>
        <v>1</v>
      </c>
      <c r="M15" s="30">
        <f>IF(T_学生別進路[[#This Row],[合格時期]]="",0,IF(T_学生別進路[[#This Row],[合格時期]]&lt;M$5,1,0))</f>
        <v>1</v>
      </c>
      <c r="N15" s="30">
        <f>IF(T_学生別進路[[#This Row],[合格時期]]="",0,IF(T_学生別進路[[#This Row],[合格時期]]&lt;N$5,1,0))</f>
        <v>1</v>
      </c>
      <c r="O15" s="30">
        <f>IF(T_学生別進路[[#This Row],[合格時期]]="",0,IF(T_学生別進路[[#This Row],[合格時期]]&lt;O$5,1,0))</f>
        <v>1</v>
      </c>
      <c r="P15" s="30"/>
      <c r="Q15" s="3"/>
      <c r="R15" s="3"/>
      <c r="S15" s="3"/>
      <c r="T15" s="3"/>
      <c r="U15" s="3"/>
    </row>
    <row r="16" spans="1:21" hidden="1" x14ac:dyDescent="0.15">
      <c r="A16" s="32">
        <v>2404047</v>
      </c>
      <c r="B16" s="30" t="str">
        <f>VLOOKUP(T_学生別進路[[#This Row],[学籍番号]],進路状況入力シート!A:B,2,FALSE)</f>
        <v>2-1</v>
      </c>
      <c r="C16" s="30" t="str">
        <f>VLOOKUP(T_学生別進路[[#This Row],[学籍番号]],進路状況入力シート!A:C,3,FALSE)</f>
        <v>KHIN YADANAR OO</v>
      </c>
      <c r="D16" s="30" t="str">
        <f>IF(AND(T_学生別進路[[#This Row],[進路確定]]="○",T_学生別進路[[#This Row],[進学希望フラグ]]=1),"○","")</f>
        <v>○</v>
      </c>
      <c r="E16" s="30" t="str">
        <f>_xlfn.IFNA(RIGHT(VLOOKUP(T_学生別進路[[#This Row],[学籍番号]]&amp;"○",進路状況入力シート!K:K,1,FALSE),1),"")</f>
        <v>○</v>
      </c>
      <c r="F16" s="30">
        <f>IF(T_学生別進路[[#This Row],[進学希望フラグ]]=0,"",IF(T_学生別進路[[#This Row],[進路確定]]="○",1,0))</f>
        <v>1</v>
      </c>
      <c r="G1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 s="30" t="str">
        <f>_xlfn.XLOOKUP(T_学生別進路[[#This Row],[学籍番号]]&amp;"○",進路状況入力シート!K:K,進路状況入力シート!D:D,"",0,1)</f>
        <v>エール学園</v>
      </c>
      <c r="I16" s="39" t="s">
        <v>626</v>
      </c>
      <c r="J16" s="31">
        <v>45962</v>
      </c>
      <c r="K16" s="30">
        <f>IF(T_学生別進路[[#This Row],[合格時期]]="",0,IF(T_学生別進路[[#This Row],[合格時期]]&lt;K$5,1,0))</f>
        <v>1</v>
      </c>
      <c r="L16" s="30">
        <f>IF(T_学生別進路[[#This Row],[合格時期]]="",0,IF(T_学生別進路[[#This Row],[合格時期]]&lt;L$5,1,0))</f>
        <v>1</v>
      </c>
      <c r="M16" s="30">
        <f>IF(T_学生別進路[[#This Row],[合格時期]]="",0,IF(T_学生別進路[[#This Row],[合格時期]]&lt;M$5,1,0))</f>
        <v>1</v>
      </c>
      <c r="N16" s="30">
        <f>IF(T_学生別進路[[#This Row],[合格時期]]="",0,IF(T_学生別進路[[#This Row],[合格時期]]&lt;N$5,1,0))</f>
        <v>1</v>
      </c>
      <c r="O16" s="30">
        <f>IF(T_学生別進路[[#This Row],[合格時期]]="",0,IF(T_学生別進路[[#This Row],[合格時期]]&lt;O$5,1,0))</f>
        <v>1</v>
      </c>
      <c r="P16" s="30"/>
      <c r="Q16" s="3"/>
      <c r="R16" s="3"/>
      <c r="S16" s="3"/>
      <c r="T16" s="3"/>
      <c r="U16" s="3"/>
    </row>
    <row r="17" spans="1:21" hidden="1" x14ac:dyDescent="0.15">
      <c r="A17" s="32">
        <v>2404050</v>
      </c>
      <c r="B17" s="30" t="str">
        <f>VLOOKUP(T_学生別進路[[#This Row],[学籍番号]],進路状況入力シート!A:B,2,FALSE)</f>
        <v>2-1</v>
      </c>
      <c r="C17" s="30" t="str">
        <f>VLOOKUP(T_学生別進路[[#This Row],[学籍番号]],進路状況入力シート!A:C,3,FALSE)</f>
        <v>THUTA ZAW</v>
      </c>
      <c r="D17" s="30" t="str">
        <f>IF(AND(T_学生別進路[[#This Row],[進路確定]]="○",T_学生別進路[[#This Row],[進学希望フラグ]]=1),"○","")</f>
        <v>○</v>
      </c>
      <c r="E17" s="30" t="str">
        <f>_xlfn.IFNA(RIGHT(VLOOKUP(T_学生別進路[[#This Row],[学籍番号]]&amp;"○",進路状況入力シート!K:K,1,FALSE),1),"")</f>
        <v>○</v>
      </c>
      <c r="F17" s="30">
        <f>IF(T_学生別進路[[#This Row],[進学希望フラグ]]=0,"",IF(T_学生別進路[[#This Row],[進路確定]]="○",1,0))</f>
        <v>1</v>
      </c>
      <c r="G1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 s="30" t="str">
        <f>_xlfn.XLOOKUP(T_学生別進路[[#This Row],[学籍番号]]&amp;"○",進路状況入力シート!K:K,進路状況入力シート!D:D,"",0,1)</f>
        <v>東京みらいIT&amp;AI専門学校</v>
      </c>
      <c r="I17" s="39" t="s">
        <v>626</v>
      </c>
      <c r="J17" s="31">
        <v>45992</v>
      </c>
      <c r="K17" s="30">
        <f>IF(T_学生別進路[[#This Row],[合格時期]]="",0,IF(T_学生別進路[[#This Row],[合格時期]]&lt;K$5,1,0))</f>
        <v>0</v>
      </c>
      <c r="L17" s="30">
        <f>IF(T_学生別進路[[#This Row],[合格時期]]="",0,IF(T_学生別進路[[#This Row],[合格時期]]&lt;L$5,1,0))</f>
        <v>1</v>
      </c>
      <c r="M17" s="30">
        <f>IF(T_学生別進路[[#This Row],[合格時期]]="",0,IF(T_学生別進路[[#This Row],[合格時期]]&lt;M$5,1,0))</f>
        <v>1</v>
      </c>
      <c r="N17" s="30">
        <f>IF(T_学生別進路[[#This Row],[合格時期]]="",0,IF(T_学生別進路[[#This Row],[合格時期]]&lt;N$5,1,0))</f>
        <v>1</v>
      </c>
      <c r="O17" s="30">
        <f>IF(T_学生別進路[[#This Row],[合格時期]]="",0,IF(T_学生別進路[[#This Row],[合格時期]]&lt;O$5,1,0))</f>
        <v>1</v>
      </c>
      <c r="P17" s="30"/>
      <c r="Q17" s="3"/>
      <c r="R17" s="3"/>
      <c r="S17" s="3"/>
      <c r="T17" s="3"/>
      <c r="U17" s="3"/>
    </row>
    <row r="18" spans="1:21" hidden="1" x14ac:dyDescent="0.15">
      <c r="A18" s="32">
        <v>2404051</v>
      </c>
      <c r="B18" s="30" t="str">
        <f>VLOOKUP(T_学生別進路[[#This Row],[学籍番号]],進路状況入力シート!A:B,2,FALSE)</f>
        <v>2-1</v>
      </c>
      <c r="C18" s="30" t="str">
        <f>VLOOKUP(T_学生別進路[[#This Row],[学籍番号]],進路状況入力シート!A:C,3,FALSE)</f>
        <v>KAUNG ZIN NYI</v>
      </c>
      <c r="D18" s="30" t="str">
        <f>IF(AND(T_学生別進路[[#This Row],[進路確定]]="○",T_学生別進路[[#This Row],[進学希望フラグ]]=1),"○","")</f>
        <v>○</v>
      </c>
      <c r="E18" s="30" t="str">
        <f>_xlfn.IFNA(RIGHT(VLOOKUP(T_学生別進路[[#This Row],[学籍番号]]&amp;"○",進路状況入力シート!K:K,1,FALSE),1),"")</f>
        <v>○</v>
      </c>
      <c r="F18" s="30">
        <f>IF(T_学生別進路[[#This Row],[進学希望フラグ]]=0,"",IF(T_学生別進路[[#This Row],[進路確定]]="○",1,0))</f>
        <v>1</v>
      </c>
      <c r="G1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 s="30" t="str">
        <f>_xlfn.XLOOKUP(T_学生別進路[[#This Row],[学籍番号]]&amp;"○",進路状況入力シート!K:K,進路状況入力シート!D:D,"",0,1)</f>
        <v>中央工学校</v>
      </c>
      <c r="I18" s="39" t="s">
        <v>626</v>
      </c>
      <c r="J18" s="31">
        <v>45962</v>
      </c>
      <c r="K18" s="30">
        <f>IF(T_学生別進路[[#This Row],[合格時期]]="",0,IF(T_学生別進路[[#This Row],[合格時期]]&lt;K$5,1,0))</f>
        <v>1</v>
      </c>
      <c r="L18" s="30">
        <f>IF(T_学生別進路[[#This Row],[合格時期]]="",0,IF(T_学生別進路[[#This Row],[合格時期]]&lt;L$5,1,0))</f>
        <v>1</v>
      </c>
      <c r="M18" s="30">
        <f>IF(T_学生別進路[[#This Row],[合格時期]]="",0,IF(T_学生別進路[[#This Row],[合格時期]]&lt;M$5,1,0))</f>
        <v>1</v>
      </c>
      <c r="N18" s="30">
        <f>IF(T_学生別進路[[#This Row],[合格時期]]="",0,IF(T_学生別進路[[#This Row],[合格時期]]&lt;N$5,1,0))</f>
        <v>1</v>
      </c>
      <c r="O18" s="30">
        <f>IF(T_学生別進路[[#This Row],[合格時期]]="",0,IF(T_学生別進路[[#This Row],[合格時期]]&lt;O$5,1,0))</f>
        <v>1</v>
      </c>
      <c r="P18" s="30"/>
      <c r="Q18" s="3"/>
      <c r="R18" s="3"/>
      <c r="S18" s="3"/>
      <c r="T18" s="3"/>
      <c r="U18" s="3"/>
    </row>
    <row r="19" spans="1:21" hidden="1" x14ac:dyDescent="0.15">
      <c r="A19" s="32">
        <v>2404058</v>
      </c>
      <c r="B19" s="30" t="str">
        <f>VLOOKUP(T_学生別進路[[#This Row],[学籍番号]],進路状況入力シート!A:B,2,FALSE)</f>
        <v>2-1</v>
      </c>
      <c r="C19" s="30" t="str">
        <f>VLOOKUP(T_学生別進路[[#This Row],[学籍番号]],進路状況入力シート!A:C,3,FALSE)</f>
        <v>HAN THU SAN</v>
      </c>
      <c r="D19" s="30" t="str">
        <f>IF(AND(T_学生別進路[[#This Row],[進路確定]]="○",T_学生別進路[[#This Row],[進学希望フラグ]]=1),"○","")</f>
        <v>○</v>
      </c>
      <c r="E19" s="30" t="str">
        <f>_xlfn.IFNA(RIGHT(VLOOKUP(T_学生別進路[[#This Row],[学籍番号]]&amp;"○",進路状況入力シート!K:K,1,FALSE),1),"")</f>
        <v>○</v>
      </c>
      <c r="F19" s="30">
        <f>IF(T_学生別進路[[#This Row],[進学希望フラグ]]=0,"",IF(T_学生別進路[[#This Row],[進路確定]]="○",1,0))</f>
        <v>1</v>
      </c>
      <c r="G1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 s="30" t="str">
        <f>_xlfn.XLOOKUP(T_学生別進路[[#This Row],[学籍番号]]&amp;"○",進路状況入力シート!K:K,進路状況入力シート!D:D,"",0,1)</f>
        <v>大手前大学</v>
      </c>
      <c r="I19" s="39" t="s">
        <v>626</v>
      </c>
      <c r="J19" s="31">
        <v>45962</v>
      </c>
      <c r="K19" s="30">
        <f>IF(T_学生別進路[[#This Row],[合格時期]]="",0,IF(T_学生別進路[[#This Row],[合格時期]]&lt;K$5,1,0))</f>
        <v>1</v>
      </c>
      <c r="L19" s="30">
        <f>IF(T_学生別進路[[#This Row],[合格時期]]="",0,IF(T_学生別進路[[#This Row],[合格時期]]&lt;L$5,1,0))</f>
        <v>1</v>
      </c>
      <c r="M19" s="30">
        <f>IF(T_学生別進路[[#This Row],[合格時期]]="",0,IF(T_学生別進路[[#This Row],[合格時期]]&lt;M$5,1,0))</f>
        <v>1</v>
      </c>
      <c r="N19" s="30">
        <f>IF(T_学生別進路[[#This Row],[合格時期]]="",0,IF(T_学生別進路[[#This Row],[合格時期]]&lt;N$5,1,0))</f>
        <v>1</v>
      </c>
      <c r="O19" s="30">
        <f>IF(T_学生別進路[[#This Row],[合格時期]]="",0,IF(T_学生別進路[[#This Row],[合格時期]]&lt;O$5,1,0))</f>
        <v>1</v>
      </c>
      <c r="P19" s="30"/>
      <c r="Q19" s="3"/>
      <c r="R19" s="3"/>
      <c r="S19" s="3"/>
      <c r="T19" s="3"/>
      <c r="U19" s="3"/>
    </row>
    <row r="20" spans="1:21" hidden="1" x14ac:dyDescent="0.15">
      <c r="A20" s="32">
        <v>2404073</v>
      </c>
      <c r="B20" s="30" t="str">
        <f>VLOOKUP(T_学生別進路[[#This Row],[学籍番号]],進路状況入力シート!A:B,2,FALSE)</f>
        <v>2-1</v>
      </c>
      <c r="C20" s="30" t="str">
        <f>VLOOKUP(T_学生別進路[[#This Row],[学籍番号]],進路状況入力シート!A:C,3,FALSE)</f>
        <v>FAKIR SHAKIB</v>
      </c>
      <c r="D20" s="30" t="str">
        <f>IF(AND(T_学生別進路[[#This Row],[進路確定]]="○",T_学生別進路[[#This Row],[進学希望フラグ]]=1),"○","")</f>
        <v>○</v>
      </c>
      <c r="E20" s="30" t="str">
        <f>_xlfn.IFNA(RIGHT(VLOOKUP(T_学生別進路[[#This Row],[学籍番号]]&amp;"○",進路状況入力シート!K:K,1,FALSE),1),"")</f>
        <v>○</v>
      </c>
      <c r="F20" s="30">
        <f>IF(T_学生別進路[[#This Row],[進学希望フラグ]]=0,"",IF(T_学生別進路[[#This Row],[進路確定]]="○",1,0))</f>
        <v>1</v>
      </c>
      <c r="G2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 s="30" t="str">
        <f>_xlfn.XLOOKUP(T_学生別進路[[#This Row],[学籍番号]]&amp;"○",進路状況入力シート!K:K,進路状況入力シート!D:D,"",0,1)</f>
        <v>東京国際ビジネスカレッジ神戸校</v>
      </c>
      <c r="I20" s="39" t="s">
        <v>626</v>
      </c>
      <c r="J20" s="31">
        <v>45962</v>
      </c>
      <c r="K20" s="30">
        <f>IF(T_学生別進路[[#This Row],[合格時期]]="",0,IF(T_学生別進路[[#This Row],[合格時期]]&lt;K$5,1,0))</f>
        <v>1</v>
      </c>
      <c r="L20" s="30">
        <f>IF(T_学生別進路[[#This Row],[合格時期]]="",0,IF(T_学生別進路[[#This Row],[合格時期]]&lt;L$5,1,0))</f>
        <v>1</v>
      </c>
      <c r="M20" s="30">
        <f>IF(T_学生別進路[[#This Row],[合格時期]]="",0,IF(T_学生別進路[[#This Row],[合格時期]]&lt;M$5,1,0))</f>
        <v>1</v>
      </c>
      <c r="N20" s="30">
        <f>IF(T_学生別進路[[#This Row],[合格時期]]="",0,IF(T_学生別進路[[#This Row],[合格時期]]&lt;N$5,1,0))</f>
        <v>1</v>
      </c>
      <c r="O20" s="30">
        <f>IF(T_学生別進路[[#This Row],[合格時期]]="",0,IF(T_学生別進路[[#This Row],[合格時期]]&lt;O$5,1,0))</f>
        <v>1</v>
      </c>
      <c r="P20" s="30"/>
      <c r="Q20" s="3"/>
      <c r="R20" s="3"/>
      <c r="S20" s="3"/>
      <c r="T20" s="3"/>
      <c r="U20" s="3"/>
    </row>
    <row r="21" spans="1:21" hidden="1" x14ac:dyDescent="0.15">
      <c r="A21" s="32">
        <v>2404084</v>
      </c>
      <c r="B21" s="30" t="str">
        <f>VLOOKUP(T_学生別進路[[#This Row],[学籍番号]],進路状況入力シート!A:B,2,FALSE)</f>
        <v>2-1</v>
      </c>
      <c r="C21" s="30" t="str">
        <f>VLOOKUP(T_学生別進路[[#This Row],[学籍番号]],進路状況入力シート!A:C,3,FALSE)</f>
        <v>MD. MATIUR RAHMAN</v>
      </c>
      <c r="D21" s="30" t="str">
        <f>IF(AND(T_学生別進路[[#This Row],[進路確定]]="○",T_学生別進路[[#This Row],[進学希望フラグ]]=1),"○","")</f>
        <v>○</v>
      </c>
      <c r="E21" s="30" t="str">
        <f>_xlfn.IFNA(RIGHT(VLOOKUP(T_学生別進路[[#This Row],[学籍番号]]&amp;"○",進路状況入力シート!K:K,1,FALSE),1),"")</f>
        <v>○</v>
      </c>
      <c r="F21" s="30">
        <f>IF(T_学生別進路[[#This Row],[進学希望フラグ]]=0,"",IF(T_学生別進路[[#This Row],[進路確定]]="○",1,0))</f>
        <v>1</v>
      </c>
      <c r="G2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 s="30" t="str">
        <f>_xlfn.XLOOKUP(T_学生別進路[[#This Row],[学籍番号]]&amp;"○",進路状況入力シート!K:K,進路状況入力シート!D:D,"",0,1)</f>
        <v>流通科学大学</v>
      </c>
      <c r="I21" s="30"/>
      <c r="J21" s="31">
        <v>45962</v>
      </c>
      <c r="K21" s="30">
        <f>IF(T_学生別進路[[#This Row],[合格時期]]="",0,IF(T_学生別進路[[#This Row],[合格時期]]&lt;K$5,1,0))</f>
        <v>1</v>
      </c>
      <c r="L21" s="30">
        <f>IF(T_学生別進路[[#This Row],[合格時期]]="",0,IF(T_学生別進路[[#This Row],[合格時期]]&lt;L$5,1,0))</f>
        <v>1</v>
      </c>
      <c r="M21" s="30">
        <f>IF(T_学生別進路[[#This Row],[合格時期]]="",0,IF(T_学生別進路[[#This Row],[合格時期]]&lt;M$5,1,0))</f>
        <v>1</v>
      </c>
      <c r="N21" s="30">
        <f>IF(T_学生別進路[[#This Row],[合格時期]]="",0,IF(T_学生別進路[[#This Row],[合格時期]]&lt;N$5,1,0))</f>
        <v>1</v>
      </c>
      <c r="O21" s="30">
        <f>IF(T_学生別進路[[#This Row],[合格時期]]="",0,IF(T_学生別進路[[#This Row],[合格時期]]&lt;O$5,1,0))</f>
        <v>1</v>
      </c>
      <c r="P21" s="30"/>
      <c r="Q21" s="3"/>
      <c r="R21" s="3"/>
      <c r="S21" s="3"/>
      <c r="T21" s="3"/>
      <c r="U21" s="3"/>
    </row>
    <row r="22" spans="1:21" hidden="1" x14ac:dyDescent="0.15">
      <c r="A22" s="32">
        <v>2404093</v>
      </c>
      <c r="B22" s="30" t="str">
        <f>VLOOKUP(T_学生別進路[[#This Row],[学籍番号]],進路状況入力シート!A:B,2,FALSE)</f>
        <v>2-1</v>
      </c>
      <c r="C22" s="30" t="str">
        <f>VLOOKUP(T_学生別進路[[#This Row],[学籍番号]],進路状況入力シート!A:C,3,FALSE)</f>
        <v>DELWAR HOSHEN SAYED</v>
      </c>
      <c r="D22" s="30" t="str">
        <f>IF(AND(T_学生別進路[[#This Row],[進路確定]]="○",T_学生別進路[[#This Row],[進学希望フラグ]]=1),"○","")</f>
        <v>○</v>
      </c>
      <c r="E22" s="30" t="str">
        <f>_xlfn.IFNA(RIGHT(VLOOKUP(T_学生別進路[[#This Row],[学籍番号]]&amp;"○",進路状況入力シート!K:K,1,FALSE),1),"")</f>
        <v>○</v>
      </c>
      <c r="F22" s="30">
        <f>IF(T_学生別進路[[#This Row],[進学希望フラグ]]=0,"",IF(T_学生別進路[[#This Row],[進路確定]]="○",1,0))</f>
        <v>1</v>
      </c>
      <c r="G2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 s="30" t="str">
        <f>_xlfn.XLOOKUP(T_学生別進路[[#This Row],[学籍番号]]&amp;"○",進路状況入力シート!K:K,進路状況入力シート!D:D,"",0,1)</f>
        <v>流通科学大学</v>
      </c>
      <c r="I22" s="30"/>
      <c r="J22" s="31">
        <v>45962</v>
      </c>
      <c r="K22" s="30">
        <f>IF(T_学生別進路[[#This Row],[合格時期]]="",0,IF(T_学生別進路[[#This Row],[合格時期]]&lt;K$5,1,0))</f>
        <v>1</v>
      </c>
      <c r="L22" s="30">
        <f>IF(T_学生別進路[[#This Row],[合格時期]]="",0,IF(T_学生別進路[[#This Row],[合格時期]]&lt;L$5,1,0))</f>
        <v>1</v>
      </c>
      <c r="M22" s="30">
        <f>IF(T_学生別進路[[#This Row],[合格時期]]="",0,IF(T_学生別進路[[#This Row],[合格時期]]&lt;M$5,1,0))</f>
        <v>1</v>
      </c>
      <c r="N22" s="30">
        <f>IF(T_学生別進路[[#This Row],[合格時期]]="",0,IF(T_学生別進路[[#This Row],[合格時期]]&lt;N$5,1,0))</f>
        <v>1</v>
      </c>
      <c r="O22" s="30">
        <f>IF(T_学生別進路[[#This Row],[合格時期]]="",0,IF(T_学生別進路[[#This Row],[合格時期]]&lt;O$5,1,0))</f>
        <v>1</v>
      </c>
      <c r="P22" s="30"/>
      <c r="Q22" s="3"/>
      <c r="R22" s="3"/>
      <c r="S22" s="3"/>
      <c r="T22" s="3"/>
      <c r="U22" s="3"/>
    </row>
    <row r="23" spans="1:21" hidden="1" x14ac:dyDescent="0.15">
      <c r="A23" s="32">
        <v>2407013</v>
      </c>
      <c r="B23" s="30" t="str">
        <f>VLOOKUP(T_学生別進路[[#This Row],[学籍番号]],進路状況入力シート!A:B,2,FALSE)</f>
        <v>2-1</v>
      </c>
      <c r="C23" s="30" t="str">
        <f>VLOOKUP(T_学生別進路[[#This Row],[学籍番号]],進路状況入力シート!A:C,3,FALSE)</f>
        <v>SOE NYI HTUT</v>
      </c>
      <c r="D23" s="30" t="str">
        <f>IF(AND(T_学生別進路[[#This Row],[進路確定]]="○",T_学生別進路[[#This Row],[進学希望フラグ]]=1),"○","")</f>
        <v>○</v>
      </c>
      <c r="E23" s="30" t="str">
        <f>_xlfn.IFNA(RIGHT(VLOOKUP(T_学生別進路[[#This Row],[学籍番号]]&amp;"○",進路状況入力シート!K:K,1,FALSE),1),"")</f>
        <v>○</v>
      </c>
      <c r="F23" s="30">
        <f>IF(T_学生別進路[[#This Row],[進学希望フラグ]]=0,"",IF(T_学生別進路[[#This Row],[進路確定]]="○",1,0))</f>
        <v>1</v>
      </c>
      <c r="G2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 s="30" t="str">
        <f>_xlfn.XLOOKUP(T_学生別進路[[#This Row],[学籍番号]]&amp;"○",進路状況入力シート!K:K,進路状況入力シート!D:D,"",0,1)</f>
        <v>大阪学院大学</v>
      </c>
      <c r="I23" s="39" t="s">
        <v>626</v>
      </c>
      <c r="J23" s="31">
        <v>45931</v>
      </c>
      <c r="K23" s="30">
        <f>IF(T_学生別進路[[#This Row],[合格時期]]="",0,IF(T_学生別進路[[#This Row],[合格時期]]&lt;K$5,1,0))</f>
        <v>1</v>
      </c>
      <c r="L23" s="30">
        <f>IF(T_学生別進路[[#This Row],[合格時期]]="",0,IF(T_学生別進路[[#This Row],[合格時期]]&lt;L$5,1,0))</f>
        <v>1</v>
      </c>
      <c r="M23" s="30">
        <f>IF(T_学生別進路[[#This Row],[合格時期]]="",0,IF(T_学生別進路[[#This Row],[合格時期]]&lt;M$5,1,0))</f>
        <v>1</v>
      </c>
      <c r="N23" s="30">
        <f>IF(T_学生別進路[[#This Row],[合格時期]]="",0,IF(T_学生別進路[[#This Row],[合格時期]]&lt;N$5,1,0))</f>
        <v>1</v>
      </c>
      <c r="O23" s="30">
        <f>IF(T_学生別進路[[#This Row],[合格時期]]="",0,IF(T_学生別進路[[#This Row],[合格時期]]&lt;O$5,1,0))</f>
        <v>1</v>
      </c>
      <c r="P23" s="30"/>
      <c r="Q23" s="3"/>
      <c r="R23" s="3"/>
      <c r="S23" s="3"/>
      <c r="T23" s="3"/>
      <c r="U23" s="3"/>
    </row>
    <row r="24" spans="1:21" hidden="1" x14ac:dyDescent="0.15">
      <c r="A24" s="32">
        <v>2407025</v>
      </c>
      <c r="B24" s="30" t="str">
        <f>VLOOKUP(T_学生別進路[[#This Row],[学籍番号]],進路状況入力シート!A:B,2,FALSE)</f>
        <v>2-1</v>
      </c>
      <c r="C24" s="30" t="str">
        <f>VLOOKUP(T_学生別進路[[#This Row],[学籍番号]],進路状況入力シート!A:C,3,FALSE)</f>
        <v>KHIN PYAE SONE</v>
      </c>
      <c r="D24" s="30" t="str">
        <f>IF(AND(T_学生別進路[[#This Row],[進路確定]]="○",T_学生別進路[[#This Row],[進学希望フラグ]]=1),"○","")</f>
        <v>○</v>
      </c>
      <c r="E24" s="30" t="str">
        <f>_xlfn.IFNA(RIGHT(VLOOKUP(T_学生別進路[[#This Row],[学籍番号]]&amp;"○",進路状況入力シート!K:K,1,FALSE),1),"")</f>
        <v>○</v>
      </c>
      <c r="F24" s="30">
        <f>IF(T_学生別進路[[#This Row],[進学希望フラグ]]=0,"",IF(T_学生別進路[[#This Row],[進路確定]]="○",1,0))</f>
        <v>1</v>
      </c>
      <c r="G2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 s="30" t="str">
        <f>_xlfn.XLOOKUP(T_学生別進路[[#This Row],[学籍番号]]&amp;"○",進路状況入力シート!K:K,進路状況入力シート!D:D,"",0,1)</f>
        <v>神戸電子専門学校</v>
      </c>
      <c r="I24" s="30"/>
      <c r="J24" s="31">
        <v>45962</v>
      </c>
      <c r="K24" s="30">
        <f>IF(T_学生別進路[[#This Row],[合格時期]]="",0,IF(T_学生別進路[[#This Row],[合格時期]]&lt;K$5,1,0))</f>
        <v>1</v>
      </c>
      <c r="L24" s="30">
        <f>IF(T_学生別進路[[#This Row],[合格時期]]="",0,IF(T_学生別進路[[#This Row],[合格時期]]&lt;L$5,1,0))</f>
        <v>1</v>
      </c>
      <c r="M24" s="30">
        <f>IF(T_学生別進路[[#This Row],[合格時期]]="",0,IF(T_学生別進路[[#This Row],[合格時期]]&lt;M$5,1,0))</f>
        <v>1</v>
      </c>
      <c r="N24" s="30">
        <f>IF(T_学生別進路[[#This Row],[合格時期]]="",0,IF(T_学生別進路[[#This Row],[合格時期]]&lt;N$5,1,0))</f>
        <v>1</v>
      </c>
      <c r="O24" s="30">
        <f>IF(T_学生別進路[[#This Row],[合格時期]]="",0,IF(T_学生別進路[[#This Row],[合格時期]]&lt;O$5,1,0))</f>
        <v>1</v>
      </c>
      <c r="P24" s="30"/>
      <c r="Q24" s="3"/>
      <c r="R24" s="3"/>
      <c r="S24" s="3"/>
      <c r="T24" s="3"/>
      <c r="U24" s="3"/>
    </row>
    <row r="25" spans="1:21" hidden="1" x14ac:dyDescent="0.15">
      <c r="A25" s="32">
        <v>2404011</v>
      </c>
      <c r="B25" s="30" t="str">
        <f>VLOOKUP(T_学生別進路[[#This Row],[学籍番号]],進路状況入力シート!A:B,2,FALSE)</f>
        <v>2-2</v>
      </c>
      <c r="C25" s="30" t="str">
        <f>VLOOKUP(T_学生別進路[[#This Row],[学籍番号]],進路状況入力シート!A:C,3,FALSE)</f>
        <v>BUI NGOC ANH THU</v>
      </c>
      <c r="D25" s="30" t="str">
        <f>IF(AND(T_学生別進路[[#This Row],[進路確定]]="○",T_学生別進路[[#This Row],[進学希望フラグ]]=1),"○","")</f>
        <v>○</v>
      </c>
      <c r="E25" s="30" t="str">
        <f>_xlfn.IFNA(RIGHT(VLOOKUP(T_学生別進路[[#This Row],[学籍番号]]&amp;"○",進路状況入力シート!K:K,1,FALSE),1),"")</f>
        <v>○</v>
      </c>
      <c r="F25" s="30">
        <f>IF(T_学生別進路[[#This Row],[進学希望フラグ]]=0,"",IF(T_学生別進路[[#This Row],[進路確定]]="○",1,0))</f>
        <v>1</v>
      </c>
      <c r="G2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5" s="30" t="str">
        <f>_xlfn.XLOOKUP(T_学生別進路[[#This Row],[学籍番号]]&amp;"○",進路状況入力シート!K:K,進路状況入力シート!D:D,"",0,1)</f>
        <v>東京国際ビジネスカレッジ神戸校</v>
      </c>
      <c r="I25" s="39" t="s">
        <v>627</v>
      </c>
      <c r="J25" s="31">
        <v>46054</v>
      </c>
      <c r="K25" s="30">
        <f>IF(T_学生別進路[[#This Row],[合格時期]]="",0,IF(T_学生別進路[[#This Row],[合格時期]]&lt;K$5,1,0))</f>
        <v>0</v>
      </c>
      <c r="L25" s="30">
        <f>IF(T_学生別進路[[#This Row],[合格時期]]="",0,IF(T_学生別進路[[#This Row],[合格時期]]&lt;L$5,1,0))</f>
        <v>0</v>
      </c>
      <c r="M25" s="30">
        <f>IF(T_学生別進路[[#This Row],[合格時期]]="",0,IF(T_学生別進路[[#This Row],[合格時期]]&lt;M$5,1,0))</f>
        <v>0</v>
      </c>
      <c r="N25" s="30">
        <f>IF(T_学生別進路[[#This Row],[合格時期]]="",0,IF(T_学生別進路[[#This Row],[合格時期]]&lt;N$5,1,0))</f>
        <v>1</v>
      </c>
      <c r="O25" s="30">
        <f>IF(T_学生別進路[[#This Row],[合格時期]]="",0,IF(T_学生別進路[[#This Row],[合格時期]]&lt;O$5,1,0))</f>
        <v>1</v>
      </c>
      <c r="P25" s="30"/>
      <c r="Q25" s="3"/>
      <c r="R25" s="3"/>
      <c r="S25" s="3"/>
      <c r="T25" s="3"/>
      <c r="U25" s="3"/>
    </row>
    <row r="26" spans="1:21" x14ac:dyDescent="0.15">
      <c r="A26" s="32">
        <v>2404013</v>
      </c>
      <c r="B26" s="30" t="str">
        <f>VLOOKUP(T_学生別進路[[#This Row],[学籍番号]],進路状況入力シート!A:B,2,FALSE)</f>
        <v>2-2</v>
      </c>
      <c r="C26" s="49" t="str">
        <f>VLOOKUP(T_学生別進路[[#This Row],[学籍番号]],進路状況入力シート!A:C,3,FALSE)</f>
        <v>CHIT MAUNG MAUNG</v>
      </c>
      <c r="D26" s="30" t="str">
        <f>IF(AND(T_学生別進路[[#This Row],[進路確定]]="○",T_学生別進路[[#This Row],[進学希望フラグ]]=1),"○","")</f>
        <v/>
      </c>
      <c r="E26" s="30" t="str">
        <f>_xlfn.IFNA(RIGHT(VLOOKUP(T_学生別進路[[#This Row],[学籍番号]]&amp;"○",進路状況入力シート!K:K,1,FALSE),1),"")</f>
        <v/>
      </c>
      <c r="F26" s="30" t="str">
        <f>IF(T_学生別進路[[#This Row],[進学希望フラグ]]=0,"",IF(T_学生別進路[[#This Row],[進路確定]]="○",1,0))</f>
        <v/>
      </c>
      <c r="G2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6" s="30" t="str">
        <f>_xlfn.XLOOKUP(T_学生別進路[[#This Row],[学籍番号]]&amp;"○",進路状況入力シート!K:K,進路状況入力シート!D:D,"",0,1)</f>
        <v/>
      </c>
      <c r="I26" s="39" t="s">
        <v>627</v>
      </c>
      <c r="J26" s="31"/>
      <c r="K26" s="30">
        <f>IF(T_学生別進路[[#This Row],[合格時期]]="",0,IF(T_学生別進路[[#This Row],[合格時期]]&lt;K$5,1,0))</f>
        <v>0</v>
      </c>
      <c r="L26" s="30">
        <f>IF(T_学生別進路[[#This Row],[合格時期]]="",0,IF(T_学生別進路[[#This Row],[合格時期]]&lt;L$5,1,0))</f>
        <v>0</v>
      </c>
      <c r="M26" s="30">
        <f>IF(T_学生別進路[[#This Row],[合格時期]]="",0,IF(T_学生別進路[[#This Row],[合格時期]]&lt;M$5,1,0))</f>
        <v>0</v>
      </c>
      <c r="N26" s="30">
        <f>IF(T_学生別進路[[#This Row],[合格時期]]="",0,IF(T_学生別進路[[#This Row],[合格時期]]&lt;N$5,1,0))</f>
        <v>0</v>
      </c>
      <c r="O26" s="30">
        <f>IF(T_学生別進路[[#This Row],[合格時期]]="",0,IF(T_学生別進路[[#This Row],[合格時期]]&lt;O$5,1,0))</f>
        <v>0</v>
      </c>
      <c r="P26" s="30" t="s">
        <v>736</v>
      </c>
      <c r="Q26" s="3"/>
      <c r="R26" s="3"/>
      <c r="S26" s="3"/>
      <c r="T26" s="3"/>
      <c r="U26" s="3"/>
    </row>
    <row r="27" spans="1:21" hidden="1" x14ac:dyDescent="0.15">
      <c r="A27" s="32">
        <v>2404015</v>
      </c>
      <c r="B27" s="30" t="str">
        <f>VLOOKUP(T_学生別進路[[#This Row],[学籍番号]],進路状況入力シート!A:B,2,FALSE)</f>
        <v>2-2</v>
      </c>
      <c r="C27" s="30" t="str">
        <f>VLOOKUP(T_学生別進路[[#This Row],[学籍番号]],進路状況入力シート!A:C,3,FALSE)</f>
        <v>NAY LIN OO</v>
      </c>
      <c r="D27" s="30" t="str">
        <f>IF(AND(T_学生別進路[[#This Row],[進路確定]]="○",T_学生別進路[[#This Row],[進学希望フラグ]]=1),"○","")</f>
        <v>○</v>
      </c>
      <c r="E27" s="30" t="str">
        <f>_xlfn.IFNA(RIGHT(VLOOKUP(T_学生別進路[[#This Row],[学籍番号]]&amp;"○",進路状況入力シート!K:K,1,FALSE),1),"")</f>
        <v>○</v>
      </c>
      <c r="F27" s="30">
        <f>IF(T_学生別進路[[#This Row],[進学希望フラグ]]=0,"",IF(T_学生別進路[[#This Row],[進路確定]]="○",1,0))</f>
        <v>1</v>
      </c>
      <c r="G2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7" s="30" t="str">
        <f>_xlfn.XLOOKUP(T_学生別進路[[#This Row],[学籍番号]]&amp;"○",進路状況入力シート!K:K,進路状況入力シート!D:D,"",0,1)</f>
        <v>神戸松蔭大学</v>
      </c>
      <c r="I27" s="39" t="s">
        <v>627</v>
      </c>
      <c r="J27" s="31">
        <v>45992</v>
      </c>
      <c r="K27" s="30">
        <f>IF(T_学生別進路[[#This Row],[合格時期]]="",0,IF(T_学生別進路[[#This Row],[合格時期]]&lt;K$5,1,0))</f>
        <v>0</v>
      </c>
      <c r="L27" s="30">
        <f>IF(T_学生別進路[[#This Row],[合格時期]]="",0,IF(T_学生別進路[[#This Row],[合格時期]]&lt;L$5,1,0))</f>
        <v>1</v>
      </c>
      <c r="M27" s="30">
        <f>IF(T_学生別進路[[#This Row],[合格時期]]="",0,IF(T_学生別進路[[#This Row],[合格時期]]&lt;M$5,1,0))</f>
        <v>1</v>
      </c>
      <c r="N27" s="30">
        <f>IF(T_学生別進路[[#This Row],[合格時期]]="",0,IF(T_学生別進路[[#This Row],[合格時期]]&lt;N$5,1,0))</f>
        <v>1</v>
      </c>
      <c r="O27" s="30">
        <f>IF(T_学生別進路[[#This Row],[合格時期]]="",0,IF(T_学生別進路[[#This Row],[合格時期]]&lt;O$5,1,0))</f>
        <v>1</v>
      </c>
      <c r="P27" s="30"/>
      <c r="Q27" s="3"/>
      <c r="R27" s="3"/>
      <c r="S27" s="3"/>
      <c r="T27" s="3"/>
      <c r="U27" s="3"/>
    </row>
    <row r="28" spans="1:21" hidden="1" x14ac:dyDescent="0.15">
      <c r="A28" s="32">
        <v>2404016</v>
      </c>
      <c r="B28" s="30" t="str">
        <f>VLOOKUP(T_学生別進路[[#This Row],[学籍番号]],進路状況入力シート!A:B,2,FALSE)</f>
        <v>2-2</v>
      </c>
      <c r="C28" s="30" t="str">
        <f>VLOOKUP(T_学生別進路[[#This Row],[学籍番号]],進路状況入力シート!A:C,3,FALSE)</f>
        <v>THAW ZIN HTUN</v>
      </c>
      <c r="D28" s="30" t="str">
        <f>IF(AND(T_学生別進路[[#This Row],[進路確定]]="○",T_学生別進路[[#This Row],[進学希望フラグ]]=1),"○","")</f>
        <v>○</v>
      </c>
      <c r="E28" s="30" t="str">
        <f>_xlfn.IFNA(RIGHT(VLOOKUP(T_学生別進路[[#This Row],[学籍番号]]&amp;"○",進路状況入力シート!K:K,1,FALSE),1),"")</f>
        <v>○</v>
      </c>
      <c r="F28" s="30">
        <f>IF(T_学生別進路[[#This Row],[進学希望フラグ]]=0,"",IF(T_学生別進路[[#This Row],[進路確定]]="○",1,0))</f>
        <v>1</v>
      </c>
      <c r="G2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8" s="30" t="str">
        <f>_xlfn.XLOOKUP(T_学生別進路[[#This Row],[学籍番号]]&amp;"○",進路状況入力シート!K:K,進路状況入力シート!D:D,"",0,1)</f>
        <v>神戸電子専門学校</v>
      </c>
      <c r="I28" s="39" t="s">
        <v>627</v>
      </c>
      <c r="J28" s="31">
        <v>45992</v>
      </c>
      <c r="K28" s="30">
        <f>IF(T_学生別進路[[#This Row],[合格時期]]="",0,IF(T_学生別進路[[#This Row],[合格時期]]&lt;K$5,1,0))</f>
        <v>0</v>
      </c>
      <c r="L28" s="30">
        <f>IF(T_学生別進路[[#This Row],[合格時期]]="",0,IF(T_学生別進路[[#This Row],[合格時期]]&lt;L$5,1,0))</f>
        <v>1</v>
      </c>
      <c r="M28" s="30">
        <f>IF(T_学生別進路[[#This Row],[合格時期]]="",0,IF(T_学生別進路[[#This Row],[合格時期]]&lt;M$5,1,0))</f>
        <v>1</v>
      </c>
      <c r="N28" s="30">
        <f>IF(T_学生別進路[[#This Row],[合格時期]]="",0,IF(T_学生別進路[[#This Row],[合格時期]]&lt;N$5,1,0))</f>
        <v>1</v>
      </c>
      <c r="O28" s="30">
        <f>IF(T_学生別進路[[#This Row],[合格時期]]="",0,IF(T_学生別進路[[#This Row],[合格時期]]&lt;O$5,1,0))</f>
        <v>1</v>
      </c>
      <c r="P28" s="30"/>
      <c r="Q28" s="3"/>
      <c r="R28" s="3"/>
      <c r="S28" s="3"/>
      <c r="T28" s="3"/>
      <c r="U28" s="3"/>
    </row>
    <row r="29" spans="1:21" hidden="1" x14ac:dyDescent="0.15">
      <c r="A29" s="32">
        <v>2404017</v>
      </c>
      <c r="B29" s="30" t="str">
        <f>VLOOKUP(T_学生別進路[[#This Row],[学籍番号]],進路状況入力シート!A:B,2,FALSE)</f>
        <v>2-2</v>
      </c>
      <c r="C29" s="30" t="str">
        <f>VLOOKUP(T_学生別進路[[#This Row],[学籍番号]],進路状況入力シート!A:C,3,FALSE)</f>
        <v>HNIN HNIN WAI</v>
      </c>
      <c r="D29" s="30" t="str">
        <f>IF(AND(T_学生別進路[[#This Row],[進路確定]]="○",T_学生別進路[[#This Row],[進学希望フラグ]]=1),"○","")</f>
        <v>○</v>
      </c>
      <c r="E29" s="30" t="str">
        <f>_xlfn.IFNA(RIGHT(VLOOKUP(T_学生別進路[[#This Row],[学籍番号]]&amp;"○",進路状況入力シート!K:K,1,FALSE),1),"")</f>
        <v>○</v>
      </c>
      <c r="F29" s="30">
        <f>IF(T_学生別進路[[#This Row],[進学希望フラグ]]=0,"",IF(T_学生別進路[[#This Row],[進路確定]]="○",1,0))</f>
        <v>1</v>
      </c>
      <c r="G2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9" s="30" t="str">
        <f>_xlfn.XLOOKUP(T_学生別進路[[#This Row],[学籍番号]]&amp;"○",進路状況入力シート!K:K,進路状況入力シート!D:D,"",0,1)</f>
        <v>神戸国際大学</v>
      </c>
      <c r="I29" s="30"/>
      <c r="J29" s="31">
        <v>45992</v>
      </c>
      <c r="K29" s="30">
        <f>IF(T_学生別進路[[#This Row],[合格時期]]="",0,IF(T_学生別進路[[#This Row],[合格時期]]&lt;K$5,1,0))</f>
        <v>0</v>
      </c>
      <c r="L29" s="30">
        <f>IF(T_学生別進路[[#This Row],[合格時期]]="",0,IF(T_学生別進路[[#This Row],[合格時期]]&lt;L$5,1,0))</f>
        <v>1</v>
      </c>
      <c r="M29" s="30">
        <f>IF(T_学生別進路[[#This Row],[合格時期]]="",0,IF(T_学生別進路[[#This Row],[合格時期]]&lt;M$5,1,0))</f>
        <v>1</v>
      </c>
      <c r="N29" s="30">
        <f>IF(T_学生別進路[[#This Row],[合格時期]]="",0,IF(T_学生別進路[[#This Row],[合格時期]]&lt;N$5,1,0))</f>
        <v>1</v>
      </c>
      <c r="O29" s="30">
        <f>IF(T_学生別進路[[#This Row],[合格時期]]="",0,IF(T_学生別進路[[#This Row],[合格時期]]&lt;O$5,1,0))</f>
        <v>1</v>
      </c>
      <c r="P29" s="30"/>
      <c r="Q29" s="3"/>
      <c r="R29" s="3"/>
      <c r="S29" s="3"/>
      <c r="T29" s="3"/>
      <c r="U29" s="3"/>
    </row>
    <row r="30" spans="1:21" hidden="1" x14ac:dyDescent="0.15">
      <c r="A30" s="32">
        <v>2404018</v>
      </c>
      <c r="B30" s="30" t="str">
        <f>VLOOKUP(T_学生別進路[[#This Row],[学籍番号]],進路状況入力シート!A:B,2,FALSE)</f>
        <v>2-2</v>
      </c>
      <c r="C30" s="30" t="str">
        <f>VLOOKUP(T_学生別進路[[#This Row],[学籍番号]],進路状況入力シート!A:C,3,FALSE)</f>
        <v>MAY PHOO THIT</v>
      </c>
      <c r="D30" s="30" t="str">
        <f>IF(AND(T_学生別進路[[#This Row],[進路確定]]="○",T_学生別進路[[#This Row],[進学希望フラグ]]=1),"○","")</f>
        <v>○</v>
      </c>
      <c r="E30" s="30" t="str">
        <f>_xlfn.IFNA(RIGHT(VLOOKUP(T_学生別進路[[#This Row],[学籍番号]]&amp;"○",進路状況入力シート!K:K,1,FALSE),1),"")</f>
        <v>○</v>
      </c>
      <c r="F30" s="30">
        <f>IF(T_学生別進路[[#This Row],[進学希望フラグ]]=0,"",IF(T_学生別進路[[#This Row],[進路確定]]="○",1,0))</f>
        <v>1</v>
      </c>
      <c r="G3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0" s="30" t="str">
        <f>_xlfn.XLOOKUP(T_学生別進路[[#This Row],[学籍番号]]&amp;"○",進路状況入力シート!K:K,進路状況入力シート!D:D,"",0,1)</f>
        <v>大阪モード学園</v>
      </c>
      <c r="I30" s="30"/>
      <c r="J30" s="31">
        <v>45931</v>
      </c>
      <c r="K30" s="30">
        <f>IF(T_学生別進路[[#This Row],[合格時期]]="",0,IF(T_学生別進路[[#This Row],[合格時期]]&lt;K$5,1,0))</f>
        <v>1</v>
      </c>
      <c r="L30" s="30">
        <f>IF(T_学生別進路[[#This Row],[合格時期]]="",0,IF(T_学生別進路[[#This Row],[合格時期]]&lt;L$5,1,0))</f>
        <v>1</v>
      </c>
      <c r="M30" s="30">
        <f>IF(T_学生別進路[[#This Row],[合格時期]]="",0,IF(T_学生別進路[[#This Row],[合格時期]]&lt;M$5,1,0))</f>
        <v>1</v>
      </c>
      <c r="N30" s="30">
        <f>IF(T_学生別進路[[#This Row],[合格時期]]="",0,IF(T_学生別進路[[#This Row],[合格時期]]&lt;N$5,1,0))</f>
        <v>1</v>
      </c>
      <c r="O30" s="30">
        <f>IF(T_学生別進路[[#This Row],[合格時期]]="",0,IF(T_学生別進路[[#This Row],[合格時期]]&lt;O$5,1,0))</f>
        <v>1</v>
      </c>
      <c r="P30" s="30"/>
      <c r="Q30" s="3"/>
      <c r="R30" s="3"/>
      <c r="S30" s="3"/>
      <c r="T30" s="3"/>
      <c r="U30" s="3"/>
    </row>
    <row r="31" spans="1:21" hidden="1" x14ac:dyDescent="0.15">
      <c r="A31" s="32">
        <v>2404020</v>
      </c>
      <c r="B31" s="30" t="str">
        <f>VLOOKUP(T_学生別進路[[#This Row],[学籍番号]],進路状況入力シート!A:B,2,FALSE)</f>
        <v>2-2</v>
      </c>
      <c r="C31" s="30" t="str">
        <f>VLOOKUP(T_学生別進路[[#This Row],[学籍番号]],進路状況入力シート!A:C,3,FALSE)</f>
        <v>SAI KWAN PHA</v>
      </c>
      <c r="D31" s="30" t="str">
        <f>IF(AND(T_学生別進路[[#This Row],[進路確定]]="○",T_学生別進路[[#This Row],[進学希望フラグ]]=1),"○","")</f>
        <v>○</v>
      </c>
      <c r="E31" s="30" t="str">
        <f>_xlfn.IFNA(RIGHT(VLOOKUP(T_学生別進路[[#This Row],[学籍番号]]&amp;"○",進路状況入力シート!K:K,1,FALSE),1),"")</f>
        <v>○</v>
      </c>
      <c r="F31" s="30">
        <f>IF(T_学生別進路[[#This Row],[進学希望フラグ]]=0,"",IF(T_学生別進路[[#This Row],[進路確定]]="○",1,0))</f>
        <v>1</v>
      </c>
      <c r="G3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1" s="30" t="str">
        <f>_xlfn.XLOOKUP(T_学生別進路[[#This Row],[学籍番号]]&amp;"○",進路状況入力シート!K:K,進路状況入力シート!D:D,"",0,1)</f>
        <v>ECC国際外語専門学校</v>
      </c>
      <c r="I31" s="39" t="s">
        <v>627</v>
      </c>
      <c r="J31" s="31">
        <v>46023</v>
      </c>
      <c r="K31" s="30">
        <f>IF(T_学生別進路[[#This Row],[合格時期]]="",0,IF(T_学生別進路[[#This Row],[合格時期]]&lt;K$5,1,0))</f>
        <v>0</v>
      </c>
      <c r="L31" s="30">
        <f>IF(T_学生別進路[[#This Row],[合格時期]]="",0,IF(T_学生別進路[[#This Row],[合格時期]]&lt;L$5,1,0))</f>
        <v>0</v>
      </c>
      <c r="M31" s="30">
        <f>IF(T_学生別進路[[#This Row],[合格時期]]="",0,IF(T_学生別進路[[#This Row],[合格時期]]&lt;M$5,1,0))</f>
        <v>1</v>
      </c>
      <c r="N31" s="30">
        <f>IF(T_学生別進路[[#This Row],[合格時期]]="",0,IF(T_学生別進路[[#This Row],[合格時期]]&lt;N$5,1,0))</f>
        <v>1</v>
      </c>
      <c r="O31" s="30">
        <f>IF(T_学生別進路[[#This Row],[合格時期]]="",0,IF(T_学生別進路[[#This Row],[合格時期]]&lt;O$5,1,0))</f>
        <v>1</v>
      </c>
      <c r="P31" s="30"/>
      <c r="Q31" s="3"/>
      <c r="R31" s="3"/>
      <c r="S31" s="3"/>
      <c r="T31" s="3"/>
      <c r="U31" s="3"/>
    </row>
    <row r="32" spans="1:21" hidden="1" x14ac:dyDescent="0.15">
      <c r="A32" s="32">
        <v>2404023</v>
      </c>
      <c r="B32" s="30" t="str">
        <f>VLOOKUP(T_学生別進路[[#This Row],[学籍番号]],進路状況入力シート!A:B,2,FALSE)</f>
        <v>2-2</v>
      </c>
      <c r="C32" s="30" t="str">
        <f>VLOOKUP(T_学生別進路[[#This Row],[学籍番号]],進路状況入力シート!A:C,3,FALSE)</f>
        <v>LAE YI HTUN</v>
      </c>
      <c r="D32" s="30" t="str">
        <f>IF(AND(T_学生別進路[[#This Row],[進路確定]]="○",T_学生別進路[[#This Row],[進学希望フラグ]]=1),"○","")</f>
        <v>○</v>
      </c>
      <c r="E32" s="30" t="str">
        <f>_xlfn.IFNA(RIGHT(VLOOKUP(T_学生別進路[[#This Row],[学籍番号]]&amp;"○",進路状況入力シート!K:K,1,FALSE),1),"")</f>
        <v>○</v>
      </c>
      <c r="F32" s="30">
        <f>IF(T_学生別進路[[#This Row],[進学希望フラグ]]=0,"",IF(T_学生別進路[[#This Row],[進路確定]]="○",1,0))</f>
        <v>1</v>
      </c>
      <c r="G3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2" s="30" t="str">
        <f>_xlfn.XLOOKUP(T_学生別進路[[#This Row],[学籍番号]]&amp;"○",進路状況入力シート!K:K,進路状況入力シート!D:D,"",0,1)</f>
        <v>修成建設専門学校</v>
      </c>
      <c r="I32" s="30"/>
      <c r="J32" s="31">
        <v>45931</v>
      </c>
      <c r="K32" s="30">
        <f>IF(T_学生別進路[[#This Row],[合格時期]]="",0,IF(T_学生別進路[[#This Row],[合格時期]]&lt;K$5,1,0))</f>
        <v>1</v>
      </c>
      <c r="L32" s="30">
        <f>IF(T_学生別進路[[#This Row],[合格時期]]="",0,IF(T_学生別進路[[#This Row],[合格時期]]&lt;L$5,1,0))</f>
        <v>1</v>
      </c>
      <c r="M32" s="30">
        <f>IF(T_学生別進路[[#This Row],[合格時期]]="",0,IF(T_学生別進路[[#This Row],[合格時期]]&lt;M$5,1,0))</f>
        <v>1</v>
      </c>
      <c r="N32" s="30">
        <f>IF(T_学生別進路[[#This Row],[合格時期]]="",0,IF(T_学生別進路[[#This Row],[合格時期]]&lt;N$5,1,0))</f>
        <v>1</v>
      </c>
      <c r="O32" s="30">
        <f>IF(T_学生別進路[[#This Row],[合格時期]]="",0,IF(T_学生別進路[[#This Row],[合格時期]]&lt;O$5,1,0))</f>
        <v>1</v>
      </c>
      <c r="P32" s="30"/>
      <c r="Q32" s="3"/>
      <c r="R32" s="3"/>
      <c r="S32" s="3"/>
      <c r="T32" s="3"/>
      <c r="U32" s="3"/>
    </row>
    <row r="33" spans="1:21" x14ac:dyDescent="0.15">
      <c r="A33" s="32">
        <v>2404024</v>
      </c>
      <c r="B33" s="30" t="str">
        <f>VLOOKUP(T_学生別進路[[#This Row],[学籍番号]],進路状況入力シート!A:B,2,FALSE)</f>
        <v>2-2</v>
      </c>
      <c r="C33" s="49" t="str">
        <f>VLOOKUP(T_学生別進路[[#This Row],[学籍番号]],進路状況入力シート!A:C,3,FALSE)</f>
        <v>KHAY MON CHAN</v>
      </c>
      <c r="D33" s="30" t="str">
        <f>IF(AND(T_学生別進路[[#This Row],[進路確定]]="○",T_学生別進路[[#This Row],[進学希望フラグ]]=1),"○","")</f>
        <v/>
      </c>
      <c r="E33" s="30" t="str">
        <f>_xlfn.IFNA(RIGHT(VLOOKUP(T_学生別進路[[#This Row],[学籍番号]]&amp;"○",進路状況入力シート!K:K,1,FALSE),1),"")</f>
        <v/>
      </c>
      <c r="F33" s="30" t="str">
        <f>IF(T_学生別進路[[#This Row],[進学希望フラグ]]=0,"",IF(T_学生別進路[[#This Row],[進路確定]]="○",1,0))</f>
        <v/>
      </c>
      <c r="G3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33" s="30" t="str">
        <f>_xlfn.XLOOKUP(T_学生別進路[[#This Row],[学籍番号]]&amp;"○",進路状況入力シート!K:K,進路状況入力シート!D:D,"",0,1)</f>
        <v/>
      </c>
      <c r="I33" s="39"/>
      <c r="J33" s="31"/>
      <c r="K33" s="30">
        <f>IF(T_学生別進路[[#This Row],[合格時期]]="",0,IF(T_学生別進路[[#This Row],[合格時期]]&lt;K$5,1,0))</f>
        <v>0</v>
      </c>
      <c r="L33" s="30">
        <f>IF(T_学生別進路[[#This Row],[合格時期]]="",0,IF(T_学生別進路[[#This Row],[合格時期]]&lt;L$5,1,0))</f>
        <v>0</v>
      </c>
      <c r="M33" s="30">
        <f>IF(T_学生別進路[[#This Row],[合格時期]]="",0,IF(T_学生別進路[[#This Row],[合格時期]]&lt;M$5,1,0))</f>
        <v>0</v>
      </c>
      <c r="N33" s="30">
        <f>IF(T_学生別進路[[#This Row],[合格時期]]="",0,IF(T_学生別進路[[#This Row],[合格時期]]&lt;N$5,1,0))</f>
        <v>0</v>
      </c>
      <c r="O33" s="30">
        <f>IF(T_学生別進路[[#This Row],[合格時期]]="",0,IF(T_学生別進路[[#This Row],[合格時期]]&lt;O$5,1,0))</f>
        <v>0</v>
      </c>
      <c r="P33" s="30" t="s">
        <v>735</v>
      </c>
      <c r="Q33" s="3"/>
      <c r="R33" s="3"/>
      <c r="S33" s="3"/>
      <c r="T33" s="3"/>
      <c r="U33" s="3"/>
    </row>
    <row r="34" spans="1:21" hidden="1" x14ac:dyDescent="0.15">
      <c r="A34" s="32">
        <v>2404026</v>
      </c>
      <c r="B34" s="30" t="str">
        <f>VLOOKUP(T_学生別進路[[#This Row],[学籍番号]],進路状況入力シート!A:B,2,FALSE)</f>
        <v>2-2</v>
      </c>
      <c r="C34" s="30" t="str">
        <f>VLOOKUP(T_学生別進路[[#This Row],[学籍番号]],進路状況入力シート!A:C,3,FALSE)</f>
        <v>YE MIN HTET</v>
      </c>
      <c r="D34" s="30" t="str">
        <f>IF(AND(T_学生別進路[[#This Row],[進路確定]]="○",T_学生別進路[[#This Row],[進学希望フラグ]]=1),"○","")</f>
        <v>○</v>
      </c>
      <c r="E34" s="30" t="str">
        <f>_xlfn.IFNA(RIGHT(VLOOKUP(T_学生別進路[[#This Row],[学籍番号]]&amp;"○",進路状況入力シート!K:K,1,FALSE),1),"")</f>
        <v>○</v>
      </c>
      <c r="F34" s="30">
        <f>IF(T_学生別進路[[#This Row],[進学希望フラグ]]=0,"",IF(T_学生別進路[[#This Row],[進路確定]]="○",1,0))</f>
        <v>1</v>
      </c>
      <c r="G3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4" s="30" t="str">
        <f>_xlfn.XLOOKUP(T_学生別進路[[#This Row],[学籍番号]]&amp;"○",進路状況入力シート!K:K,進路状況入力シート!D:D,"",0,1)</f>
        <v>神戸松蔭大学</v>
      </c>
      <c r="I34" s="39" t="s">
        <v>627</v>
      </c>
      <c r="J34" s="31">
        <v>45992</v>
      </c>
      <c r="K34" s="30">
        <f>IF(T_学生別進路[[#This Row],[合格時期]]="",0,IF(T_学生別進路[[#This Row],[合格時期]]&lt;K$5,1,0))</f>
        <v>0</v>
      </c>
      <c r="L34" s="30">
        <f>IF(T_学生別進路[[#This Row],[合格時期]]="",0,IF(T_学生別進路[[#This Row],[合格時期]]&lt;L$5,1,0))</f>
        <v>1</v>
      </c>
      <c r="M34" s="30">
        <f>IF(T_学生別進路[[#This Row],[合格時期]]="",0,IF(T_学生別進路[[#This Row],[合格時期]]&lt;M$5,1,0))</f>
        <v>1</v>
      </c>
      <c r="N34" s="30">
        <f>IF(T_学生別進路[[#This Row],[合格時期]]="",0,IF(T_学生別進路[[#This Row],[合格時期]]&lt;N$5,1,0))</f>
        <v>1</v>
      </c>
      <c r="O34" s="30">
        <f>IF(T_学生別進路[[#This Row],[合格時期]]="",0,IF(T_学生別進路[[#This Row],[合格時期]]&lt;O$5,1,0))</f>
        <v>1</v>
      </c>
      <c r="P34" s="30"/>
      <c r="Q34" s="3"/>
      <c r="R34" s="3"/>
      <c r="S34" s="3"/>
      <c r="T34" s="3"/>
      <c r="U34" s="3"/>
    </row>
    <row r="35" spans="1:21" hidden="1" x14ac:dyDescent="0.15">
      <c r="A35" s="32">
        <v>2404029</v>
      </c>
      <c r="B35" s="30" t="str">
        <f>VLOOKUP(T_学生別進路[[#This Row],[学籍番号]],進路状況入力シート!A:B,2,FALSE)</f>
        <v>2-2</v>
      </c>
      <c r="C35" s="30" t="str">
        <f>VLOOKUP(T_学生別進路[[#This Row],[学籍番号]],進路状況入力シート!A:C,3,FALSE)</f>
        <v>KAY ZIN OO</v>
      </c>
      <c r="D35" s="30" t="str">
        <f>IF(AND(T_学生別進路[[#This Row],[進路確定]]="○",T_学生別進路[[#This Row],[進学希望フラグ]]=1),"○","")</f>
        <v>○</v>
      </c>
      <c r="E35" s="30" t="str">
        <f>_xlfn.IFNA(RIGHT(VLOOKUP(T_学生別進路[[#This Row],[学籍番号]]&amp;"○",進路状況入力シート!K:K,1,FALSE),1),"")</f>
        <v>○</v>
      </c>
      <c r="F35" s="30">
        <f>IF(T_学生別進路[[#This Row],[進学希望フラグ]]=0,"",IF(T_学生別進路[[#This Row],[進路確定]]="○",1,0))</f>
        <v>1</v>
      </c>
      <c r="G3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5" s="30" t="str">
        <f>_xlfn.XLOOKUP(T_学生別進路[[#This Row],[学籍番号]]&amp;"○",進路状況入力シート!K:K,進路状況入力シート!D:D,"",0,1)</f>
        <v>ECC国際外語専門学校</v>
      </c>
      <c r="I35" s="39" t="s">
        <v>627</v>
      </c>
      <c r="J35" s="31">
        <v>45962</v>
      </c>
      <c r="K35" s="30">
        <f>IF(T_学生別進路[[#This Row],[合格時期]]="",0,IF(T_学生別進路[[#This Row],[合格時期]]&lt;K$5,1,0))</f>
        <v>1</v>
      </c>
      <c r="L35" s="30">
        <f>IF(T_学生別進路[[#This Row],[合格時期]]="",0,IF(T_学生別進路[[#This Row],[合格時期]]&lt;L$5,1,0))</f>
        <v>1</v>
      </c>
      <c r="M35" s="30">
        <f>IF(T_学生別進路[[#This Row],[合格時期]]="",0,IF(T_学生別進路[[#This Row],[合格時期]]&lt;M$5,1,0))</f>
        <v>1</v>
      </c>
      <c r="N35" s="30">
        <f>IF(T_学生別進路[[#This Row],[合格時期]]="",0,IF(T_学生別進路[[#This Row],[合格時期]]&lt;N$5,1,0))</f>
        <v>1</v>
      </c>
      <c r="O35" s="30">
        <f>IF(T_学生別進路[[#This Row],[合格時期]]="",0,IF(T_学生別進路[[#This Row],[合格時期]]&lt;O$5,1,0))</f>
        <v>1</v>
      </c>
      <c r="P35" s="30"/>
      <c r="Q35" s="3"/>
      <c r="R35" s="3"/>
      <c r="S35" s="3"/>
      <c r="T35" s="3"/>
      <c r="U35" s="3"/>
    </row>
    <row r="36" spans="1:21" hidden="1" x14ac:dyDescent="0.15">
      <c r="A36" s="32">
        <v>2404030</v>
      </c>
      <c r="B36" s="30" t="str">
        <f>VLOOKUP(T_学生別進路[[#This Row],[学籍番号]],進路状況入力シート!A:B,2,FALSE)</f>
        <v>2-2</v>
      </c>
      <c r="C36" s="30" t="str">
        <f>VLOOKUP(T_学生別進路[[#This Row],[学籍番号]],進路状況入力シート!A:C,3,FALSE)</f>
        <v>MYAT PWINT WAI</v>
      </c>
      <c r="D36" s="30" t="str">
        <f>IF(AND(T_学生別進路[[#This Row],[進路確定]]="○",T_学生別進路[[#This Row],[進学希望フラグ]]=1),"○","")</f>
        <v>○</v>
      </c>
      <c r="E36" s="30" t="str">
        <f>_xlfn.IFNA(RIGHT(VLOOKUP(T_学生別進路[[#This Row],[学籍番号]]&amp;"○",進路状況入力シート!K:K,1,FALSE),1),"")</f>
        <v>○</v>
      </c>
      <c r="F36" s="30">
        <f>IF(T_学生別進路[[#This Row],[進学希望フラグ]]=0,"",IF(T_学生別進路[[#This Row],[進路確定]]="○",1,0))</f>
        <v>1</v>
      </c>
      <c r="G3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6" s="30" t="str">
        <f>_xlfn.XLOOKUP(T_学生別進路[[#This Row],[学籍番号]]&amp;"○",進路状況入力シート!K:K,進路状況入力シート!D:D,"",0,1)</f>
        <v>中央工学校</v>
      </c>
      <c r="I36" s="39" t="s">
        <v>627</v>
      </c>
      <c r="J36" s="31">
        <v>46023</v>
      </c>
      <c r="K36" s="30">
        <f>IF(T_学生別進路[[#This Row],[合格時期]]="",0,IF(T_学生別進路[[#This Row],[合格時期]]&lt;K$5,1,0))</f>
        <v>0</v>
      </c>
      <c r="L36" s="30">
        <f>IF(T_学生別進路[[#This Row],[合格時期]]="",0,IF(T_学生別進路[[#This Row],[合格時期]]&lt;L$5,1,0))</f>
        <v>0</v>
      </c>
      <c r="M36" s="30">
        <f>IF(T_学生別進路[[#This Row],[合格時期]]="",0,IF(T_学生別進路[[#This Row],[合格時期]]&lt;M$5,1,0))</f>
        <v>1</v>
      </c>
      <c r="N36" s="30">
        <f>IF(T_学生別進路[[#This Row],[合格時期]]="",0,IF(T_学生別進路[[#This Row],[合格時期]]&lt;N$5,1,0))</f>
        <v>1</v>
      </c>
      <c r="O36" s="30">
        <f>IF(T_学生別進路[[#This Row],[合格時期]]="",0,IF(T_学生別進路[[#This Row],[合格時期]]&lt;O$5,1,0))</f>
        <v>1</v>
      </c>
      <c r="P36" s="30"/>
      <c r="Q36" s="3"/>
      <c r="R36" s="3"/>
      <c r="S36" s="3"/>
      <c r="T36" s="3"/>
      <c r="U36" s="3"/>
    </row>
    <row r="37" spans="1:21" hidden="1" x14ac:dyDescent="0.15">
      <c r="A37" s="32">
        <v>2404049</v>
      </c>
      <c r="B37" s="30" t="str">
        <f>VLOOKUP(T_学生別進路[[#This Row],[学籍番号]],進路状況入力シート!A:B,2,FALSE)</f>
        <v>2-2</v>
      </c>
      <c r="C37" s="30" t="str">
        <f>VLOOKUP(T_学生別進路[[#This Row],[学籍番号]],進路状況入力シート!A:C,3,FALSE)</f>
        <v>SAI KHANT SITHU</v>
      </c>
      <c r="D37" s="30" t="str">
        <f>IF(AND(T_学生別進路[[#This Row],[進路確定]]="○",T_学生別進路[[#This Row],[進学希望フラグ]]=1),"○","")</f>
        <v>○</v>
      </c>
      <c r="E37" s="30" t="str">
        <f>_xlfn.IFNA(RIGHT(VLOOKUP(T_学生別進路[[#This Row],[学籍番号]]&amp;"○",進路状況入力シート!K:K,1,FALSE),1),"")</f>
        <v>○</v>
      </c>
      <c r="F37" s="30">
        <f>IF(T_学生別進路[[#This Row],[進学希望フラグ]]=0,"",IF(T_学生別進路[[#This Row],[進路確定]]="○",1,0))</f>
        <v>1</v>
      </c>
      <c r="G3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7" s="30" t="str">
        <f>_xlfn.XLOOKUP(T_学生別進路[[#This Row],[学籍番号]]&amp;"○",進路状況入力シート!K:K,進路状況入力シート!D:D,"",0,1)</f>
        <v>大阪モード学園</v>
      </c>
      <c r="I37" s="30"/>
      <c r="J37" s="31">
        <v>45931</v>
      </c>
      <c r="K37" s="30">
        <f>IF(T_学生別進路[[#This Row],[合格時期]]="",0,IF(T_学生別進路[[#This Row],[合格時期]]&lt;K$5,1,0))</f>
        <v>1</v>
      </c>
      <c r="L37" s="30">
        <f>IF(T_学生別進路[[#This Row],[合格時期]]="",0,IF(T_学生別進路[[#This Row],[合格時期]]&lt;L$5,1,0))</f>
        <v>1</v>
      </c>
      <c r="M37" s="30">
        <f>IF(T_学生別進路[[#This Row],[合格時期]]="",0,IF(T_学生別進路[[#This Row],[合格時期]]&lt;M$5,1,0))</f>
        <v>1</v>
      </c>
      <c r="N37" s="30">
        <f>IF(T_学生別進路[[#This Row],[合格時期]]="",0,IF(T_学生別進路[[#This Row],[合格時期]]&lt;N$5,1,0))</f>
        <v>1</v>
      </c>
      <c r="O37" s="30">
        <f>IF(T_学生別進路[[#This Row],[合格時期]]="",0,IF(T_学生別進路[[#This Row],[合格時期]]&lt;O$5,1,0))</f>
        <v>1</v>
      </c>
      <c r="P37" s="30"/>
      <c r="Q37" s="3"/>
      <c r="R37" s="3"/>
      <c r="S37" s="3"/>
      <c r="T37" s="3"/>
      <c r="U37" s="3"/>
    </row>
    <row r="38" spans="1:21" hidden="1" x14ac:dyDescent="0.15">
      <c r="A38" s="32">
        <v>2404110</v>
      </c>
      <c r="B38" s="30" t="str">
        <f>VLOOKUP(T_学生別進路[[#This Row],[学籍番号]],進路状況入力シート!A:B,2,FALSE)</f>
        <v>2-2</v>
      </c>
      <c r="C38" s="30" t="str">
        <f>VLOOKUP(T_学生別進路[[#This Row],[学籍番号]],進路状況入力シート!A:C,3,FALSE)</f>
        <v>MD. JONAYET</v>
      </c>
      <c r="D38" s="30" t="str">
        <f>IF(AND(T_学生別進路[[#This Row],[進路確定]]="○",T_学生別進路[[#This Row],[進学希望フラグ]]=1),"○","")</f>
        <v>○</v>
      </c>
      <c r="E38" s="30" t="str">
        <f>_xlfn.IFNA(RIGHT(VLOOKUP(T_学生別進路[[#This Row],[学籍番号]]&amp;"○",進路状況入力シート!K:K,1,FALSE),1),"")</f>
        <v>○</v>
      </c>
      <c r="F38" s="30">
        <f>IF(T_学生別進路[[#This Row],[進学希望フラグ]]=0,"",IF(T_学生別進路[[#This Row],[進路確定]]="○",1,0))</f>
        <v>1</v>
      </c>
      <c r="G3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8" s="30" t="str">
        <f>_xlfn.XLOOKUP(T_学生別進路[[#This Row],[学籍番号]]&amp;"○",進路状況入力シート!K:K,進路状況入力シート!D:D,"",0,1)</f>
        <v>早稲田文理専門学校</v>
      </c>
      <c r="I38" s="39" t="s">
        <v>626</v>
      </c>
      <c r="J38" s="31">
        <v>45992</v>
      </c>
      <c r="K38" s="30">
        <f>IF(T_学生別進路[[#This Row],[合格時期]]="",0,IF(T_学生別進路[[#This Row],[合格時期]]&lt;K$5,1,0))</f>
        <v>0</v>
      </c>
      <c r="L38" s="30">
        <f>IF(T_学生別進路[[#This Row],[合格時期]]="",0,IF(T_学生別進路[[#This Row],[合格時期]]&lt;L$5,1,0))</f>
        <v>1</v>
      </c>
      <c r="M38" s="30">
        <f>IF(T_学生別進路[[#This Row],[合格時期]]="",0,IF(T_学生別進路[[#This Row],[合格時期]]&lt;M$5,1,0))</f>
        <v>1</v>
      </c>
      <c r="N38" s="30">
        <f>IF(T_学生別進路[[#This Row],[合格時期]]="",0,IF(T_学生別進路[[#This Row],[合格時期]]&lt;N$5,1,0))</f>
        <v>1</v>
      </c>
      <c r="O38" s="30">
        <f>IF(T_学生別進路[[#This Row],[合格時期]]="",0,IF(T_学生別進路[[#This Row],[合格時期]]&lt;O$5,1,0))</f>
        <v>1</v>
      </c>
      <c r="P38" s="30"/>
      <c r="Q38" s="3"/>
      <c r="R38" s="3"/>
      <c r="S38" s="3"/>
      <c r="T38" s="3"/>
      <c r="U38" s="3"/>
    </row>
    <row r="39" spans="1:21" hidden="1" x14ac:dyDescent="0.15">
      <c r="A39" s="32">
        <v>2404165</v>
      </c>
      <c r="B39" s="30" t="str">
        <f>VLOOKUP(T_学生別進路[[#This Row],[学籍番号]],進路状況入力シート!A:B,2,FALSE)</f>
        <v>2-2</v>
      </c>
      <c r="C39" s="30" t="str">
        <f>VLOOKUP(T_学生別進路[[#This Row],[学籍番号]],進路状況入力シート!A:C,3,FALSE)</f>
        <v>GIRI TAPENDRA RAJ</v>
      </c>
      <c r="D39" s="30" t="str">
        <f>IF(AND(T_学生別進路[[#This Row],[進路確定]]="○",T_学生別進路[[#This Row],[進学希望フラグ]]=1),"○","")</f>
        <v>○</v>
      </c>
      <c r="E39" s="30" t="str">
        <f>_xlfn.IFNA(RIGHT(VLOOKUP(T_学生別進路[[#This Row],[学籍番号]]&amp;"○",進路状況入力シート!K:K,1,FALSE),1),"")</f>
        <v>○</v>
      </c>
      <c r="F39" s="30">
        <f>IF(T_学生別進路[[#This Row],[進学希望フラグ]]=0,"",IF(T_学生別進路[[#This Row],[進路確定]]="○",1,0))</f>
        <v>1</v>
      </c>
      <c r="G3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39" s="30" t="str">
        <f>_xlfn.XLOOKUP(T_学生別進路[[#This Row],[学籍番号]]&amp;"○",進路状況入力シート!K:K,進路状況入力シート!D:D,"",0,1)</f>
        <v>柏木実業専門学校</v>
      </c>
      <c r="I39" s="30"/>
      <c r="J39" s="31">
        <v>45962</v>
      </c>
      <c r="K39" s="30">
        <f>IF(T_学生別進路[[#This Row],[合格時期]]="",0,IF(T_学生別進路[[#This Row],[合格時期]]&lt;K$5,1,0))</f>
        <v>1</v>
      </c>
      <c r="L39" s="30">
        <f>IF(T_学生別進路[[#This Row],[合格時期]]="",0,IF(T_学生別進路[[#This Row],[合格時期]]&lt;L$5,1,0))</f>
        <v>1</v>
      </c>
      <c r="M39" s="30">
        <f>IF(T_学生別進路[[#This Row],[合格時期]]="",0,IF(T_学生別進路[[#This Row],[合格時期]]&lt;M$5,1,0))</f>
        <v>1</v>
      </c>
      <c r="N39" s="30">
        <f>IF(T_学生別進路[[#This Row],[合格時期]]="",0,IF(T_学生別進路[[#This Row],[合格時期]]&lt;N$5,1,0))</f>
        <v>1</v>
      </c>
      <c r="O39" s="30">
        <f>IF(T_学生別進路[[#This Row],[合格時期]]="",0,IF(T_学生別進路[[#This Row],[合格時期]]&lt;O$5,1,0))</f>
        <v>1</v>
      </c>
      <c r="P39" s="30"/>
      <c r="Q39" s="3"/>
      <c r="R39" s="3"/>
      <c r="S39" s="3"/>
      <c r="T39" s="3"/>
      <c r="U39" s="3"/>
    </row>
    <row r="40" spans="1:21" hidden="1" x14ac:dyDescent="0.15">
      <c r="A40" s="32">
        <v>2407029</v>
      </c>
      <c r="B40" s="30" t="str">
        <f>VLOOKUP(T_学生別進路[[#This Row],[学籍番号]],進路状況入力シート!A:B,2,FALSE)</f>
        <v>2-2</v>
      </c>
      <c r="C40" s="42" t="str">
        <f>VLOOKUP(T_学生別進路[[#This Row],[学籍番号]],進路状況入力シート!A:C,3,FALSE)</f>
        <v>EI EI THEIN</v>
      </c>
      <c r="D40" s="30" t="str">
        <f>IF(AND(T_学生別進路[[#This Row],[進路確定]]="○",T_学生別進路[[#This Row],[進学希望フラグ]]=1),"○","")</f>
        <v/>
      </c>
      <c r="E40" s="30" t="str">
        <f>_xlfn.IFNA(RIGHT(VLOOKUP(T_学生別進路[[#This Row],[学籍番号]]&amp;"○",進路状況入力シート!K:K,1,FALSE),1),"")</f>
        <v>○</v>
      </c>
      <c r="F40" s="30" t="str">
        <f>IF(T_学生別進路[[#This Row],[進学希望フラグ]]=0,"",IF(T_学生別進路[[#This Row],[進路確定]]="○",1,0))</f>
        <v/>
      </c>
      <c r="G4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40" s="30">
        <f>_xlfn.XLOOKUP(T_学生別進路[[#This Row],[学籍番号]]&amp;"○",進路状況入力シート!K:K,進路状況入力シート!D:D,"",0,1)</f>
        <v>0</v>
      </c>
      <c r="I40" s="39"/>
      <c r="J40" s="31"/>
      <c r="K40" s="30">
        <f>IF(T_学生別進路[[#This Row],[合格時期]]="",0,IF(T_学生別進路[[#This Row],[合格時期]]&lt;K$5,1,0))</f>
        <v>0</v>
      </c>
      <c r="L40" s="30">
        <f>IF(T_学生別進路[[#This Row],[合格時期]]="",0,IF(T_学生別進路[[#This Row],[合格時期]]&lt;L$5,1,0))</f>
        <v>0</v>
      </c>
      <c r="M40" s="30">
        <f>IF(T_学生別進路[[#This Row],[合格時期]]="",0,IF(T_学生別進路[[#This Row],[合格時期]]&lt;M$5,1,0))</f>
        <v>0</v>
      </c>
      <c r="N40" s="30">
        <f>IF(T_学生別進路[[#This Row],[合格時期]]="",0,IF(T_学生別進路[[#This Row],[合格時期]]&lt;N$5,1,0))</f>
        <v>0</v>
      </c>
      <c r="O40" s="30">
        <f>IF(T_学生別進路[[#This Row],[合格時期]]="",0,IF(T_学生別進路[[#This Row],[合格時期]]&lt;O$5,1,0))</f>
        <v>0</v>
      </c>
      <c r="P40" s="30"/>
      <c r="Q40" s="3"/>
      <c r="R40" s="3"/>
      <c r="S40" s="3"/>
      <c r="T40" s="3"/>
      <c r="U40" s="3"/>
    </row>
    <row r="41" spans="1:21" hidden="1" x14ac:dyDescent="0.15">
      <c r="A41" s="32">
        <v>2407068</v>
      </c>
      <c r="B41" s="30" t="str">
        <f>VLOOKUP(T_学生別進路[[#This Row],[学籍番号]],進路状況入力シート!A:B,2,FALSE)</f>
        <v>2-2</v>
      </c>
      <c r="C41" s="30" t="str">
        <f>VLOOKUP(T_学生別進路[[#This Row],[学籍番号]],進路状況入力シート!A:C,3,FALSE)</f>
        <v>TAMANG NIKITA</v>
      </c>
      <c r="D41" s="30" t="str">
        <f>IF(AND(T_学生別進路[[#This Row],[進路確定]]="○",T_学生別進路[[#This Row],[進学希望フラグ]]=1),"○","")</f>
        <v>○</v>
      </c>
      <c r="E41" s="30" t="str">
        <f>_xlfn.IFNA(RIGHT(VLOOKUP(T_学生別進路[[#This Row],[学籍番号]]&amp;"○",進路状況入力シート!K:K,1,FALSE),1),"")</f>
        <v>○</v>
      </c>
      <c r="F41" s="30">
        <f>IF(T_学生別進路[[#This Row],[進学希望フラグ]]=0,"",IF(T_学生別進路[[#This Row],[進路確定]]="○",1,0))</f>
        <v>1</v>
      </c>
      <c r="G4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41" s="30" t="str">
        <f>_xlfn.XLOOKUP(T_学生別進路[[#This Row],[学籍番号]]&amp;"○",進路状況入力シート!K:K,進路状況入力シート!D:D,"",0,1)</f>
        <v>流通経済大学</v>
      </c>
      <c r="I41" s="30"/>
      <c r="J41" s="31">
        <v>45962</v>
      </c>
      <c r="K41" s="30">
        <f>IF(T_学生別進路[[#This Row],[合格時期]]="",0,IF(T_学生別進路[[#This Row],[合格時期]]&lt;K$5,1,0))</f>
        <v>1</v>
      </c>
      <c r="L41" s="30">
        <f>IF(T_学生別進路[[#This Row],[合格時期]]="",0,IF(T_学生別進路[[#This Row],[合格時期]]&lt;L$5,1,0))</f>
        <v>1</v>
      </c>
      <c r="M41" s="30">
        <f>IF(T_学生別進路[[#This Row],[合格時期]]="",0,IF(T_学生別進路[[#This Row],[合格時期]]&lt;M$5,1,0))</f>
        <v>1</v>
      </c>
      <c r="N41" s="30">
        <f>IF(T_学生別進路[[#This Row],[合格時期]]="",0,IF(T_学生別進路[[#This Row],[合格時期]]&lt;N$5,1,0))</f>
        <v>1</v>
      </c>
      <c r="O41" s="30">
        <f>IF(T_学生別進路[[#This Row],[合格時期]]="",0,IF(T_学生別進路[[#This Row],[合格時期]]&lt;O$5,1,0))</f>
        <v>1</v>
      </c>
      <c r="P41" s="30"/>
      <c r="Q41" s="3"/>
      <c r="R41" s="3"/>
      <c r="S41" s="3"/>
      <c r="T41" s="3"/>
      <c r="U41" s="3"/>
    </row>
    <row r="42" spans="1:21" hidden="1" x14ac:dyDescent="0.15">
      <c r="A42" s="32">
        <v>2407070</v>
      </c>
      <c r="B42" s="30" t="str">
        <f>VLOOKUP(T_学生別進路[[#This Row],[学籍番号]],進路状況入力シート!A:B,2,FALSE)</f>
        <v>2-2</v>
      </c>
      <c r="C42" s="30" t="str">
        <f>VLOOKUP(T_学生別進路[[#This Row],[学籍番号]],進路状況入力シート!A:C,3,FALSE)</f>
        <v>TAMANG ALISHA</v>
      </c>
      <c r="D42" s="30" t="str">
        <f>IF(AND(T_学生別進路[[#This Row],[進路確定]]="○",T_学生別進路[[#This Row],[進学希望フラグ]]=1),"○","")</f>
        <v>○</v>
      </c>
      <c r="E42" s="30" t="str">
        <f>_xlfn.IFNA(RIGHT(VLOOKUP(T_学生別進路[[#This Row],[学籍番号]]&amp;"○",進路状況入力シート!K:K,1,FALSE),1),"")</f>
        <v>○</v>
      </c>
      <c r="F42" s="30">
        <f>IF(T_学生別進路[[#This Row],[進学希望フラグ]]=0,"",IF(T_学生別進路[[#This Row],[進路確定]]="○",1,0))</f>
        <v>1</v>
      </c>
      <c r="G4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42" s="30" t="str">
        <f>_xlfn.XLOOKUP(T_学生別進路[[#This Row],[学籍番号]]&amp;"○",進路状況入力シート!K:K,進路状況入力シート!D:D,"",0,1)</f>
        <v>東京テクニカルカレッジ</v>
      </c>
      <c r="I42" s="39" t="s">
        <v>627</v>
      </c>
      <c r="J42" s="31">
        <v>45962</v>
      </c>
      <c r="K42" s="30">
        <f>IF(T_学生別進路[[#This Row],[合格時期]]="",0,IF(T_学生別進路[[#This Row],[合格時期]]&lt;K$5,1,0))</f>
        <v>1</v>
      </c>
      <c r="L42" s="30">
        <f>IF(T_学生別進路[[#This Row],[合格時期]]="",0,IF(T_学生別進路[[#This Row],[合格時期]]&lt;L$5,1,0))</f>
        <v>1</v>
      </c>
      <c r="M42" s="30">
        <f>IF(T_学生別進路[[#This Row],[合格時期]]="",0,IF(T_学生別進路[[#This Row],[合格時期]]&lt;M$5,1,0))</f>
        <v>1</v>
      </c>
      <c r="N42" s="30">
        <f>IF(T_学生別進路[[#This Row],[合格時期]]="",0,IF(T_学生別進路[[#This Row],[合格時期]]&lt;N$5,1,0))</f>
        <v>1</v>
      </c>
      <c r="O42" s="30">
        <f>IF(T_学生別進路[[#This Row],[合格時期]]="",0,IF(T_学生別進路[[#This Row],[合格時期]]&lt;O$5,1,0))</f>
        <v>1</v>
      </c>
      <c r="P42" s="30"/>
      <c r="Q42" s="3"/>
      <c r="R42" s="3"/>
      <c r="S42" s="3"/>
      <c r="T42" s="3"/>
      <c r="U42" s="3"/>
    </row>
    <row r="43" spans="1:21" hidden="1" x14ac:dyDescent="0.15">
      <c r="A43" s="32">
        <v>2407077</v>
      </c>
      <c r="B43" s="30" t="str">
        <f>VLOOKUP(T_学生別進路[[#This Row],[学籍番号]],進路状況入力シート!A:B,2,FALSE)</f>
        <v>2-2</v>
      </c>
      <c r="C43" s="30" t="str">
        <f>VLOOKUP(T_学生別進路[[#This Row],[学籍番号]],進路状況入力シート!A:C,3,FALSE)</f>
        <v>SHRESTHA BHUWAN</v>
      </c>
      <c r="D43" s="30" t="str">
        <f>IF(AND(T_学生別進路[[#This Row],[進路確定]]="○",T_学生別進路[[#This Row],[進学希望フラグ]]=1),"○","")</f>
        <v>○</v>
      </c>
      <c r="E43" s="30" t="str">
        <f>_xlfn.IFNA(RIGHT(VLOOKUP(T_学生別進路[[#This Row],[学籍番号]]&amp;"○",進路状況入力シート!K:K,1,FALSE),1),"")</f>
        <v>○</v>
      </c>
      <c r="F43" s="30">
        <f>IF(T_学生別進路[[#This Row],[進学希望フラグ]]=0,"",IF(T_学生別進路[[#This Row],[進路確定]]="○",1,0))</f>
        <v>1</v>
      </c>
      <c r="G4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43" s="30" t="str">
        <f>_xlfn.XLOOKUP(T_学生別進路[[#This Row],[学籍番号]]&amp;"○",進路状況入力シート!K:K,進路状況入力シート!D:D,"",0,1)</f>
        <v>東京国際ビジネスカレッジ神戸校</v>
      </c>
      <c r="I43" s="30"/>
      <c r="J43" s="31">
        <v>45931</v>
      </c>
      <c r="K43" s="30">
        <f>IF(T_学生別進路[[#This Row],[合格時期]]="",0,IF(T_学生別進路[[#This Row],[合格時期]]&lt;K$5,1,0))</f>
        <v>1</v>
      </c>
      <c r="L43" s="30">
        <f>IF(T_学生別進路[[#This Row],[合格時期]]="",0,IF(T_学生別進路[[#This Row],[合格時期]]&lt;L$5,1,0))</f>
        <v>1</v>
      </c>
      <c r="M43" s="30">
        <f>IF(T_学生別進路[[#This Row],[合格時期]]="",0,IF(T_学生別進路[[#This Row],[合格時期]]&lt;M$5,1,0))</f>
        <v>1</v>
      </c>
      <c r="N43" s="30">
        <f>IF(T_学生別進路[[#This Row],[合格時期]]="",0,IF(T_学生別進路[[#This Row],[合格時期]]&lt;N$5,1,0))</f>
        <v>1</v>
      </c>
      <c r="O43" s="30">
        <f>IF(T_学生別進路[[#This Row],[合格時期]]="",0,IF(T_学生別進路[[#This Row],[合格時期]]&lt;O$5,1,0))</f>
        <v>1</v>
      </c>
      <c r="P43" s="30"/>
      <c r="Q43" s="3"/>
      <c r="R43" s="3"/>
      <c r="S43" s="3"/>
      <c r="T43" s="3"/>
      <c r="U43" s="3"/>
    </row>
    <row r="44" spans="1:21" hidden="1" x14ac:dyDescent="0.15">
      <c r="A44" s="32">
        <v>2501002</v>
      </c>
      <c r="B44" s="30" t="str">
        <f>VLOOKUP(T_学生別進路[[#This Row],[学籍番号]],進路状況入力シート!A:B,2,FALSE)</f>
        <v>2-2</v>
      </c>
      <c r="C44" s="42" t="str">
        <f>VLOOKUP(T_学生別進路[[#This Row],[学籍番号]],進路状況入力シート!A:C,3,FALSE)</f>
        <v>NWAY KHET KHET PAN</v>
      </c>
      <c r="D44" s="30" t="str">
        <f>IF(AND(T_学生別進路[[#This Row],[進路確定]]="○",T_学生別進路[[#This Row],[進学希望フラグ]]=1),"○","")</f>
        <v/>
      </c>
      <c r="E44" s="30" t="str">
        <f>_xlfn.IFNA(RIGHT(VLOOKUP(T_学生別進路[[#This Row],[学籍番号]]&amp;"○",進路状況入力シート!K:K,1,FALSE),1),"")</f>
        <v>○</v>
      </c>
      <c r="F44" s="30" t="str">
        <f>IF(T_学生別進路[[#This Row],[進学希望フラグ]]=0,"",IF(T_学生別進路[[#This Row],[進路確定]]="○",1,0))</f>
        <v/>
      </c>
      <c r="G4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44" s="30">
        <f>_xlfn.XLOOKUP(T_学生別進路[[#This Row],[学籍番号]]&amp;"○",進路状況入力シート!K:K,進路状況入力シート!D:D,"",0,1)</f>
        <v>0</v>
      </c>
      <c r="I44" s="39" t="s">
        <v>627</v>
      </c>
      <c r="J44" s="31"/>
      <c r="K44" s="30">
        <f>IF(T_学生別進路[[#This Row],[合格時期]]="",0,IF(T_学生別進路[[#This Row],[合格時期]]&lt;K$5,1,0))</f>
        <v>0</v>
      </c>
      <c r="L44" s="30">
        <f>IF(T_学生別進路[[#This Row],[合格時期]]="",0,IF(T_学生別進路[[#This Row],[合格時期]]&lt;L$5,1,0))</f>
        <v>0</v>
      </c>
      <c r="M44" s="30">
        <f>IF(T_学生別進路[[#This Row],[合格時期]]="",0,IF(T_学生別進路[[#This Row],[合格時期]]&lt;M$5,1,0))</f>
        <v>0</v>
      </c>
      <c r="N44" s="30">
        <f>IF(T_学生別進路[[#This Row],[合格時期]]="",0,IF(T_学生別進路[[#This Row],[合格時期]]&lt;N$5,1,0))</f>
        <v>0</v>
      </c>
      <c r="O44" s="30">
        <f>IF(T_学生別進路[[#This Row],[合格時期]]="",0,IF(T_学生別進路[[#This Row],[合格時期]]&lt;O$5,1,0))</f>
        <v>0</v>
      </c>
      <c r="P44" s="30"/>
      <c r="Q44" s="3"/>
      <c r="R44" s="3"/>
      <c r="S44" s="3"/>
      <c r="T44" s="3"/>
      <c r="U44" s="3"/>
    </row>
    <row r="45" spans="1:21" hidden="1" x14ac:dyDescent="0.15">
      <c r="A45" s="32">
        <v>2404019</v>
      </c>
      <c r="B45" s="30" t="str">
        <f>VLOOKUP(T_学生別進路[[#This Row],[学籍番号]],進路状況入力シート!A:B,2,FALSE)</f>
        <v>2-3</v>
      </c>
      <c r="C45" s="30" t="str">
        <f>VLOOKUP(T_学生別進路[[#This Row],[学籍番号]],進路状況入力シート!A:C,3,FALSE)</f>
        <v>MIN THIHA</v>
      </c>
      <c r="D45" s="30" t="str">
        <f>IF(AND(T_学生別進路[[#This Row],[進路確定]]="○",T_学生別進路[[#This Row],[進学希望フラグ]]=1),"○","")</f>
        <v>○</v>
      </c>
      <c r="E45" s="30" t="str">
        <f>_xlfn.IFNA(RIGHT(VLOOKUP(T_学生別進路[[#This Row],[学籍番号]]&amp;"○",進路状況入力シート!K:K,1,FALSE),1),"")</f>
        <v>○</v>
      </c>
      <c r="F45" s="30">
        <f>IF(T_学生別進路[[#This Row],[進学希望フラグ]]=0,"",IF(T_学生別進路[[#This Row],[進路確定]]="○",1,0))</f>
        <v>1</v>
      </c>
      <c r="G4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45" s="30" t="str">
        <f>_xlfn.XLOOKUP(T_学生別進路[[#This Row],[学籍番号]]&amp;"○",進路状況入力シート!K:K,進路状況入力シート!D:D,"",0,1)</f>
        <v>岩谷学園よこはまITビジネス専門学校</v>
      </c>
      <c r="I45" s="39" t="s">
        <v>627</v>
      </c>
      <c r="J45" s="31">
        <v>45992</v>
      </c>
      <c r="K45" s="30">
        <f>IF(T_学生別進路[[#This Row],[合格時期]]="",0,IF(T_学生別進路[[#This Row],[合格時期]]&lt;K$5,1,0))</f>
        <v>0</v>
      </c>
      <c r="L45" s="30">
        <f>IF(T_学生別進路[[#This Row],[合格時期]]="",0,IF(T_学生別進路[[#This Row],[合格時期]]&lt;L$5,1,0))</f>
        <v>1</v>
      </c>
      <c r="M45" s="30">
        <f>IF(T_学生別進路[[#This Row],[合格時期]]="",0,IF(T_学生別進路[[#This Row],[合格時期]]&lt;M$5,1,0))</f>
        <v>1</v>
      </c>
      <c r="N45" s="30">
        <f>IF(T_学生別進路[[#This Row],[合格時期]]="",0,IF(T_学生別進路[[#This Row],[合格時期]]&lt;N$5,1,0))</f>
        <v>1</v>
      </c>
      <c r="O45" s="30">
        <f>IF(T_学生別進路[[#This Row],[合格時期]]="",0,IF(T_学生別進路[[#This Row],[合格時期]]&lt;O$5,1,0))</f>
        <v>1</v>
      </c>
      <c r="P45" s="30"/>
      <c r="Q45" s="3"/>
      <c r="R45" s="3"/>
      <c r="S45" s="3"/>
      <c r="T45" s="3"/>
      <c r="U45" s="3"/>
    </row>
    <row r="46" spans="1:21" hidden="1" x14ac:dyDescent="0.15">
      <c r="A46" s="32">
        <v>2404044</v>
      </c>
      <c r="B46" s="30" t="str">
        <f>VLOOKUP(T_学生別進路[[#This Row],[学籍番号]],進路状況入力シート!A:B,2,FALSE)</f>
        <v>2-3</v>
      </c>
      <c r="C46" s="30" t="str">
        <f>VLOOKUP(T_学生別進路[[#This Row],[学籍番号]],進路状況入力シート!A:C,3,FALSE)</f>
        <v>THURA LINN</v>
      </c>
      <c r="D46" s="30" t="str">
        <f>IF(AND(T_学生別進路[[#This Row],[進路確定]]="○",T_学生別進路[[#This Row],[進学希望フラグ]]=1),"○","")</f>
        <v>○</v>
      </c>
      <c r="E46" s="30" t="str">
        <f>_xlfn.IFNA(RIGHT(VLOOKUP(T_学生別進路[[#This Row],[学籍番号]]&amp;"○",進路状況入力シート!K:K,1,FALSE),1),"")</f>
        <v>○</v>
      </c>
      <c r="F46" s="30">
        <f>IF(T_学生別進路[[#This Row],[進学希望フラグ]]=0,"",IF(T_学生別進路[[#This Row],[進路確定]]="○",1,0))</f>
        <v>1</v>
      </c>
      <c r="G4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46" s="30" t="str">
        <f>_xlfn.XLOOKUP(T_学生別進路[[#This Row],[学籍番号]]&amp;"○",進路状況入力シート!K:K,進路状況入力シート!D:D,"",0,1)</f>
        <v>ECC国際外語専門学校</v>
      </c>
      <c r="I46" s="30"/>
      <c r="J46" s="31">
        <v>46023</v>
      </c>
      <c r="K46" s="30">
        <f>IF(T_学生別進路[[#This Row],[合格時期]]="",0,IF(T_学生別進路[[#This Row],[合格時期]]&lt;K$5,1,0))</f>
        <v>0</v>
      </c>
      <c r="L46" s="30">
        <f>IF(T_学生別進路[[#This Row],[合格時期]]="",0,IF(T_学生別進路[[#This Row],[合格時期]]&lt;L$5,1,0))</f>
        <v>0</v>
      </c>
      <c r="M46" s="30">
        <f>IF(T_学生別進路[[#This Row],[合格時期]]="",0,IF(T_学生別進路[[#This Row],[合格時期]]&lt;M$5,1,0))</f>
        <v>1</v>
      </c>
      <c r="N46" s="30">
        <f>IF(T_学生別進路[[#This Row],[合格時期]]="",0,IF(T_学生別進路[[#This Row],[合格時期]]&lt;N$5,1,0))</f>
        <v>1</v>
      </c>
      <c r="O46" s="30">
        <f>IF(T_学生別進路[[#This Row],[合格時期]]="",0,IF(T_学生別進路[[#This Row],[合格時期]]&lt;O$5,1,0))</f>
        <v>1</v>
      </c>
      <c r="P46" s="30"/>
      <c r="Q46" s="3"/>
      <c r="R46" s="3"/>
      <c r="S46" s="3"/>
      <c r="T46" s="3"/>
      <c r="U46" s="3"/>
    </row>
    <row r="47" spans="1:21" x14ac:dyDescent="0.15">
      <c r="A47" s="32">
        <v>2404048</v>
      </c>
      <c r="B47" s="30" t="str">
        <f>VLOOKUP(T_学生別進路[[#This Row],[学籍番号]],進路状況入力シート!A:B,2,FALSE)</f>
        <v>2-3</v>
      </c>
      <c r="C47" s="49" t="str">
        <f>VLOOKUP(T_学生別進路[[#This Row],[学籍番号]],進路状況入力シート!A:C,3,FALSE)</f>
        <v>MIN HTET PAING</v>
      </c>
      <c r="D47" s="30" t="str">
        <f>IF(AND(T_学生別進路[[#This Row],[進路確定]]="○",T_学生別進路[[#This Row],[進学希望フラグ]]=1),"○","")</f>
        <v/>
      </c>
      <c r="E47" s="30" t="str">
        <f>_xlfn.IFNA(RIGHT(VLOOKUP(T_学生別進路[[#This Row],[学籍番号]]&amp;"○",進路状況入力シート!K:K,1,FALSE),1),"")</f>
        <v/>
      </c>
      <c r="F47" s="30" t="str">
        <f>IF(T_学生別進路[[#This Row],[進学希望フラグ]]=0,"",IF(T_学生別進路[[#This Row],[進路確定]]="○",1,0))</f>
        <v/>
      </c>
      <c r="G4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47" s="30" t="str">
        <f>_xlfn.XLOOKUP(T_学生別進路[[#This Row],[学籍番号]]&amp;"○",進路状況入力シート!K:K,進路状況入力シート!D:D,"",0,1)</f>
        <v/>
      </c>
      <c r="I47" s="39"/>
      <c r="J47" s="31"/>
      <c r="K47" s="30">
        <f>IF(T_学生別進路[[#This Row],[合格時期]]="",0,IF(T_学生別進路[[#This Row],[合格時期]]&lt;K$5,1,0))</f>
        <v>0</v>
      </c>
      <c r="L47" s="30">
        <f>IF(T_学生別進路[[#This Row],[合格時期]]="",0,IF(T_学生別進路[[#This Row],[合格時期]]&lt;L$5,1,0))</f>
        <v>0</v>
      </c>
      <c r="M47" s="30">
        <f>IF(T_学生別進路[[#This Row],[合格時期]]="",0,IF(T_学生別進路[[#This Row],[合格時期]]&lt;M$5,1,0))</f>
        <v>0</v>
      </c>
      <c r="N47" s="30">
        <f>IF(T_学生別進路[[#This Row],[合格時期]]="",0,IF(T_学生別進路[[#This Row],[合格時期]]&lt;N$5,1,0))</f>
        <v>0</v>
      </c>
      <c r="O47" s="30">
        <f>IF(T_学生別進路[[#This Row],[合格時期]]="",0,IF(T_学生別進路[[#This Row],[合格時期]]&lt;O$5,1,0))</f>
        <v>0</v>
      </c>
      <c r="P47" s="30" t="s">
        <v>736</v>
      </c>
      <c r="Q47" s="3"/>
      <c r="R47" s="3"/>
      <c r="S47" s="3"/>
      <c r="T47" s="3"/>
      <c r="U47" s="3"/>
    </row>
    <row r="48" spans="1:21" x14ac:dyDescent="0.15">
      <c r="A48" s="32">
        <v>2404062</v>
      </c>
      <c r="B48" s="30" t="str">
        <f>VLOOKUP(T_学生別進路[[#This Row],[学籍番号]],進路状況入力シート!A:B,2,FALSE)</f>
        <v>2-3</v>
      </c>
      <c r="C48" s="42" t="str">
        <f>VLOOKUP(T_学生別進路[[#This Row],[学籍番号]],進路状況入力シート!A:C,3,FALSE)</f>
        <v>HOSSAIN MD YEASIN</v>
      </c>
      <c r="D48" s="30" t="str">
        <f>IF(AND(T_学生別進路[[#This Row],[進路確定]]="○",T_学生別進路[[#This Row],[進学希望フラグ]]=1),"○","")</f>
        <v/>
      </c>
      <c r="E48" s="30" t="str">
        <f>_xlfn.IFNA(RIGHT(VLOOKUP(T_学生別進路[[#This Row],[学籍番号]]&amp;"○",進路状況入力シート!K:K,1,FALSE),1),"")</f>
        <v/>
      </c>
      <c r="F48" s="30" t="str">
        <f>IF(T_学生別進路[[#This Row],[進学希望フラグ]]=0,"",IF(T_学生別進路[[#This Row],[進路確定]]="○",1,0))</f>
        <v/>
      </c>
      <c r="G4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48" s="30" t="str">
        <f>_xlfn.XLOOKUP(T_学生別進路[[#This Row],[学籍番号]]&amp;"○",進路状況入力シート!K:K,進路状況入力シート!D:D,"",0,1)</f>
        <v/>
      </c>
      <c r="I48" s="39"/>
      <c r="J48" s="31"/>
      <c r="K48" s="30">
        <f>IF(T_学生別進路[[#This Row],[合格時期]]="",0,IF(T_学生別進路[[#This Row],[合格時期]]&lt;K$5,1,0))</f>
        <v>0</v>
      </c>
      <c r="L48" s="30">
        <f>IF(T_学生別進路[[#This Row],[合格時期]]="",0,IF(T_学生別進路[[#This Row],[合格時期]]&lt;L$5,1,0))</f>
        <v>0</v>
      </c>
      <c r="M48" s="30">
        <f>IF(T_学生別進路[[#This Row],[合格時期]]="",0,IF(T_学生別進路[[#This Row],[合格時期]]&lt;M$5,1,0))</f>
        <v>0</v>
      </c>
      <c r="N48" s="30">
        <f>IF(T_学生別進路[[#This Row],[合格時期]]="",0,IF(T_学生別進路[[#This Row],[合格時期]]&lt;N$5,1,0))</f>
        <v>0</v>
      </c>
      <c r="O48" s="30">
        <f>IF(T_学生別進路[[#This Row],[合格時期]]="",0,IF(T_学生別進路[[#This Row],[合格時期]]&lt;O$5,1,0))</f>
        <v>0</v>
      </c>
      <c r="P48" s="30" t="s">
        <v>732</v>
      </c>
      <c r="Q48" s="3"/>
      <c r="R48" s="3"/>
      <c r="S48" s="3"/>
      <c r="T48" s="3"/>
      <c r="U48" s="3"/>
    </row>
    <row r="49" spans="1:21" hidden="1" x14ac:dyDescent="0.15">
      <c r="A49" s="32">
        <v>2404075</v>
      </c>
      <c r="B49" s="30" t="str">
        <f>VLOOKUP(T_学生別進路[[#This Row],[学籍番号]],進路状況入力シート!A:B,2,FALSE)</f>
        <v>2-3</v>
      </c>
      <c r="C49" s="30" t="str">
        <f>VLOOKUP(T_学生別進路[[#This Row],[学籍番号]],進路状況入力シート!A:C,3,FALSE)</f>
        <v>MD. RAKEBUL ISLAM RONY</v>
      </c>
      <c r="D49" s="30" t="str">
        <f>IF(AND(T_学生別進路[[#This Row],[進路確定]]="○",T_学生別進路[[#This Row],[進学希望フラグ]]=1),"○","")</f>
        <v>○</v>
      </c>
      <c r="E49" s="30" t="str">
        <f>_xlfn.IFNA(RIGHT(VLOOKUP(T_学生別進路[[#This Row],[学籍番号]]&amp;"○",進路状況入力シート!K:K,1,FALSE),1),"")</f>
        <v>○</v>
      </c>
      <c r="F49" s="30">
        <f>IF(T_学生別進路[[#This Row],[進学希望フラグ]]=0,"",IF(T_学生別進路[[#This Row],[進路確定]]="○",1,0))</f>
        <v>1</v>
      </c>
      <c r="G4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49" s="30" t="str">
        <f>_xlfn.XLOOKUP(T_学生別進路[[#This Row],[学籍番号]]&amp;"○",進路状況入力シート!K:K,進路状況入力シート!D:D,"",0,1)</f>
        <v>神戸親和大学</v>
      </c>
      <c r="I49" s="39" t="s">
        <v>626</v>
      </c>
      <c r="J49" s="31">
        <v>45992</v>
      </c>
      <c r="K49" s="30">
        <f>IF(T_学生別進路[[#This Row],[合格時期]]="",0,IF(T_学生別進路[[#This Row],[合格時期]]&lt;K$5,1,0))</f>
        <v>0</v>
      </c>
      <c r="L49" s="30">
        <f>IF(T_学生別進路[[#This Row],[合格時期]]="",0,IF(T_学生別進路[[#This Row],[合格時期]]&lt;L$5,1,0))</f>
        <v>1</v>
      </c>
      <c r="M49" s="30">
        <f>IF(T_学生別進路[[#This Row],[合格時期]]="",0,IF(T_学生別進路[[#This Row],[合格時期]]&lt;M$5,1,0))</f>
        <v>1</v>
      </c>
      <c r="N49" s="30">
        <f>IF(T_学生別進路[[#This Row],[合格時期]]="",0,IF(T_学生別進路[[#This Row],[合格時期]]&lt;N$5,1,0))</f>
        <v>1</v>
      </c>
      <c r="O49" s="30">
        <f>IF(T_学生別進路[[#This Row],[合格時期]]="",0,IF(T_学生別進路[[#This Row],[合格時期]]&lt;O$5,1,0))</f>
        <v>1</v>
      </c>
      <c r="P49" s="30"/>
      <c r="Q49" s="3"/>
      <c r="R49" s="3"/>
      <c r="S49" s="3"/>
      <c r="T49" s="3"/>
      <c r="U49" s="3"/>
    </row>
    <row r="50" spans="1:21" hidden="1" x14ac:dyDescent="0.15">
      <c r="A50" s="32">
        <v>2404080</v>
      </c>
      <c r="B50" s="30" t="str">
        <f>VLOOKUP(T_学生別進路[[#This Row],[学籍番号]],進路状況入力シート!A:B,2,FALSE)</f>
        <v>2-3</v>
      </c>
      <c r="C50" s="30" t="str">
        <f>VLOOKUP(T_学生別進路[[#This Row],[学籍番号]],進路状況入力シート!A:C,3,FALSE)</f>
        <v>HASAN MD MEHEDI</v>
      </c>
      <c r="D50" s="30" t="str">
        <f>IF(AND(T_学生別進路[[#This Row],[進路確定]]="○",T_学生別進路[[#This Row],[進学希望フラグ]]=1),"○","")</f>
        <v>○</v>
      </c>
      <c r="E50" s="30" t="str">
        <f>_xlfn.IFNA(RIGHT(VLOOKUP(T_学生別進路[[#This Row],[学籍番号]]&amp;"○",進路状況入力シート!K:K,1,FALSE),1),"")</f>
        <v>○</v>
      </c>
      <c r="F50" s="30">
        <f>IF(T_学生別進路[[#This Row],[進学希望フラグ]]=0,"",IF(T_学生別進路[[#This Row],[進路確定]]="○",1,0))</f>
        <v>1</v>
      </c>
      <c r="G5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0" s="30" t="str">
        <f>_xlfn.XLOOKUP(T_学生別進路[[#This Row],[学籍番号]]&amp;"○",進路状況入力シート!K:K,進路状況入力シート!D:D,"",0,1)</f>
        <v>CAD製図専門学校</v>
      </c>
      <c r="I50" s="30"/>
      <c r="J50" s="31">
        <v>45839</v>
      </c>
      <c r="K50" s="30">
        <f>IF(T_学生別進路[[#This Row],[合格時期]]="",0,IF(T_学生別進路[[#This Row],[合格時期]]&lt;K$5,1,0))</f>
        <v>1</v>
      </c>
      <c r="L50" s="30">
        <f>IF(T_学生別進路[[#This Row],[合格時期]]="",0,IF(T_学生別進路[[#This Row],[合格時期]]&lt;L$5,1,0))</f>
        <v>1</v>
      </c>
      <c r="M50" s="30">
        <f>IF(T_学生別進路[[#This Row],[合格時期]]="",0,IF(T_学生別進路[[#This Row],[合格時期]]&lt;M$5,1,0))</f>
        <v>1</v>
      </c>
      <c r="N50" s="30">
        <f>IF(T_学生別進路[[#This Row],[合格時期]]="",0,IF(T_学生別進路[[#This Row],[合格時期]]&lt;N$5,1,0))</f>
        <v>1</v>
      </c>
      <c r="O50" s="30">
        <f>IF(T_学生別進路[[#This Row],[合格時期]]="",0,IF(T_学生別進路[[#This Row],[合格時期]]&lt;O$5,1,0))</f>
        <v>1</v>
      </c>
      <c r="P50" s="30"/>
      <c r="Q50" s="3"/>
      <c r="R50" s="3"/>
      <c r="S50" s="3"/>
      <c r="T50" s="3"/>
      <c r="U50" s="3"/>
    </row>
    <row r="51" spans="1:21" hidden="1" x14ac:dyDescent="0.15">
      <c r="A51" s="32">
        <v>2404087</v>
      </c>
      <c r="B51" s="30" t="str">
        <f>VLOOKUP(T_学生別進路[[#This Row],[学籍番号]],進路状況入力シート!A:B,2,FALSE)</f>
        <v>2-3</v>
      </c>
      <c r="C51" s="30" t="str">
        <f>VLOOKUP(T_学生別進路[[#This Row],[学籍番号]],進路状況入力シート!A:C,3,FALSE)</f>
        <v>ABDUL KAIUM NAEEM</v>
      </c>
      <c r="D51" s="30" t="str">
        <f>IF(AND(T_学生別進路[[#This Row],[進路確定]]="○",T_学生別進路[[#This Row],[進学希望フラグ]]=1),"○","")</f>
        <v>○</v>
      </c>
      <c r="E51" s="30" t="str">
        <f>_xlfn.IFNA(RIGHT(VLOOKUP(T_学生別進路[[#This Row],[学籍番号]]&amp;"○",進路状況入力シート!K:K,1,FALSE),1),"")</f>
        <v>○</v>
      </c>
      <c r="F51" s="30">
        <f>IF(T_学生別進路[[#This Row],[進学希望フラグ]]=0,"",IF(T_学生別進路[[#This Row],[進路確定]]="○",1,0))</f>
        <v>1</v>
      </c>
      <c r="G5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1" s="30" t="str">
        <f>_xlfn.XLOOKUP(T_学生別進路[[#This Row],[学籍番号]]&amp;"○",進路状況入力シート!K:K,進路状況入力シート!D:D,"",0,1)</f>
        <v>日商簿記三鷹福祉専門学校</v>
      </c>
      <c r="I51" s="30"/>
      <c r="J51" s="31">
        <v>45931</v>
      </c>
      <c r="K51" s="30">
        <f>IF(T_学生別進路[[#This Row],[合格時期]]="",0,IF(T_学生別進路[[#This Row],[合格時期]]&lt;K$5,1,0))</f>
        <v>1</v>
      </c>
      <c r="L51" s="30">
        <f>IF(T_学生別進路[[#This Row],[合格時期]]="",0,IF(T_学生別進路[[#This Row],[合格時期]]&lt;L$5,1,0))</f>
        <v>1</v>
      </c>
      <c r="M51" s="30">
        <f>IF(T_学生別進路[[#This Row],[合格時期]]="",0,IF(T_学生別進路[[#This Row],[合格時期]]&lt;M$5,1,0))</f>
        <v>1</v>
      </c>
      <c r="N51" s="30">
        <f>IF(T_学生別進路[[#This Row],[合格時期]]="",0,IF(T_学生別進路[[#This Row],[合格時期]]&lt;N$5,1,0))</f>
        <v>1</v>
      </c>
      <c r="O51" s="30">
        <f>IF(T_学生別進路[[#This Row],[合格時期]]="",0,IF(T_学生別進路[[#This Row],[合格時期]]&lt;O$5,1,0))</f>
        <v>1</v>
      </c>
      <c r="P51" s="30"/>
      <c r="Q51" s="3"/>
      <c r="R51" s="3"/>
      <c r="S51" s="3"/>
      <c r="T51" s="3"/>
      <c r="U51" s="3"/>
    </row>
    <row r="52" spans="1:21" hidden="1" x14ac:dyDescent="0.15">
      <c r="A52" s="32">
        <v>2404102</v>
      </c>
      <c r="B52" s="30" t="str">
        <f>VLOOKUP(T_学生別進路[[#This Row],[学籍番号]],進路状況入力シート!A:B,2,FALSE)</f>
        <v>2-3</v>
      </c>
      <c r="C52" s="30" t="str">
        <f>VLOOKUP(T_学生別進路[[#This Row],[学籍番号]],進路状況入力シート!A:C,3,FALSE)</f>
        <v>SHAMIM HOSSAIN</v>
      </c>
      <c r="D52" s="30" t="str">
        <f>IF(AND(T_学生別進路[[#This Row],[進路確定]]="○",T_学生別進路[[#This Row],[進学希望フラグ]]=1),"○","")</f>
        <v>○</v>
      </c>
      <c r="E52" s="30" t="str">
        <f>_xlfn.IFNA(RIGHT(VLOOKUP(T_学生別進路[[#This Row],[学籍番号]]&amp;"○",進路状況入力シート!K:K,1,FALSE),1),"")</f>
        <v>○</v>
      </c>
      <c r="F52" s="30">
        <f>IF(T_学生別進路[[#This Row],[進学希望フラグ]]=0,"",IF(T_学生別進路[[#This Row],[進路確定]]="○",1,0))</f>
        <v>1</v>
      </c>
      <c r="G5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2" s="30" t="str">
        <f>_xlfn.XLOOKUP(T_学生別進路[[#This Row],[学籍番号]]&amp;"○",進路状況入力シート!K:K,進路状況入力シート!D:D,"",0,1)</f>
        <v>CAD製図専門学校</v>
      </c>
      <c r="I52" s="30"/>
      <c r="J52" s="31">
        <v>45870</v>
      </c>
      <c r="K52" s="30">
        <f>IF(T_学生別進路[[#This Row],[合格時期]]="",0,IF(T_学生別進路[[#This Row],[合格時期]]&lt;K$5,1,0))</f>
        <v>1</v>
      </c>
      <c r="L52" s="30">
        <f>IF(T_学生別進路[[#This Row],[合格時期]]="",0,IF(T_学生別進路[[#This Row],[合格時期]]&lt;L$5,1,0))</f>
        <v>1</v>
      </c>
      <c r="M52" s="30">
        <f>IF(T_学生別進路[[#This Row],[合格時期]]="",0,IF(T_学生別進路[[#This Row],[合格時期]]&lt;M$5,1,0))</f>
        <v>1</v>
      </c>
      <c r="N52" s="30">
        <f>IF(T_学生別進路[[#This Row],[合格時期]]="",0,IF(T_学生別進路[[#This Row],[合格時期]]&lt;N$5,1,0))</f>
        <v>1</v>
      </c>
      <c r="O52" s="30">
        <f>IF(T_学生別進路[[#This Row],[合格時期]]="",0,IF(T_学生別進路[[#This Row],[合格時期]]&lt;O$5,1,0))</f>
        <v>1</v>
      </c>
      <c r="P52" s="30"/>
      <c r="Q52" s="3"/>
      <c r="R52" s="3"/>
      <c r="S52" s="3"/>
      <c r="T52" s="3"/>
      <c r="U52" s="3"/>
    </row>
    <row r="53" spans="1:21" hidden="1" x14ac:dyDescent="0.15">
      <c r="A53" s="32">
        <v>2404129</v>
      </c>
      <c r="B53" s="30" t="str">
        <f>VLOOKUP(T_学生別進路[[#This Row],[学籍番号]],進路状況入力シート!A:B,2,FALSE)</f>
        <v>2-3</v>
      </c>
      <c r="C53" s="30" t="str">
        <f>VLOOKUP(T_学生別進路[[#This Row],[学籍番号]],進路状況入力シート!A:C,3,FALSE)</f>
        <v>AHMED MD JUBAYER</v>
      </c>
      <c r="D53" s="30" t="str">
        <f>IF(AND(T_学生別進路[[#This Row],[進路確定]]="○",T_学生別進路[[#This Row],[進学希望フラグ]]=1),"○","")</f>
        <v>○</v>
      </c>
      <c r="E53" s="30" t="str">
        <f>_xlfn.IFNA(RIGHT(VLOOKUP(T_学生別進路[[#This Row],[学籍番号]]&amp;"○",進路状況入力シート!K:K,1,FALSE),1),"")</f>
        <v>○</v>
      </c>
      <c r="F53" s="30">
        <f>IF(T_学生別進路[[#This Row],[進学希望フラグ]]=0,"",IF(T_学生別進路[[#This Row],[進路確定]]="○",1,0))</f>
        <v>1</v>
      </c>
      <c r="G5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3" s="30" t="str">
        <f>_xlfn.XLOOKUP(T_学生別進路[[#This Row],[学籍番号]]&amp;"○",進路状況入力シート!K:K,進路状況入力シート!D:D,"",0,1)</f>
        <v>中部国際自動車大学校</v>
      </c>
      <c r="I53" s="30"/>
      <c r="J53" s="31">
        <v>45931</v>
      </c>
      <c r="K53" s="30">
        <f>IF(T_学生別進路[[#This Row],[合格時期]]="",0,IF(T_学生別進路[[#This Row],[合格時期]]&lt;K$5,1,0))</f>
        <v>1</v>
      </c>
      <c r="L53" s="30">
        <f>IF(T_学生別進路[[#This Row],[合格時期]]="",0,IF(T_学生別進路[[#This Row],[合格時期]]&lt;L$5,1,0))</f>
        <v>1</v>
      </c>
      <c r="M53" s="30">
        <f>IF(T_学生別進路[[#This Row],[合格時期]]="",0,IF(T_学生別進路[[#This Row],[合格時期]]&lt;M$5,1,0))</f>
        <v>1</v>
      </c>
      <c r="N53" s="30">
        <f>IF(T_学生別進路[[#This Row],[合格時期]]="",0,IF(T_学生別進路[[#This Row],[合格時期]]&lt;N$5,1,0))</f>
        <v>1</v>
      </c>
      <c r="O53" s="30">
        <f>IF(T_学生別進路[[#This Row],[合格時期]]="",0,IF(T_学生別進路[[#This Row],[合格時期]]&lt;O$5,1,0))</f>
        <v>1</v>
      </c>
      <c r="P53" s="30"/>
      <c r="Q53" s="3"/>
      <c r="R53" s="3"/>
      <c r="S53" s="3"/>
      <c r="T53" s="3"/>
      <c r="U53" s="3"/>
    </row>
    <row r="54" spans="1:21" hidden="1" x14ac:dyDescent="0.15">
      <c r="A54" s="32">
        <v>2404133</v>
      </c>
      <c r="B54" s="30" t="str">
        <f>VLOOKUP(T_学生別進路[[#This Row],[学籍番号]],進路状況入力シート!A:B,2,FALSE)</f>
        <v>2-3</v>
      </c>
      <c r="C54" s="30" t="str">
        <f>VLOOKUP(T_学生別進路[[#This Row],[学籍番号]],進路状況入力シート!A:C,3,FALSE)</f>
        <v>SHRESTHA YAM KUMAR</v>
      </c>
      <c r="D54" s="30" t="str">
        <f>IF(AND(T_学生別進路[[#This Row],[進路確定]]="○",T_学生別進路[[#This Row],[進学希望フラグ]]=1),"○","")</f>
        <v>○</v>
      </c>
      <c r="E54" s="30" t="str">
        <f>_xlfn.IFNA(RIGHT(VLOOKUP(T_学生別進路[[#This Row],[学籍番号]]&amp;"○",進路状況入力シート!K:K,1,FALSE),1),"")</f>
        <v>○</v>
      </c>
      <c r="F54" s="30">
        <f>IF(T_学生別進路[[#This Row],[進学希望フラグ]]=0,"",IF(T_学生別進路[[#This Row],[進路確定]]="○",1,0))</f>
        <v>1</v>
      </c>
      <c r="G5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4" s="30" t="str">
        <f>_xlfn.XLOOKUP(T_学生別進路[[#This Row],[学籍番号]]&amp;"○",進路状況入力シート!K:K,進路状況入力シート!D:D,"",0,1)</f>
        <v>専門学校アートカレッジ神戸</v>
      </c>
      <c r="I54" s="30"/>
      <c r="J54" s="31">
        <v>45839</v>
      </c>
      <c r="K54" s="30">
        <f>IF(T_学生別進路[[#This Row],[合格時期]]="",0,IF(T_学生別進路[[#This Row],[合格時期]]&lt;K$5,1,0))</f>
        <v>1</v>
      </c>
      <c r="L54" s="30">
        <f>IF(T_学生別進路[[#This Row],[合格時期]]="",0,IF(T_学生別進路[[#This Row],[合格時期]]&lt;L$5,1,0))</f>
        <v>1</v>
      </c>
      <c r="M54" s="30">
        <f>IF(T_学生別進路[[#This Row],[合格時期]]="",0,IF(T_学生別進路[[#This Row],[合格時期]]&lt;M$5,1,0))</f>
        <v>1</v>
      </c>
      <c r="N54" s="30">
        <f>IF(T_学生別進路[[#This Row],[合格時期]]="",0,IF(T_学生別進路[[#This Row],[合格時期]]&lt;N$5,1,0))</f>
        <v>1</v>
      </c>
      <c r="O54" s="30">
        <f>IF(T_学生別進路[[#This Row],[合格時期]]="",0,IF(T_学生別進路[[#This Row],[合格時期]]&lt;O$5,1,0))</f>
        <v>1</v>
      </c>
      <c r="P54" s="30"/>
      <c r="Q54" s="3"/>
      <c r="R54" s="3"/>
      <c r="S54" s="3"/>
      <c r="T54" s="3"/>
      <c r="U54" s="3"/>
    </row>
    <row r="55" spans="1:21" hidden="1" x14ac:dyDescent="0.15">
      <c r="A55" s="32">
        <v>2404134</v>
      </c>
      <c r="B55" s="30" t="str">
        <f>VLOOKUP(T_学生別進路[[#This Row],[学籍番号]],進路状況入力シート!A:B,2,FALSE)</f>
        <v>2-3</v>
      </c>
      <c r="C55" s="30" t="str">
        <f>VLOOKUP(T_学生別進路[[#This Row],[学籍番号]],進路状況入力シート!A:C,3,FALSE)</f>
        <v>UPAHAR SEDAI</v>
      </c>
      <c r="D55" s="30" t="str">
        <f>IF(AND(T_学生別進路[[#This Row],[進路確定]]="○",T_学生別進路[[#This Row],[進学希望フラグ]]=1),"○","")</f>
        <v>○</v>
      </c>
      <c r="E55" s="30" t="str">
        <f>_xlfn.IFNA(RIGHT(VLOOKUP(T_学生別進路[[#This Row],[学籍番号]]&amp;"○",進路状況入力シート!K:K,1,FALSE),1),"")</f>
        <v>○</v>
      </c>
      <c r="F55" s="30">
        <f>IF(T_学生別進路[[#This Row],[進学希望フラグ]]=0,"",IF(T_学生別進路[[#This Row],[進路確定]]="○",1,0))</f>
        <v>1</v>
      </c>
      <c r="G5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5" s="30" t="str">
        <f>_xlfn.XLOOKUP(T_学生別進路[[#This Row],[学籍番号]]&amp;"○",進路状況入力シート!K:K,進路状況入力シート!D:D,"",0,1)</f>
        <v>専門学校アートカレッジ神戸</v>
      </c>
      <c r="I55" s="30"/>
      <c r="J55" s="31">
        <v>45870</v>
      </c>
      <c r="K55" s="30">
        <f>IF(T_学生別進路[[#This Row],[合格時期]]="",0,IF(T_学生別進路[[#This Row],[合格時期]]&lt;K$5,1,0))</f>
        <v>1</v>
      </c>
      <c r="L55" s="30">
        <f>IF(T_学生別進路[[#This Row],[合格時期]]="",0,IF(T_学生別進路[[#This Row],[合格時期]]&lt;L$5,1,0))</f>
        <v>1</v>
      </c>
      <c r="M55" s="30">
        <f>IF(T_学生別進路[[#This Row],[合格時期]]="",0,IF(T_学生別進路[[#This Row],[合格時期]]&lt;M$5,1,0))</f>
        <v>1</v>
      </c>
      <c r="N55" s="30">
        <f>IF(T_学生別進路[[#This Row],[合格時期]]="",0,IF(T_学生別進路[[#This Row],[合格時期]]&lt;N$5,1,0))</f>
        <v>1</v>
      </c>
      <c r="O55" s="30">
        <f>IF(T_学生別進路[[#This Row],[合格時期]]="",0,IF(T_学生別進路[[#This Row],[合格時期]]&lt;O$5,1,0))</f>
        <v>1</v>
      </c>
      <c r="P55" s="30"/>
      <c r="Q55" s="3"/>
      <c r="R55" s="3"/>
      <c r="S55" s="3"/>
      <c r="T55" s="3"/>
      <c r="U55" s="3"/>
    </row>
    <row r="56" spans="1:21" hidden="1" x14ac:dyDescent="0.15">
      <c r="A56" s="32">
        <v>2404139</v>
      </c>
      <c r="B56" s="30" t="str">
        <f>VLOOKUP(T_学生別進路[[#This Row],[学籍番号]],進路状況入力シート!A:B,2,FALSE)</f>
        <v>2-3</v>
      </c>
      <c r="C56" s="30" t="str">
        <f>VLOOKUP(T_学生別進路[[#This Row],[学籍番号]],進路状況入力シート!A:C,3,FALSE)</f>
        <v>DURGA BAHADUR DARAI</v>
      </c>
      <c r="D56" s="30" t="str">
        <f>IF(AND(T_学生別進路[[#This Row],[進路確定]]="○",T_学生別進路[[#This Row],[進学希望フラグ]]=1),"○","")</f>
        <v>○</v>
      </c>
      <c r="E56" s="30" t="str">
        <f>_xlfn.IFNA(RIGHT(VLOOKUP(T_学生別進路[[#This Row],[学籍番号]]&amp;"○",進路状況入力シート!K:K,1,FALSE),1),"")</f>
        <v>○</v>
      </c>
      <c r="F56" s="30">
        <f>IF(T_学生別進路[[#This Row],[進学希望フラグ]]=0,"",IF(T_学生別進路[[#This Row],[進路確定]]="○",1,0))</f>
        <v>1</v>
      </c>
      <c r="G5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6" s="30" t="str">
        <f>_xlfn.XLOOKUP(T_学生別進路[[#This Row],[学籍番号]]&amp;"○",進路状況入力シート!K:K,進路状況入力シート!D:D,"",0,1)</f>
        <v>関西国際旅行・ホテル専門学校</v>
      </c>
      <c r="I56" s="30"/>
      <c r="J56" s="31">
        <v>45839</v>
      </c>
      <c r="K56" s="30">
        <f>IF(T_学生別進路[[#This Row],[合格時期]]="",0,IF(T_学生別進路[[#This Row],[合格時期]]&lt;K$5,1,0))</f>
        <v>1</v>
      </c>
      <c r="L56" s="30">
        <f>IF(T_学生別進路[[#This Row],[合格時期]]="",0,IF(T_学生別進路[[#This Row],[合格時期]]&lt;L$5,1,0))</f>
        <v>1</v>
      </c>
      <c r="M56" s="30">
        <f>IF(T_学生別進路[[#This Row],[合格時期]]="",0,IF(T_学生別進路[[#This Row],[合格時期]]&lt;M$5,1,0))</f>
        <v>1</v>
      </c>
      <c r="N56" s="30">
        <f>IF(T_学生別進路[[#This Row],[合格時期]]="",0,IF(T_学生別進路[[#This Row],[合格時期]]&lt;N$5,1,0))</f>
        <v>1</v>
      </c>
      <c r="O56" s="30">
        <f>IF(T_学生別進路[[#This Row],[合格時期]]="",0,IF(T_学生別進路[[#This Row],[合格時期]]&lt;O$5,1,0))</f>
        <v>1</v>
      </c>
      <c r="P56" s="30"/>
      <c r="Q56" s="3"/>
      <c r="R56" s="3"/>
      <c r="S56" s="3"/>
      <c r="T56" s="3"/>
      <c r="U56" s="3"/>
    </row>
    <row r="57" spans="1:21" hidden="1" x14ac:dyDescent="0.15">
      <c r="A57" s="32">
        <v>2404140</v>
      </c>
      <c r="B57" s="30" t="str">
        <f>VLOOKUP(T_学生別進路[[#This Row],[学籍番号]],進路状況入力シート!A:B,2,FALSE)</f>
        <v>2-3</v>
      </c>
      <c r="C57" s="30" t="str">
        <f>VLOOKUP(T_学生別進路[[#This Row],[学籍番号]],進路状況入力シート!A:C,3,FALSE)</f>
        <v>SUSMA TAMANG</v>
      </c>
      <c r="D57" s="30" t="str">
        <f>IF(AND(T_学生別進路[[#This Row],[進路確定]]="○",T_学生別進路[[#This Row],[進学希望フラグ]]=1),"○","")</f>
        <v>○</v>
      </c>
      <c r="E57" s="30" t="str">
        <f>_xlfn.IFNA(RIGHT(VLOOKUP(T_学生別進路[[#This Row],[学籍番号]]&amp;"○",進路状況入力シート!K:K,1,FALSE),1),"")</f>
        <v>○</v>
      </c>
      <c r="F57" s="30">
        <f>IF(T_学生別進路[[#This Row],[進学希望フラグ]]=0,"",IF(T_学生別進路[[#This Row],[進路確定]]="○",1,0))</f>
        <v>1</v>
      </c>
      <c r="G5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7" s="30" t="str">
        <f>_xlfn.XLOOKUP(T_学生別進路[[#This Row],[学籍番号]]&amp;"○",進路状況入力シート!K:K,進路状況入力シート!D:D,"",0,1)</f>
        <v>神戸親和大学</v>
      </c>
      <c r="I57" s="39" t="s">
        <v>626</v>
      </c>
      <c r="J57" s="31">
        <v>45992</v>
      </c>
      <c r="K57" s="30">
        <f>IF(T_学生別進路[[#This Row],[合格時期]]="",0,IF(T_学生別進路[[#This Row],[合格時期]]&lt;K$5,1,0))</f>
        <v>0</v>
      </c>
      <c r="L57" s="30">
        <f>IF(T_学生別進路[[#This Row],[合格時期]]="",0,IF(T_学生別進路[[#This Row],[合格時期]]&lt;L$5,1,0))</f>
        <v>1</v>
      </c>
      <c r="M57" s="30">
        <f>IF(T_学生別進路[[#This Row],[合格時期]]="",0,IF(T_学生別進路[[#This Row],[合格時期]]&lt;M$5,1,0))</f>
        <v>1</v>
      </c>
      <c r="N57" s="30">
        <f>IF(T_学生別進路[[#This Row],[合格時期]]="",0,IF(T_学生別進路[[#This Row],[合格時期]]&lt;N$5,1,0))</f>
        <v>1</v>
      </c>
      <c r="O57" s="30">
        <f>IF(T_学生別進路[[#This Row],[合格時期]]="",0,IF(T_学生別進路[[#This Row],[合格時期]]&lt;O$5,1,0))</f>
        <v>1</v>
      </c>
      <c r="P57" s="30"/>
      <c r="Q57" s="3"/>
      <c r="R57" s="3"/>
      <c r="S57" s="3"/>
      <c r="T57" s="3"/>
      <c r="U57" s="3"/>
    </row>
    <row r="58" spans="1:21" hidden="1" x14ac:dyDescent="0.15">
      <c r="A58" s="32">
        <v>2404146</v>
      </c>
      <c r="B58" s="30" t="str">
        <f>VLOOKUP(T_学生別進路[[#This Row],[学籍番号]],進路状況入力シート!A:B,2,FALSE)</f>
        <v>2-3</v>
      </c>
      <c r="C58" s="30" t="str">
        <f>VLOOKUP(T_学生別進路[[#This Row],[学籍番号]],進路状況入力シート!A:C,3,FALSE)</f>
        <v>RUPESH LAMICHHANE</v>
      </c>
      <c r="D58" s="30" t="str">
        <f>IF(AND(T_学生別進路[[#This Row],[進路確定]]="○",T_学生別進路[[#This Row],[進学希望フラグ]]=1),"○","")</f>
        <v>○</v>
      </c>
      <c r="E58" s="30" t="str">
        <f>_xlfn.IFNA(RIGHT(VLOOKUP(T_学生別進路[[#This Row],[学籍番号]]&amp;"○",進路状況入力シート!K:K,1,FALSE),1),"")</f>
        <v>○</v>
      </c>
      <c r="F58" s="30">
        <f>IF(T_学生別進路[[#This Row],[進学希望フラグ]]=0,"",IF(T_学生別進路[[#This Row],[進路確定]]="○",1,0))</f>
        <v>1</v>
      </c>
      <c r="G5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8" s="30" t="str">
        <f>_xlfn.XLOOKUP(T_学生別進路[[#This Row],[学籍番号]]&amp;"○",進路状況入力シート!K:K,進路状況入力シート!D:D,"",0,1)</f>
        <v>神戸親和大学</v>
      </c>
      <c r="I58" s="39" t="s">
        <v>626</v>
      </c>
      <c r="J58" s="31">
        <v>45992</v>
      </c>
      <c r="K58" s="30">
        <f>IF(T_学生別進路[[#This Row],[合格時期]]="",0,IF(T_学生別進路[[#This Row],[合格時期]]&lt;K$5,1,0))</f>
        <v>0</v>
      </c>
      <c r="L58" s="30">
        <f>IF(T_学生別進路[[#This Row],[合格時期]]="",0,IF(T_学生別進路[[#This Row],[合格時期]]&lt;L$5,1,0))</f>
        <v>1</v>
      </c>
      <c r="M58" s="30">
        <f>IF(T_学生別進路[[#This Row],[合格時期]]="",0,IF(T_学生別進路[[#This Row],[合格時期]]&lt;M$5,1,0))</f>
        <v>1</v>
      </c>
      <c r="N58" s="30">
        <f>IF(T_学生別進路[[#This Row],[合格時期]]="",0,IF(T_学生別進路[[#This Row],[合格時期]]&lt;N$5,1,0))</f>
        <v>1</v>
      </c>
      <c r="O58" s="30">
        <f>IF(T_学生別進路[[#This Row],[合格時期]]="",0,IF(T_学生別進路[[#This Row],[合格時期]]&lt;O$5,1,0))</f>
        <v>1</v>
      </c>
      <c r="P58" s="30"/>
      <c r="Q58" s="3"/>
      <c r="R58" s="3"/>
      <c r="S58" s="3"/>
      <c r="T58" s="3"/>
      <c r="U58" s="3"/>
    </row>
    <row r="59" spans="1:21" hidden="1" x14ac:dyDescent="0.15">
      <c r="A59" s="32">
        <v>2404148</v>
      </c>
      <c r="B59" s="30" t="str">
        <f>VLOOKUP(T_学生別進路[[#This Row],[学籍番号]],進路状況入力シート!A:B,2,FALSE)</f>
        <v>2-3</v>
      </c>
      <c r="C59" s="30" t="str">
        <f>VLOOKUP(T_学生別進路[[#This Row],[学籍番号]],進路状況入力シート!A:C,3,FALSE)</f>
        <v>BISHNU PRASAD BHANDARI</v>
      </c>
      <c r="D59" s="30" t="str">
        <f>IF(AND(T_学生別進路[[#This Row],[進路確定]]="○",T_学生別進路[[#This Row],[進学希望フラグ]]=1),"○","")</f>
        <v>○</v>
      </c>
      <c r="E59" s="30" t="str">
        <f>_xlfn.IFNA(RIGHT(VLOOKUP(T_学生別進路[[#This Row],[学籍番号]]&amp;"○",進路状況入力シート!K:K,1,FALSE),1),"")</f>
        <v>○</v>
      </c>
      <c r="F59" s="30">
        <f>IF(T_学生別進路[[#This Row],[進学希望フラグ]]=0,"",IF(T_学生別進路[[#This Row],[進路確定]]="○",1,0))</f>
        <v>1</v>
      </c>
      <c r="G5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59" s="30" t="str">
        <f>_xlfn.XLOOKUP(T_学生別進路[[#This Row],[学籍番号]]&amp;"○",進路状況入力シート!K:K,進路状況入力シート!D:D,"",0,1)</f>
        <v>専門学校花壇自動車大学校</v>
      </c>
      <c r="I59" s="30"/>
      <c r="J59" s="31">
        <v>45962</v>
      </c>
      <c r="K59" s="30">
        <f>IF(T_学生別進路[[#This Row],[合格時期]]="",0,IF(T_学生別進路[[#This Row],[合格時期]]&lt;K$5,1,0))</f>
        <v>1</v>
      </c>
      <c r="L59" s="30">
        <f>IF(T_学生別進路[[#This Row],[合格時期]]="",0,IF(T_学生別進路[[#This Row],[合格時期]]&lt;L$5,1,0))</f>
        <v>1</v>
      </c>
      <c r="M59" s="30">
        <f>IF(T_学生別進路[[#This Row],[合格時期]]="",0,IF(T_学生別進路[[#This Row],[合格時期]]&lt;M$5,1,0))</f>
        <v>1</v>
      </c>
      <c r="N59" s="30">
        <f>IF(T_学生別進路[[#This Row],[合格時期]]="",0,IF(T_学生別進路[[#This Row],[合格時期]]&lt;N$5,1,0))</f>
        <v>1</v>
      </c>
      <c r="O59" s="30">
        <f>IF(T_学生別進路[[#This Row],[合格時期]]="",0,IF(T_学生別進路[[#This Row],[合格時期]]&lt;O$5,1,0))</f>
        <v>1</v>
      </c>
      <c r="P59" s="30"/>
      <c r="Q59" s="3"/>
      <c r="R59" s="3"/>
      <c r="S59" s="3"/>
      <c r="T59" s="3"/>
      <c r="U59" s="3"/>
    </row>
    <row r="60" spans="1:21" hidden="1" x14ac:dyDescent="0.15">
      <c r="A60" s="32">
        <v>2404149</v>
      </c>
      <c r="B60" s="30" t="str">
        <f>VLOOKUP(T_学生別進路[[#This Row],[学籍番号]],進路状況入力シート!A:B,2,FALSE)</f>
        <v>2-3</v>
      </c>
      <c r="C60" s="30" t="str">
        <f>VLOOKUP(T_学生別進路[[#This Row],[学籍番号]],進路状況入力シート!A:C,3,FALSE)</f>
        <v>GITA KUMARI RANA</v>
      </c>
      <c r="D60" s="30" t="str">
        <f>IF(AND(T_学生別進路[[#This Row],[進路確定]]="○",T_学生別進路[[#This Row],[進学希望フラグ]]=1),"○","")</f>
        <v>○</v>
      </c>
      <c r="E60" s="30" t="str">
        <f>_xlfn.IFNA(RIGHT(VLOOKUP(T_学生別進路[[#This Row],[学籍番号]]&amp;"○",進路状況入力シート!K:K,1,FALSE),1),"")</f>
        <v>○</v>
      </c>
      <c r="F60" s="30">
        <f>IF(T_学生別進路[[#This Row],[進学希望フラグ]]=0,"",IF(T_学生別進路[[#This Row],[進路確定]]="○",1,0))</f>
        <v>1</v>
      </c>
      <c r="G6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0" s="30" t="str">
        <f>_xlfn.XLOOKUP(T_学生別進路[[#This Row],[学籍番号]]&amp;"○",進路状況入力シート!K:K,進路状況入力シート!D:D,"",0,1)</f>
        <v>専門学校アートカレッジ神戸</v>
      </c>
      <c r="I60" s="30"/>
      <c r="J60" s="31">
        <v>45839</v>
      </c>
      <c r="K60" s="30">
        <f>IF(T_学生別進路[[#This Row],[合格時期]]="",0,IF(T_学生別進路[[#This Row],[合格時期]]&lt;K$5,1,0))</f>
        <v>1</v>
      </c>
      <c r="L60" s="30">
        <f>IF(T_学生別進路[[#This Row],[合格時期]]="",0,IF(T_学生別進路[[#This Row],[合格時期]]&lt;L$5,1,0))</f>
        <v>1</v>
      </c>
      <c r="M60" s="30">
        <f>IF(T_学生別進路[[#This Row],[合格時期]]="",0,IF(T_学生別進路[[#This Row],[合格時期]]&lt;M$5,1,0))</f>
        <v>1</v>
      </c>
      <c r="N60" s="30">
        <f>IF(T_学生別進路[[#This Row],[合格時期]]="",0,IF(T_学生別進路[[#This Row],[合格時期]]&lt;N$5,1,0))</f>
        <v>1</v>
      </c>
      <c r="O60" s="30">
        <f>IF(T_学生別進路[[#This Row],[合格時期]]="",0,IF(T_学生別進路[[#This Row],[合格時期]]&lt;O$5,1,0))</f>
        <v>1</v>
      </c>
      <c r="P60" s="30"/>
      <c r="Q60" s="3"/>
      <c r="R60" s="3"/>
      <c r="S60" s="3"/>
      <c r="T60" s="3"/>
      <c r="U60" s="3"/>
    </row>
    <row r="61" spans="1:21" hidden="1" x14ac:dyDescent="0.15">
      <c r="A61" s="32">
        <v>2404154</v>
      </c>
      <c r="B61" s="30" t="str">
        <f>VLOOKUP(T_学生別進路[[#This Row],[学籍番号]],進路状況入力シート!A:B,2,FALSE)</f>
        <v>2-3</v>
      </c>
      <c r="C61" s="30" t="str">
        <f>VLOOKUP(T_学生別進路[[#This Row],[学籍番号]],進路状況入力シート!A:C,3,FALSE)</f>
        <v>AADITYA KUMAR CHAUDHARY</v>
      </c>
      <c r="D61" s="30" t="str">
        <f>IF(AND(T_学生別進路[[#This Row],[進路確定]]="○",T_学生別進路[[#This Row],[進学希望フラグ]]=1),"○","")</f>
        <v>○</v>
      </c>
      <c r="E61" s="30" t="str">
        <f>_xlfn.IFNA(RIGHT(VLOOKUP(T_学生別進路[[#This Row],[学籍番号]]&amp;"○",進路状況入力シート!K:K,1,FALSE),1),"")</f>
        <v>○</v>
      </c>
      <c r="F61" s="30">
        <f>IF(T_学生別進路[[#This Row],[進学希望フラグ]]=0,"",IF(T_学生別進路[[#This Row],[進路確定]]="○",1,0))</f>
        <v>1</v>
      </c>
      <c r="G6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1" s="30" t="str">
        <f>_xlfn.XLOOKUP(T_学生別進路[[#This Row],[学籍番号]]&amp;"○",進路状況入力シート!K:K,進路状況入力シート!D:D,"",0,1)</f>
        <v>専門学校花壇自動車大学校</v>
      </c>
      <c r="I61" s="30"/>
      <c r="J61" s="31">
        <v>45962</v>
      </c>
      <c r="K61" s="30">
        <f>IF(T_学生別進路[[#This Row],[合格時期]]="",0,IF(T_学生別進路[[#This Row],[合格時期]]&lt;K$5,1,0))</f>
        <v>1</v>
      </c>
      <c r="L61" s="30">
        <f>IF(T_学生別進路[[#This Row],[合格時期]]="",0,IF(T_学生別進路[[#This Row],[合格時期]]&lt;L$5,1,0))</f>
        <v>1</v>
      </c>
      <c r="M61" s="30">
        <f>IF(T_学生別進路[[#This Row],[合格時期]]="",0,IF(T_学生別進路[[#This Row],[合格時期]]&lt;M$5,1,0))</f>
        <v>1</v>
      </c>
      <c r="N61" s="30">
        <f>IF(T_学生別進路[[#This Row],[合格時期]]="",0,IF(T_学生別進路[[#This Row],[合格時期]]&lt;N$5,1,0))</f>
        <v>1</v>
      </c>
      <c r="O61" s="30">
        <f>IF(T_学生別進路[[#This Row],[合格時期]]="",0,IF(T_学生別進路[[#This Row],[合格時期]]&lt;O$5,1,0))</f>
        <v>1</v>
      </c>
      <c r="P61" s="30"/>
      <c r="Q61" s="3"/>
      <c r="R61" s="3"/>
      <c r="S61" s="3"/>
      <c r="T61" s="3"/>
      <c r="U61" s="3"/>
    </row>
    <row r="62" spans="1:21" hidden="1" x14ac:dyDescent="0.15">
      <c r="A62" s="32">
        <v>2404155</v>
      </c>
      <c r="B62" s="30" t="str">
        <f>VLOOKUP(T_学生別進路[[#This Row],[学籍番号]],進路状況入力シート!A:B,2,FALSE)</f>
        <v>2-3</v>
      </c>
      <c r="C62" s="30" t="str">
        <f>VLOOKUP(T_学生別進路[[#This Row],[学籍番号]],進路状況入力シート!A:C,3,FALSE)</f>
        <v>BUDDHI BAHADUR BUDHATHOKI</v>
      </c>
      <c r="D62" s="30" t="str">
        <f>IF(AND(T_学生別進路[[#This Row],[進路確定]]="○",T_学生別進路[[#This Row],[進学希望フラグ]]=1),"○","")</f>
        <v>○</v>
      </c>
      <c r="E62" s="30" t="str">
        <f>_xlfn.IFNA(RIGHT(VLOOKUP(T_学生別進路[[#This Row],[学籍番号]]&amp;"○",進路状況入力シート!K:K,1,FALSE),1),"")</f>
        <v>○</v>
      </c>
      <c r="F62" s="30">
        <f>IF(T_学生別進路[[#This Row],[進学希望フラグ]]=0,"",IF(T_学生別進路[[#This Row],[進路確定]]="○",1,0))</f>
        <v>1</v>
      </c>
      <c r="G6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2" s="30" t="str">
        <f>_xlfn.XLOOKUP(T_学生別進路[[#This Row],[学籍番号]]&amp;"○",進路状況入力シート!K:K,進路状況入力シート!D:D,"",0,1)</f>
        <v>イーストウエスト外国語専門学校</v>
      </c>
      <c r="I62" s="30"/>
      <c r="J62" s="31">
        <v>45931</v>
      </c>
      <c r="K62" s="30">
        <f>IF(T_学生別進路[[#This Row],[合格時期]]="",0,IF(T_学生別進路[[#This Row],[合格時期]]&lt;K$5,1,0))</f>
        <v>1</v>
      </c>
      <c r="L62" s="30">
        <f>IF(T_学生別進路[[#This Row],[合格時期]]="",0,IF(T_学生別進路[[#This Row],[合格時期]]&lt;L$5,1,0))</f>
        <v>1</v>
      </c>
      <c r="M62" s="30">
        <f>IF(T_学生別進路[[#This Row],[合格時期]]="",0,IF(T_学生別進路[[#This Row],[合格時期]]&lt;M$5,1,0))</f>
        <v>1</v>
      </c>
      <c r="N62" s="30">
        <f>IF(T_学生別進路[[#This Row],[合格時期]]="",0,IF(T_学生別進路[[#This Row],[合格時期]]&lt;N$5,1,0))</f>
        <v>1</v>
      </c>
      <c r="O62" s="30">
        <f>IF(T_学生別進路[[#This Row],[合格時期]]="",0,IF(T_学生別進路[[#This Row],[合格時期]]&lt;O$5,1,0))</f>
        <v>1</v>
      </c>
      <c r="P62" s="30"/>
      <c r="Q62" s="3"/>
      <c r="R62" s="3"/>
      <c r="S62" s="3"/>
      <c r="T62" s="3"/>
      <c r="U62" s="3"/>
    </row>
    <row r="63" spans="1:21" hidden="1" x14ac:dyDescent="0.15">
      <c r="A63" s="32">
        <v>2404158</v>
      </c>
      <c r="B63" s="30" t="str">
        <f>VLOOKUP(T_学生別進路[[#This Row],[学籍番号]],進路状況入力シート!A:B,2,FALSE)</f>
        <v>2-3</v>
      </c>
      <c r="C63" s="30" t="str">
        <f>VLOOKUP(T_学生別進路[[#This Row],[学籍番号]],進路状況入力シート!A:C,3,FALSE)</f>
        <v>DAHAL MANISHA</v>
      </c>
      <c r="D63" s="30" t="str">
        <f>IF(AND(T_学生別進路[[#This Row],[進路確定]]="○",T_学生別進路[[#This Row],[進学希望フラグ]]=1),"○","")</f>
        <v>○</v>
      </c>
      <c r="E63" s="30" t="str">
        <f>_xlfn.IFNA(RIGHT(VLOOKUP(T_学生別進路[[#This Row],[学籍番号]]&amp;"○",進路状況入力シート!K:K,1,FALSE),1),"")</f>
        <v>○</v>
      </c>
      <c r="F63" s="30">
        <f>IF(T_学生別進路[[#This Row],[進学希望フラグ]]=0,"",IF(T_学生別進路[[#This Row],[進路確定]]="○",1,0))</f>
        <v>1</v>
      </c>
      <c r="G6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3" s="30" t="str">
        <f>_xlfn.XLOOKUP(T_学生別進路[[#This Row],[学籍番号]]&amp;"○",進路状況入力シート!K:K,進路状況入力シート!D:D,"",0,1)</f>
        <v>専門学校アートカレッジ神戸</v>
      </c>
      <c r="I63" s="30"/>
      <c r="J63" s="31">
        <v>45839</v>
      </c>
      <c r="K63" s="30">
        <f>IF(T_学生別進路[[#This Row],[合格時期]]="",0,IF(T_学生別進路[[#This Row],[合格時期]]&lt;K$5,1,0))</f>
        <v>1</v>
      </c>
      <c r="L63" s="30">
        <f>IF(T_学生別進路[[#This Row],[合格時期]]="",0,IF(T_学生別進路[[#This Row],[合格時期]]&lt;L$5,1,0))</f>
        <v>1</v>
      </c>
      <c r="M63" s="30">
        <f>IF(T_学生別進路[[#This Row],[合格時期]]="",0,IF(T_学生別進路[[#This Row],[合格時期]]&lt;M$5,1,0))</f>
        <v>1</v>
      </c>
      <c r="N63" s="30">
        <f>IF(T_学生別進路[[#This Row],[合格時期]]="",0,IF(T_学生別進路[[#This Row],[合格時期]]&lt;N$5,1,0))</f>
        <v>1</v>
      </c>
      <c r="O63" s="30">
        <f>IF(T_学生別進路[[#This Row],[合格時期]]="",0,IF(T_学生別進路[[#This Row],[合格時期]]&lt;O$5,1,0))</f>
        <v>1</v>
      </c>
      <c r="P63" s="30"/>
      <c r="Q63" s="3"/>
      <c r="R63" s="3"/>
      <c r="S63" s="3"/>
      <c r="T63" s="3"/>
      <c r="U63" s="3"/>
    </row>
    <row r="64" spans="1:21" hidden="1" x14ac:dyDescent="0.15">
      <c r="A64" s="32">
        <v>2404177</v>
      </c>
      <c r="B64" s="30" t="str">
        <f>VLOOKUP(T_学生別進路[[#This Row],[学籍番号]],進路状況入力シート!A:B,2,FALSE)</f>
        <v>2-3</v>
      </c>
      <c r="C64" s="30" t="str">
        <f>VLOOKUP(T_学生別進路[[#This Row],[学籍番号]],進路状況入力シート!A:C,3,FALSE)</f>
        <v>KHADKA SARASWOTI</v>
      </c>
      <c r="D64" s="30" t="str">
        <f>IF(AND(T_学生別進路[[#This Row],[進路確定]]="○",T_学生別進路[[#This Row],[進学希望フラグ]]=1),"○","")</f>
        <v>○</v>
      </c>
      <c r="E64" s="30" t="str">
        <f>_xlfn.IFNA(RIGHT(VLOOKUP(T_学生別進路[[#This Row],[学籍番号]]&amp;"○",進路状況入力シート!K:K,1,FALSE),1),"")</f>
        <v>○</v>
      </c>
      <c r="F64" s="30">
        <f>IF(T_学生別進路[[#This Row],[進学希望フラグ]]=0,"",IF(T_学生別進路[[#This Row],[進路確定]]="○",1,0))</f>
        <v>1</v>
      </c>
      <c r="G6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4" s="30" t="str">
        <f>_xlfn.XLOOKUP(T_学生別進路[[#This Row],[学籍番号]]&amp;"○",進路状況入力シート!K:K,進路状況入力シート!D:D,"",0,1)</f>
        <v>流通科学大学</v>
      </c>
      <c r="I64" s="30"/>
      <c r="J64" s="31">
        <v>45962</v>
      </c>
      <c r="K64" s="30">
        <f>IF(T_学生別進路[[#This Row],[合格時期]]="",0,IF(T_学生別進路[[#This Row],[合格時期]]&lt;K$5,1,0))</f>
        <v>1</v>
      </c>
      <c r="L64" s="30">
        <f>IF(T_学生別進路[[#This Row],[合格時期]]="",0,IF(T_学生別進路[[#This Row],[合格時期]]&lt;L$5,1,0))</f>
        <v>1</v>
      </c>
      <c r="M64" s="30">
        <f>IF(T_学生別進路[[#This Row],[合格時期]]="",0,IF(T_学生別進路[[#This Row],[合格時期]]&lt;M$5,1,0))</f>
        <v>1</v>
      </c>
      <c r="N64" s="30">
        <f>IF(T_学生別進路[[#This Row],[合格時期]]="",0,IF(T_学生別進路[[#This Row],[合格時期]]&lt;N$5,1,0))</f>
        <v>1</v>
      </c>
      <c r="O64" s="30">
        <f>IF(T_学生別進路[[#This Row],[合格時期]]="",0,IF(T_学生別進路[[#This Row],[合格時期]]&lt;O$5,1,0))</f>
        <v>1</v>
      </c>
      <c r="P64" s="30"/>
      <c r="Q64" s="3"/>
      <c r="R64" s="3"/>
      <c r="S64" s="3"/>
      <c r="T64" s="3"/>
      <c r="U64" s="3"/>
    </row>
    <row r="65" spans="1:21" hidden="1" x14ac:dyDescent="0.15">
      <c r="A65" s="32">
        <v>2404081</v>
      </c>
      <c r="B65" s="30" t="str">
        <f>VLOOKUP(T_学生別進路[[#This Row],[学籍番号]],進路状況入力シート!A:B,2,FALSE)</f>
        <v>2-4</v>
      </c>
      <c r="C65" s="30" t="str">
        <f>VLOOKUP(T_学生別進路[[#This Row],[学籍番号]],進路状況入力シート!A:C,3,FALSE)</f>
        <v>AL-AMIN-AL-SADI</v>
      </c>
      <c r="D65" s="30" t="str">
        <f>IF(AND(T_学生別進路[[#This Row],[進路確定]]="○",T_学生別進路[[#This Row],[進学希望フラグ]]=1),"○","")</f>
        <v>○</v>
      </c>
      <c r="E65" s="30" t="str">
        <f>_xlfn.IFNA(RIGHT(VLOOKUP(T_学生別進路[[#This Row],[学籍番号]]&amp;"○",進路状況入力シート!K:K,1,FALSE),1),"")</f>
        <v>○</v>
      </c>
      <c r="F65" s="30">
        <f>IF(T_学生別進路[[#This Row],[進学希望フラグ]]=0,"",IF(T_学生別進路[[#This Row],[進路確定]]="○",1,0))</f>
        <v>1</v>
      </c>
      <c r="G6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5" s="30" t="str">
        <f>_xlfn.XLOOKUP(T_学生別進路[[#This Row],[学籍番号]]&amp;"○",進路状況入力シート!K:K,進路状況入力シート!D:D,"",0,1)</f>
        <v>関西国際大学</v>
      </c>
      <c r="I65" s="39" t="s">
        <v>626</v>
      </c>
      <c r="J65" s="31">
        <v>45962</v>
      </c>
      <c r="K65" s="30">
        <f>IF(T_学生別進路[[#This Row],[合格時期]]="",0,IF(T_学生別進路[[#This Row],[合格時期]]&lt;K$5,1,0))</f>
        <v>1</v>
      </c>
      <c r="L65" s="30">
        <f>IF(T_学生別進路[[#This Row],[合格時期]]="",0,IF(T_学生別進路[[#This Row],[合格時期]]&lt;L$5,1,0))</f>
        <v>1</v>
      </c>
      <c r="M65" s="30">
        <f>IF(T_学生別進路[[#This Row],[合格時期]]="",0,IF(T_学生別進路[[#This Row],[合格時期]]&lt;M$5,1,0))</f>
        <v>1</v>
      </c>
      <c r="N65" s="30">
        <f>IF(T_学生別進路[[#This Row],[合格時期]]="",0,IF(T_学生別進路[[#This Row],[合格時期]]&lt;N$5,1,0))</f>
        <v>1</v>
      </c>
      <c r="O65" s="30">
        <f>IF(T_学生別進路[[#This Row],[合格時期]]="",0,IF(T_学生別進路[[#This Row],[合格時期]]&lt;O$5,1,0))</f>
        <v>1</v>
      </c>
      <c r="P65" s="30"/>
      <c r="Q65" s="3"/>
      <c r="R65" s="3"/>
      <c r="S65" s="3"/>
      <c r="T65" s="3"/>
      <c r="U65" s="3"/>
    </row>
    <row r="66" spans="1:21" hidden="1" x14ac:dyDescent="0.15">
      <c r="A66" s="32">
        <v>2404091</v>
      </c>
      <c r="B66" s="30" t="str">
        <f>VLOOKUP(T_学生別進路[[#This Row],[学籍番号]],進路状況入力シート!A:B,2,FALSE)</f>
        <v>2-4</v>
      </c>
      <c r="C66" s="30" t="str">
        <f>VLOOKUP(T_学生別進路[[#This Row],[学籍番号]],進路状況入力シート!A:C,3,FALSE)</f>
        <v>SHIHAB MOTIUR RAHMAN</v>
      </c>
      <c r="D66" s="30" t="str">
        <f>IF(AND(T_学生別進路[[#This Row],[進路確定]]="○",T_学生別進路[[#This Row],[進学希望フラグ]]=1),"○","")</f>
        <v>○</v>
      </c>
      <c r="E66" s="30" t="str">
        <f>_xlfn.IFNA(RIGHT(VLOOKUP(T_学生別進路[[#This Row],[学籍番号]]&amp;"○",進路状況入力シート!K:K,1,FALSE),1),"")</f>
        <v>○</v>
      </c>
      <c r="F66" s="30">
        <f>IF(T_学生別進路[[#This Row],[進学希望フラグ]]=0,"",IF(T_学生別進路[[#This Row],[進路確定]]="○",1,0))</f>
        <v>1</v>
      </c>
      <c r="G6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6" s="30" t="str">
        <f>_xlfn.XLOOKUP(T_学生別進路[[#This Row],[学籍番号]]&amp;"○",進路状況入力シート!K:K,進路状況入力シート!D:D,"",0,1)</f>
        <v>大阪電子専門学校</v>
      </c>
      <c r="I66" s="39" t="s">
        <v>626</v>
      </c>
      <c r="J66" s="31">
        <v>45992</v>
      </c>
      <c r="K66" s="30">
        <f>IF(T_学生別進路[[#This Row],[合格時期]]="",0,IF(T_学生別進路[[#This Row],[合格時期]]&lt;K$5,1,0))</f>
        <v>0</v>
      </c>
      <c r="L66" s="30">
        <f>IF(T_学生別進路[[#This Row],[合格時期]]="",0,IF(T_学生別進路[[#This Row],[合格時期]]&lt;L$5,1,0))</f>
        <v>1</v>
      </c>
      <c r="M66" s="30">
        <f>IF(T_学生別進路[[#This Row],[合格時期]]="",0,IF(T_学生別進路[[#This Row],[合格時期]]&lt;M$5,1,0))</f>
        <v>1</v>
      </c>
      <c r="N66" s="30">
        <f>IF(T_学生別進路[[#This Row],[合格時期]]="",0,IF(T_学生別進路[[#This Row],[合格時期]]&lt;N$5,1,0))</f>
        <v>1</v>
      </c>
      <c r="O66" s="30">
        <f>IF(T_学生別進路[[#This Row],[合格時期]]="",0,IF(T_学生別進路[[#This Row],[合格時期]]&lt;O$5,1,0))</f>
        <v>1</v>
      </c>
      <c r="P66" s="30"/>
      <c r="Q66" s="3"/>
      <c r="R66" s="3"/>
      <c r="S66" s="3"/>
      <c r="T66" s="3"/>
      <c r="U66" s="3"/>
    </row>
    <row r="67" spans="1:21" hidden="1" x14ac:dyDescent="0.15">
      <c r="A67" s="32">
        <v>2404159</v>
      </c>
      <c r="B67" s="30" t="str">
        <f>VLOOKUP(T_学生別進路[[#This Row],[学籍番号]],進路状況入力シート!A:B,2,FALSE)</f>
        <v>2-4</v>
      </c>
      <c r="C67" s="30" t="str">
        <f>VLOOKUP(T_学生別進路[[#This Row],[学籍番号]],進路状況入力シート!A:C,3,FALSE)</f>
        <v>RABIN THAPALIYA</v>
      </c>
      <c r="D67" s="30" t="str">
        <f>IF(AND(T_学生別進路[[#This Row],[進路確定]]="○",T_学生別進路[[#This Row],[進学希望フラグ]]=1),"○","")</f>
        <v>○</v>
      </c>
      <c r="E67" s="30" t="str">
        <f>_xlfn.IFNA(RIGHT(VLOOKUP(T_学生別進路[[#This Row],[学籍番号]]&amp;"○",進路状況入力シート!K:K,1,FALSE),1),"")</f>
        <v>○</v>
      </c>
      <c r="F67" s="30">
        <f>IF(T_学生別進路[[#This Row],[進学希望フラグ]]=0,"",IF(T_学生別進路[[#This Row],[進路確定]]="○",1,0))</f>
        <v>1</v>
      </c>
      <c r="G6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7" s="30" t="str">
        <f>_xlfn.XLOOKUP(T_学生別進路[[#This Row],[学籍番号]]&amp;"○",進路状況入力シート!K:K,進路状況入力シート!D:D,"",0,1)</f>
        <v>岩谷学園よこはまITビジネス専門学校</v>
      </c>
      <c r="I67" s="30"/>
      <c r="J67" s="31">
        <v>45931</v>
      </c>
      <c r="K67" s="30">
        <f>IF(T_学生別進路[[#This Row],[合格時期]]="",0,IF(T_学生別進路[[#This Row],[合格時期]]&lt;K$5,1,0))</f>
        <v>1</v>
      </c>
      <c r="L67" s="30">
        <f>IF(T_学生別進路[[#This Row],[合格時期]]="",0,IF(T_学生別進路[[#This Row],[合格時期]]&lt;L$5,1,0))</f>
        <v>1</v>
      </c>
      <c r="M67" s="30">
        <f>IF(T_学生別進路[[#This Row],[合格時期]]="",0,IF(T_学生別進路[[#This Row],[合格時期]]&lt;M$5,1,0))</f>
        <v>1</v>
      </c>
      <c r="N67" s="30">
        <f>IF(T_学生別進路[[#This Row],[合格時期]]="",0,IF(T_学生別進路[[#This Row],[合格時期]]&lt;N$5,1,0))</f>
        <v>1</v>
      </c>
      <c r="O67" s="30">
        <f>IF(T_学生別進路[[#This Row],[合格時期]]="",0,IF(T_学生別進路[[#This Row],[合格時期]]&lt;O$5,1,0))</f>
        <v>1</v>
      </c>
      <c r="P67" s="30"/>
      <c r="Q67" s="3"/>
      <c r="R67" s="3"/>
      <c r="S67" s="3"/>
      <c r="T67" s="3"/>
      <c r="U67" s="3"/>
    </row>
    <row r="68" spans="1:21" hidden="1" x14ac:dyDescent="0.15">
      <c r="A68" s="32">
        <v>2404182</v>
      </c>
      <c r="B68" s="30" t="str">
        <f>VLOOKUP(T_学生別進路[[#This Row],[学籍番号]],進路状況入力シート!A:B,2,FALSE)</f>
        <v>2-4</v>
      </c>
      <c r="C68" s="30" t="str">
        <f>VLOOKUP(T_学生別進路[[#This Row],[学籍番号]],進路状況入力シート!A:C,3,FALSE)</f>
        <v>NABID TANJIM</v>
      </c>
      <c r="D68" s="30" t="str">
        <f>IF(AND(T_学生別進路[[#This Row],[進路確定]]="○",T_学生別進路[[#This Row],[進学希望フラグ]]=1),"○","")</f>
        <v>○</v>
      </c>
      <c r="E68" s="30" t="str">
        <f>_xlfn.IFNA(RIGHT(VLOOKUP(T_学生別進路[[#This Row],[学籍番号]]&amp;"○",進路状況入力シート!K:K,1,FALSE),1),"")</f>
        <v>○</v>
      </c>
      <c r="F68" s="30">
        <f>IF(T_学生別進路[[#This Row],[進学希望フラグ]]=0,"",IF(T_学生別進路[[#This Row],[進路確定]]="○",1,0))</f>
        <v>1</v>
      </c>
      <c r="G6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8" s="30" t="str">
        <f>_xlfn.XLOOKUP(T_学生別進路[[#This Row],[学籍番号]]&amp;"○",進路状況入力シート!K:K,進路状況入力シート!D:D,"",0,1)</f>
        <v>流通科学大学</v>
      </c>
      <c r="I68" s="30"/>
      <c r="J68" s="31">
        <v>45962</v>
      </c>
      <c r="K68" s="30">
        <f>IF(T_学生別進路[[#This Row],[合格時期]]="",0,IF(T_学生別進路[[#This Row],[合格時期]]&lt;K$5,1,0))</f>
        <v>1</v>
      </c>
      <c r="L68" s="30">
        <f>IF(T_学生別進路[[#This Row],[合格時期]]="",0,IF(T_学生別進路[[#This Row],[合格時期]]&lt;L$5,1,0))</f>
        <v>1</v>
      </c>
      <c r="M68" s="30">
        <f>IF(T_学生別進路[[#This Row],[合格時期]]="",0,IF(T_学生別進路[[#This Row],[合格時期]]&lt;M$5,1,0))</f>
        <v>1</v>
      </c>
      <c r="N68" s="30">
        <f>IF(T_学生別進路[[#This Row],[合格時期]]="",0,IF(T_学生別進路[[#This Row],[合格時期]]&lt;N$5,1,0))</f>
        <v>1</v>
      </c>
      <c r="O68" s="30">
        <f>IF(T_学生別進路[[#This Row],[合格時期]]="",0,IF(T_学生別進路[[#This Row],[合格時期]]&lt;O$5,1,0))</f>
        <v>1</v>
      </c>
      <c r="P68" s="30"/>
      <c r="Q68" s="3"/>
      <c r="R68" s="3"/>
      <c r="S68" s="3"/>
      <c r="T68" s="3"/>
      <c r="U68" s="3"/>
    </row>
    <row r="69" spans="1:21" hidden="1" x14ac:dyDescent="0.15">
      <c r="A69" s="32">
        <v>2407003</v>
      </c>
      <c r="B69" s="30" t="str">
        <f>VLOOKUP(T_学生別進路[[#This Row],[学籍番号]],進路状況入力シート!A:B,2,FALSE)</f>
        <v>2-4</v>
      </c>
      <c r="C69" s="30" t="str">
        <f>VLOOKUP(T_学生別進路[[#This Row],[学籍番号]],進路状況入力シート!A:C,3,FALSE)</f>
        <v>劉 暁聡</v>
      </c>
      <c r="D69" s="30" t="str">
        <f>IF(AND(T_学生別進路[[#This Row],[進路確定]]="○",T_学生別進路[[#This Row],[進学希望フラグ]]=1),"○","")</f>
        <v>○</v>
      </c>
      <c r="E69" s="30" t="str">
        <f>_xlfn.IFNA(RIGHT(VLOOKUP(T_学生別進路[[#This Row],[学籍番号]]&amp;"○",進路状況入力シート!K:K,1,FALSE),1),"")</f>
        <v>○</v>
      </c>
      <c r="F69" s="30">
        <f>IF(T_学生別進路[[#This Row],[進学希望フラグ]]=0,"",IF(T_学生別進路[[#This Row],[進路確定]]="○",1,0))</f>
        <v>1</v>
      </c>
      <c r="G6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69" s="30" t="str">
        <f>_xlfn.XLOOKUP(T_学生別進路[[#This Row],[学籍番号]]&amp;"○",進路状況入力シート!K:K,進路状況入力シート!D:D,"",0,1)</f>
        <v>福岡医健・スポーツ専門学校専門学校</v>
      </c>
      <c r="I69" s="30"/>
      <c r="J69" s="31">
        <v>45962</v>
      </c>
      <c r="K69" s="30">
        <f>IF(T_学生別進路[[#This Row],[合格時期]]="",0,IF(T_学生別進路[[#This Row],[合格時期]]&lt;K$5,1,0))</f>
        <v>1</v>
      </c>
      <c r="L69" s="30">
        <f>IF(T_学生別進路[[#This Row],[合格時期]]="",0,IF(T_学生別進路[[#This Row],[合格時期]]&lt;L$5,1,0))</f>
        <v>1</v>
      </c>
      <c r="M69" s="30">
        <f>IF(T_学生別進路[[#This Row],[合格時期]]="",0,IF(T_学生別進路[[#This Row],[合格時期]]&lt;M$5,1,0))</f>
        <v>1</v>
      </c>
      <c r="N69" s="30">
        <f>IF(T_学生別進路[[#This Row],[合格時期]]="",0,IF(T_学生別進路[[#This Row],[合格時期]]&lt;N$5,1,0))</f>
        <v>1</v>
      </c>
      <c r="O69" s="30">
        <f>IF(T_学生別進路[[#This Row],[合格時期]]="",0,IF(T_学生別進路[[#This Row],[合格時期]]&lt;O$5,1,0))</f>
        <v>1</v>
      </c>
      <c r="P69" s="30"/>
      <c r="Q69" s="3"/>
      <c r="R69" s="3"/>
      <c r="S69" s="3"/>
      <c r="T69" s="3"/>
      <c r="U69" s="3"/>
    </row>
    <row r="70" spans="1:21" hidden="1" x14ac:dyDescent="0.15">
      <c r="A70" s="32">
        <v>2407004</v>
      </c>
      <c r="B70" s="30" t="str">
        <f>VLOOKUP(T_学生別進路[[#This Row],[学籍番号]],進路状況入力シート!A:B,2,FALSE)</f>
        <v>2-4</v>
      </c>
      <c r="C70" s="30" t="str">
        <f>VLOOKUP(T_学生別進路[[#This Row],[学籍番号]],進路状況入力シート!A:C,3,FALSE)</f>
        <v>KAMURAN ADILI</v>
      </c>
      <c r="D70" s="30" t="str">
        <f>IF(AND(T_学生別進路[[#This Row],[進路確定]]="○",T_学生別進路[[#This Row],[進学希望フラグ]]=1),"○","")</f>
        <v>○</v>
      </c>
      <c r="E70" s="30" t="str">
        <f>_xlfn.IFNA(RIGHT(VLOOKUP(T_学生別進路[[#This Row],[学籍番号]]&amp;"○",進路状況入力シート!K:K,1,FALSE),1),"")</f>
        <v>○</v>
      </c>
      <c r="F70" s="30">
        <f>IF(T_学生別進路[[#This Row],[進学希望フラグ]]=0,"",IF(T_学生別進路[[#This Row],[進路確定]]="○",1,0))</f>
        <v>1</v>
      </c>
      <c r="G7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0" s="30" t="str">
        <f>_xlfn.XLOOKUP(T_学生別進路[[#This Row],[学籍番号]]&amp;"○",進路状況入力シート!K:K,進路状況入力シート!D:D,"",0,1)</f>
        <v>東京大学大学院</v>
      </c>
      <c r="I70" s="39" t="s">
        <v>626</v>
      </c>
      <c r="J70" s="31">
        <v>45992</v>
      </c>
      <c r="K70" s="30">
        <f>IF(T_学生別進路[[#This Row],[合格時期]]="",0,IF(T_学生別進路[[#This Row],[合格時期]]&lt;K$5,1,0))</f>
        <v>0</v>
      </c>
      <c r="L70" s="30">
        <f>IF(T_学生別進路[[#This Row],[合格時期]]="",0,IF(T_学生別進路[[#This Row],[合格時期]]&lt;L$5,1,0))</f>
        <v>1</v>
      </c>
      <c r="M70" s="30">
        <f>IF(T_学生別進路[[#This Row],[合格時期]]="",0,IF(T_学生別進路[[#This Row],[合格時期]]&lt;M$5,1,0))</f>
        <v>1</v>
      </c>
      <c r="N70" s="30">
        <f>IF(T_学生別進路[[#This Row],[合格時期]]="",0,IF(T_学生別進路[[#This Row],[合格時期]]&lt;N$5,1,0))</f>
        <v>1</v>
      </c>
      <c r="O70" s="30">
        <f>IF(T_学生別進路[[#This Row],[合格時期]]="",0,IF(T_学生別進路[[#This Row],[合格時期]]&lt;O$5,1,0))</f>
        <v>1</v>
      </c>
      <c r="P70" s="30"/>
      <c r="Q70" s="3"/>
      <c r="R70" s="3"/>
      <c r="S70" s="3"/>
      <c r="T70" s="3"/>
      <c r="U70" s="3"/>
    </row>
    <row r="71" spans="1:21" hidden="1" x14ac:dyDescent="0.15">
      <c r="A71" s="32">
        <v>2407006</v>
      </c>
      <c r="B71" s="30" t="str">
        <f>VLOOKUP(T_学生別進路[[#This Row],[学籍番号]],進路状況入力シート!A:B,2,FALSE)</f>
        <v>2-4</v>
      </c>
      <c r="C71" s="30" t="str">
        <f>VLOOKUP(T_学生別進路[[#This Row],[学籍番号]],進路状況入力シート!A:C,3,FALSE)</f>
        <v>李 唯正</v>
      </c>
      <c r="D71" s="30" t="str">
        <f>IF(AND(T_学生別進路[[#This Row],[進路確定]]="○",T_学生別進路[[#This Row],[進学希望フラグ]]=1),"○","")</f>
        <v>○</v>
      </c>
      <c r="E71" s="30" t="str">
        <f>_xlfn.IFNA(RIGHT(VLOOKUP(T_学生別進路[[#This Row],[学籍番号]]&amp;"○",進路状況入力シート!K:K,1,FALSE),1),"")</f>
        <v>○</v>
      </c>
      <c r="F71" s="30">
        <f>IF(T_学生別進路[[#This Row],[進学希望フラグ]]=0,"",IF(T_学生別進路[[#This Row],[進路確定]]="○",1,0))</f>
        <v>1</v>
      </c>
      <c r="G7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1" s="30" t="str">
        <f>_xlfn.XLOOKUP(T_学生別進路[[#This Row],[学籍番号]]&amp;"○",進路状況入力シート!K:K,進路状況入力シート!D:D,"",0,1)</f>
        <v>山形大学大学院</v>
      </c>
      <c r="I71" s="39" t="s">
        <v>626</v>
      </c>
      <c r="J71" s="31">
        <v>46023</v>
      </c>
      <c r="K71" s="30">
        <f>IF(T_学生別進路[[#This Row],[合格時期]]="",0,IF(T_学生別進路[[#This Row],[合格時期]]&lt;K$5,1,0))</f>
        <v>0</v>
      </c>
      <c r="L71" s="30">
        <f>IF(T_学生別進路[[#This Row],[合格時期]]="",0,IF(T_学生別進路[[#This Row],[合格時期]]&lt;L$5,1,0))</f>
        <v>0</v>
      </c>
      <c r="M71" s="30">
        <f>IF(T_学生別進路[[#This Row],[合格時期]]="",0,IF(T_学生別進路[[#This Row],[合格時期]]&lt;M$5,1,0))</f>
        <v>1</v>
      </c>
      <c r="N71" s="30">
        <f>IF(T_学生別進路[[#This Row],[合格時期]]="",0,IF(T_学生別進路[[#This Row],[合格時期]]&lt;N$5,1,0))</f>
        <v>1</v>
      </c>
      <c r="O71" s="30">
        <f>IF(T_学生別進路[[#This Row],[合格時期]]="",0,IF(T_学生別進路[[#This Row],[合格時期]]&lt;O$5,1,0))</f>
        <v>1</v>
      </c>
      <c r="P71" s="30"/>
      <c r="Q71" s="3"/>
      <c r="R71" s="3"/>
      <c r="S71" s="3"/>
      <c r="T71" s="3"/>
      <c r="U71" s="3"/>
    </row>
    <row r="72" spans="1:21" hidden="1" x14ac:dyDescent="0.15">
      <c r="A72" s="32">
        <v>2407010</v>
      </c>
      <c r="B72" s="30" t="str">
        <f>VLOOKUP(T_学生別進路[[#This Row],[学籍番号]],進路状況入力シート!A:B,2,FALSE)</f>
        <v>2-4</v>
      </c>
      <c r="C72" s="30" t="str">
        <f>VLOOKUP(T_学生別進路[[#This Row],[学籍番号]],進路状況入力シート!A:C,3,FALSE)</f>
        <v>YEE MON OO</v>
      </c>
      <c r="D72" s="30" t="str">
        <f>IF(AND(T_学生別進路[[#This Row],[進路確定]]="○",T_学生別進路[[#This Row],[進学希望フラグ]]=1),"○","")</f>
        <v>○</v>
      </c>
      <c r="E72" s="30" t="str">
        <f>_xlfn.IFNA(RIGHT(VLOOKUP(T_学生別進路[[#This Row],[学籍番号]]&amp;"○",進路状況入力シート!K:K,1,FALSE),1),"")</f>
        <v>○</v>
      </c>
      <c r="F72" s="30">
        <f>IF(T_学生別進路[[#This Row],[進学希望フラグ]]=0,"",IF(T_学生別進路[[#This Row],[進路確定]]="○",1,0))</f>
        <v>1</v>
      </c>
      <c r="G7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2" s="30" t="str">
        <f>_xlfn.XLOOKUP(T_学生別進路[[#This Row],[学籍番号]]&amp;"○",進路状況入力シート!K:K,進路状況入力シート!D:D,"",0,1)</f>
        <v>神戸電子専門学校</v>
      </c>
      <c r="I72" s="30"/>
      <c r="J72" s="31">
        <v>45962</v>
      </c>
      <c r="K72" s="30">
        <f>IF(T_学生別進路[[#This Row],[合格時期]]="",0,IF(T_学生別進路[[#This Row],[合格時期]]&lt;K$5,1,0))</f>
        <v>1</v>
      </c>
      <c r="L72" s="30">
        <f>IF(T_学生別進路[[#This Row],[合格時期]]="",0,IF(T_学生別進路[[#This Row],[合格時期]]&lt;L$5,1,0))</f>
        <v>1</v>
      </c>
      <c r="M72" s="30">
        <f>IF(T_学生別進路[[#This Row],[合格時期]]="",0,IF(T_学生別進路[[#This Row],[合格時期]]&lt;M$5,1,0))</f>
        <v>1</v>
      </c>
      <c r="N72" s="30">
        <f>IF(T_学生別進路[[#This Row],[合格時期]]="",0,IF(T_学生別進路[[#This Row],[合格時期]]&lt;N$5,1,0))</f>
        <v>1</v>
      </c>
      <c r="O72" s="30">
        <f>IF(T_学生別進路[[#This Row],[合格時期]]="",0,IF(T_学生別進路[[#This Row],[合格時期]]&lt;O$5,1,0))</f>
        <v>1</v>
      </c>
      <c r="P72" s="30"/>
      <c r="Q72" s="3"/>
      <c r="R72" s="3"/>
      <c r="S72" s="3"/>
      <c r="T72" s="3"/>
      <c r="U72" s="3"/>
    </row>
    <row r="73" spans="1:21" hidden="1" x14ac:dyDescent="0.15">
      <c r="A73" s="32">
        <v>2407019</v>
      </c>
      <c r="B73" s="30" t="str">
        <f>VLOOKUP(T_学生別進路[[#This Row],[学籍番号]],進路状況入力シート!A:B,2,FALSE)</f>
        <v>2-4</v>
      </c>
      <c r="C73" s="30" t="str">
        <f>VLOOKUP(T_学生別進路[[#This Row],[学籍番号]],進路状況入力シート!A:C,3,FALSE)</f>
        <v>KHIN MYAT NOE AYE</v>
      </c>
      <c r="D73" s="30" t="str">
        <f>IF(AND(T_学生別進路[[#This Row],[進路確定]]="○",T_学生別進路[[#This Row],[進学希望フラグ]]=1),"○","")</f>
        <v>○</v>
      </c>
      <c r="E73" s="30" t="str">
        <f>_xlfn.IFNA(RIGHT(VLOOKUP(T_学生別進路[[#This Row],[学籍番号]]&amp;"○",進路状況入力シート!K:K,1,FALSE),1),"")</f>
        <v>○</v>
      </c>
      <c r="F73" s="30">
        <f>IF(T_学生別進路[[#This Row],[進学希望フラグ]]=0,"",IF(T_学生別進路[[#This Row],[進路確定]]="○",1,0))</f>
        <v>1</v>
      </c>
      <c r="G7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3" s="30" t="str">
        <f>_xlfn.XLOOKUP(T_学生別進路[[#This Row],[学籍番号]]&amp;"○",進路状況入力シート!K:K,進路状況入力シート!D:D,"",0,1)</f>
        <v>大原学園東京校</v>
      </c>
      <c r="I73" s="30"/>
      <c r="J73" s="31">
        <v>45931</v>
      </c>
      <c r="K73" s="30">
        <f>IF(T_学生別進路[[#This Row],[合格時期]]="",0,IF(T_学生別進路[[#This Row],[合格時期]]&lt;K$5,1,0))</f>
        <v>1</v>
      </c>
      <c r="L73" s="30">
        <f>IF(T_学生別進路[[#This Row],[合格時期]]="",0,IF(T_学生別進路[[#This Row],[合格時期]]&lt;L$5,1,0))</f>
        <v>1</v>
      </c>
      <c r="M73" s="30">
        <f>IF(T_学生別進路[[#This Row],[合格時期]]="",0,IF(T_学生別進路[[#This Row],[合格時期]]&lt;M$5,1,0))</f>
        <v>1</v>
      </c>
      <c r="N73" s="30">
        <f>IF(T_学生別進路[[#This Row],[合格時期]]="",0,IF(T_学生別進路[[#This Row],[合格時期]]&lt;N$5,1,0))</f>
        <v>1</v>
      </c>
      <c r="O73" s="30">
        <f>IF(T_学生別進路[[#This Row],[合格時期]]="",0,IF(T_学生別進路[[#This Row],[合格時期]]&lt;O$5,1,0))</f>
        <v>1</v>
      </c>
      <c r="P73" s="30"/>
      <c r="Q73" s="3"/>
      <c r="R73" s="3"/>
      <c r="S73" s="3"/>
      <c r="T73" s="3"/>
      <c r="U73" s="3"/>
    </row>
    <row r="74" spans="1:21" hidden="1" x14ac:dyDescent="0.15">
      <c r="A74" s="32">
        <v>2410002</v>
      </c>
      <c r="B74" s="30" t="str">
        <f>VLOOKUP(T_学生別進路[[#This Row],[学籍番号]],進路状況入力シート!A:B,2,FALSE)</f>
        <v>2-4</v>
      </c>
      <c r="C74" s="30" t="str">
        <f>VLOOKUP(T_学生別進路[[#This Row],[学籍番号]],進路状況入力シート!A:C,3,FALSE)</f>
        <v>孔 維晨</v>
      </c>
      <c r="D74" s="30" t="str">
        <f>IF(AND(T_学生別進路[[#This Row],[進路確定]]="○",T_学生別進路[[#This Row],[進学希望フラグ]]=1),"○","")</f>
        <v>○</v>
      </c>
      <c r="E74" s="30" t="str">
        <f>_xlfn.IFNA(RIGHT(VLOOKUP(T_学生別進路[[#This Row],[学籍番号]]&amp;"○",進路状況入力シート!K:K,1,FALSE),1),"")</f>
        <v>○</v>
      </c>
      <c r="F74" s="30">
        <f>IF(T_学生別進路[[#This Row],[進学希望フラグ]]=0,"",IF(T_学生別進路[[#This Row],[進路確定]]="○",1,0))</f>
        <v>1</v>
      </c>
      <c r="G7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4" s="30" t="str">
        <f>_xlfn.XLOOKUP(T_学生別進路[[#This Row],[学籍番号]]&amp;"○",進路状況入力シート!K:K,進路状況入力シート!D:D,"",0,1)</f>
        <v>大手前大学</v>
      </c>
      <c r="I74" s="39" t="s">
        <v>626</v>
      </c>
      <c r="J74" s="31">
        <v>45992</v>
      </c>
      <c r="K74" s="30">
        <f>IF(T_学生別進路[[#This Row],[合格時期]]="",0,IF(T_学生別進路[[#This Row],[合格時期]]&lt;K$5,1,0))</f>
        <v>0</v>
      </c>
      <c r="L74" s="30">
        <f>IF(T_学生別進路[[#This Row],[合格時期]]="",0,IF(T_学生別進路[[#This Row],[合格時期]]&lt;L$5,1,0))</f>
        <v>1</v>
      </c>
      <c r="M74" s="30">
        <f>IF(T_学生別進路[[#This Row],[合格時期]]="",0,IF(T_学生別進路[[#This Row],[合格時期]]&lt;M$5,1,0))</f>
        <v>1</v>
      </c>
      <c r="N74" s="30">
        <f>IF(T_学生別進路[[#This Row],[合格時期]]="",0,IF(T_学生別進路[[#This Row],[合格時期]]&lt;N$5,1,0))</f>
        <v>1</v>
      </c>
      <c r="O74" s="30">
        <f>IF(T_学生別進路[[#This Row],[合格時期]]="",0,IF(T_学生別進路[[#This Row],[合格時期]]&lt;O$5,1,0))</f>
        <v>1</v>
      </c>
      <c r="P74" s="30"/>
      <c r="Q74" s="3"/>
      <c r="R74" s="3"/>
      <c r="S74" s="3"/>
      <c r="T74" s="3"/>
      <c r="U74" s="3"/>
    </row>
    <row r="75" spans="1:21" x14ac:dyDescent="0.15">
      <c r="A75" s="32">
        <v>2404008</v>
      </c>
      <c r="B75" s="30" t="str">
        <f>VLOOKUP(T_学生別進路[[#This Row],[学籍番号]],進路状況入力シート!A:B,2,FALSE)</f>
        <v>2-5</v>
      </c>
      <c r="C75" s="49" t="str">
        <f>VLOOKUP(T_学生別進路[[#This Row],[学籍番号]],進路状況入力シート!A:C,3,FALSE)</f>
        <v>NGUYEN PHUONG LINH</v>
      </c>
      <c r="D75" s="30" t="str">
        <f>IF(AND(T_学生別進路[[#This Row],[進路確定]]="○",T_学生別進路[[#This Row],[進学希望フラグ]]=1),"○","")</f>
        <v/>
      </c>
      <c r="E75" s="30" t="str">
        <f>_xlfn.IFNA(RIGHT(VLOOKUP(T_学生別進路[[#This Row],[学籍番号]]&amp;"○",進路状況入力シート!K:K,1,FALSE),1),"")</f>
        <v/>
      </c>
      <c r="F75" s="30" t="str">
        <f>IF(T_学生別進路[[#This Row],[進学希望フラグ]]=0,"",IF(T_学生別進路[[#This Row],[進路確定]]="○",1,0))</f>
        <v/>
      </c>
      <c r="G7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75" s="30" t="str">
        <f>_xlfn.XLOOKUP(T_学生別進路[[#This Row],[学籍番号]]&amp;"○",進路状況入力シート!K:K,進路状況入力シート!D:D,"",0,1)</f>
        <v/>
      </c>
      <c r="I75" s="39" t="s">
        <v>626</v>
      </c>
      <c r="J75" s="31"/>
      <c r="K75" s="30">
        <f>IF(T_学生別進路[[#This Row],[合格時期]]="",0,IF(T_学生別進路[[#This Row],[合格時期]]&lt;K$5,1,0))</f>
        <v>0</v>
      </c>
      <c r="L75" s="30">
        <f>IF(T_学生別進路[[#This Row],[合格時期]]="",0,IF(T_学生別進路[[#This Row],[合格時期]]&lt;L$5,1,0))</f>
        <v>0</v>
      </c>
      <c r="M75" s="30">
        <f>IF(T_学生別進路[[#This Row],[合格時期]]="",0,IF(T_学生別進路[[#This Row],[合格時期]]&lt;M$5,1,0))</f>
        <v>0</v>
      </c>
      <c r="N75" s="30">
        <f>IF(T_学生別進路[[#This Row],[合格時期]]="",0,IF(T_学生別進路[[#This Row],[合格時期]]&lt;N$5,1,0))</f>
        <v>0</v>
      </c>
      <c r="O75" s="30">
        <f>IF(T_学生別進路[[#This Row],[合格時期]]="",0,IF(T_学生別進路[[#This Row],[合格時期]]&lt;O$5,1,0))</f>
        <v>0</v>
      </c>
      <c r="P75" s="30" t="s">
        <v>737</v>
      </c>
      <c r="Q75" s="3"/>
      <c r="R75" s="3"/>
      <c r="S75" s="3"/>
      <c r="T75" s="3"/>
      <c r="U75" s="3"/>
    </row>
    <row r="76" spans="1:21" hidden="1" x14ac:dyDescent="0.15">
      <c r="A76" s="32">
        <v>2404009</v>
      </c>
      <c r="B76" s="30" t="str">
        <f>VLOOKUP(T_学生別進路[[#This Row],[学籍番号]],進路状況入力シート!A:B,2,FALSE)</f>
        <v>2-5</v>
      </c>
      <c r="C76" s="30" t="str">
        <f>VLOOKUP(T_学生別進路[[#This Row],[学籍番号]],進路状況入力シート!A:C,3,FALSE)</f>
        <v>NGUYEN DINH HUYNH</v>
      </c>
      <c r="D76" s="30" t="str">
        <f>IF(AND(T_学生別進路[[#This Row],[進路確定]]="○",T_学生別進路[[#This Row],[進学希望フラグ]]=1),"○","")</f>
        <v>○</v>
      </c>
      <c r="E76" s="30" t="str">
        <f>_xlfn.IFNA(RIGHT(VLOOKUP(T_学生別進路[[#This Row],[学籍番号]]&amp;"○",進路状況入力シート!K:K,1,FALSE),1),"")</f>
        <v>○</v>
      </c>
      <c r="F76" s="30">
        <f>IF(T_学生別進路[[#This Row],[進学希望フラグ]]=0,"",IF(T_学生別進路[[#This Row],[進路確定]]="○",1,0))</f>
        <v>1</v>
      </c>
      <c r="G7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6" s="30" t="str">
        <f>_xlfn.XLOOKUP(T_学生別進路[[#This Row],[学籍番号]]&amp;"○",進路状況入力シート!K:K,進路状況入力シート!D:D,"",0,1)</f>
        <v>日本デジタルカレッジ</v>
      </c>
      <c r="I76" s="39" t="s">
        <v>630</v>
      </c>
      <c r="J76" s="31">
        <v>46054</v>
      </c>
      <c r="K76" s="30">
        <f>IF(T_学生別進路[[#This Row],[合格時期]]="",0,IF(T_学生別進路[[#This Row],[合格時期]]&lt;K$5,1,0))</f>
        <v>0</v>
      </c>
      <c r="L76" s="30">
        <f>IF(T_学生別進路[[#This Row],[合格時期]]="",0,IF(T_学生別進路[[#This Row],[合格時期]]&lt;L$5,1,0))</f>
        <v>0</v>
      </c>
      <c r="M76" s="30">
        <f>IF(T_学生別進路[[#This Row],[合格時期]]="",0,IF(T_学生別進路[[#This Row],[合格時期]]&lt;M$5,1,0))</f>
        <v>0</v>
      </c>
      <c r="N76" s="30">
        <f>IF(T_学生別進路[[#This Row],[合格時期]]="",0,IF(T_学生別進路[[#This Row],[合格時期]]&lt;N$5,1,0))</f>
        <v>1</v>
      </c>
      <c r="O76" s="30">
        <f>IF(T_学生別進路[[#This Row],[合格時期]]="",0,IF(T_学生別進路[[#This Row],[合格時期]]&lt;O$5,1,0))</f>
        <v>1</v>
      </c>
      <c r="P76" s="30"/>
      <c r="Q76" s="3"/>
      <c r="R76" s="3"/>
      <c r="S76" s="3"/>
      <c r="T76" s="3"/>
      <c r="U76" s="3"/>
    </row>
    <row r="77" spans="1:21" hidden="1" x14ac:dyDescent="0.15">
      <c r="A77" s="32">
        <v>2404045</v>
      </c>
      <c r="B77" s="30" t="str">
        <f>VLOOKUP(T_学生別進路[[#This Row],[学籍番号]],進路状況入力シート!A:B,2,FALSE)</f>
        <v>2-5</v>
      </c>
      <c r="C77" s="42" t="str">
        <f>VLOOKUP(T_学生別進路[[#This Row],[学籍番号]],進路状況入力シート!A:C,3,FALSE)</f>
        <v>THEIN NAING WIN</v>
      </c>
      <c r="D77" s="30" t="str">
        <f>IF(AND(T_学生別進路[[#This Row],[進路確定]]="○",T_学生別進路[[#This Row],[進学希望フラグ]]=1),"○","")</f>
        <v/>
      </c>
      <c r="E77" s="30" t="str">
        <f>_xlfn.IFNA(RIGHT(VLOOKUP(T_学生別進路[[#This Row],[学籍番号]]&amp;"○",進路状況入力シート!K:K,1,FALSE),1),"")</f>
        <v>○</v>
      </c>
      <c r="F77" s="30" t="str">
        <f>IF(T_学生別進路[[#This Row],[進学希望フラグ]]=0,"",IF(T_学生別進路[[#This Row],[進路確定]]="○",1,0))</f>
        <v/>
      </c>
      <c r="G7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77" s="30">
        <f>_xlfn.XLOOKUP(T_学生別進路[[#This Row],[学籍番号]]&amp;"○",進路状況入力シート!K:K,進路状況入力シート!D:D,"",0,1)</f>
        <v>0</v>
      </c>
      <c r="I77" s="39"/>
      <c r="J77" s="31"/>
      <c r="K77" s="30">
        <f>IF(T_学生別進路[[#This Row],[合格時期]]="",0,IF(T_学生別進路[[#This Row],[合格時期]]&lt;K$5,1,0))</f>
        <v>0</v>
      </c>
      <c r="L77" s="30">
        <f>IF(T_学生別進路[[#This Row],[合格時期]]="",0,IF(T_学生別進路[[#This Row],[合格時期]]&lt;L$5,1,0))</f>
        <v>0</v>
      </c>
      <c r="M77" s="30">
        <f>IF(T_学生別進路[[#This Row],[合格時期]]="",0,IF(T_学生別進路[[#This Row],[合格時期]]&lt;M$5,1,0))</f>
        <v>0</v>
      </c>
      <c r="N77" s="30">
        <f>IF(T_学生別進路[[#This Row],[合格時期]]="",0,IF(T_学生別進路[[#This Row],[合格時期]]&lt;N$5,1,0))</f>
        <v>0</v>
      </c>
      <c r="O77" s="30">
        <f>IF(T_学生別進路[[#This Row],[合格時期]]="",0,IF(T_学生別進路[[#This Row],[合格時期]]&lt;O$5,1,0))</f>
        <v>0</v>
      </c>
      <c r="P77" s="30"/>
      <c r="Q77" s="3"/>
      <c r="R77" s="3"/>
      <c r="S77" s="3"/>
      <c r="T77" s="3"/>
      <c r="U77" s="3"/>
    </row>
    <row r="78" spans="1:21" hidden="1" x14ac:dyDescent="0.15">
      <c r="A78" s="32">
        <v>2404064</v>
      </c>
      <c r="B78" s="30" t="str">
        <f>VLOOKUP(T_学生別進路[[#This Row],[学籍番号]],進路状況入力シート!A:B,2,FALSE)</f>
        <v>2-5</v>
      </c>
      <c r="C78" s="30" t="str">
        <f>VLOOKUP(T_学生別進路[[#This Row],[学籍番号]],進路状況入力シート!A:C,3,FALSE)</f>
        <v>CHOWDHURY MD SABER AL BASAR</v>
      </c>
      <c r="D78" s="30" t="str">
        <f>IF(AND(T_学生別進路[[#This Row],[進路確定]]="○",T_学生別進路[[#This Row],[進学希望フラグ]]=1),"○","")</f>
        <v>○</v>
      </c>
      <c r="E78" s="30" t="str">
        <f>_xlfn.IFNA(RIGHT(VLOOKUP(T_学生別進路[[#This Row],[学籍番号]]&amp;"○",進路状況入力シート!K:K,1,FALSE),1),"")</f>
        <v>○</v>
      </c>
      <c r="F78" s="30">
        <f>IF(T_学生別進路[[#This Row],[進学希望フラグ]]=0,"",IF(T_学生別進路[[#This Row],[進路確定]]="○",1,0))</f>
        <v>1</v>
      </c>
      <c r="G7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8" s="30" t="str">
        <f>_xlfn.XLOOKUP(T_学生別進路[[#This Row],[学籍番号]]&amp;"○",進路状況入力シート!K:K,進路状況入力シート!D:D,"",0,1)</f>
        <v>兵庫大学</v>
      </c>
      <c r="I78" s="30"/>
      <c r="J78" s="31">
        <v>45962</v>
      </c>
      <c r="K78" s="30">
        <f>IF(T_学生別進路[[#This Row],[合格時期]]="",0,IF(T_学生別進路[[#This Row],[合格時期]]&lt;K$5,1,0))</f>
        <v>1</v>
      </c>
      <c r="L78" s="30">
        <f>IF(T_学生別進路[[#This Row],[合格時期]]="",0,IF(T_学生別進路[[#This Row],[合格時期]]&lt;L$5,1,0))</f>
        <v>1</v>
      </c>
      <c r="M78" s="30">
        <f>IF(T_学生別進路[[#This Row],[合格時期]]="",0,IF(T_学生別進路[[#This Row],[合格時期]]&lt;M$5,1,0))</f>
        <v>1</v>
      </c>
      <c r="N78" s="30">
        <f>IF(T_学生別進路[[#This Row],[合格時期]]="",0,IF(T_学生別進路[[#This Row],[合格時期]]&lt;N$5,1,0))</f>
        <v>1</v>
      </c>
      <c r="O78" s="30">
        <f>IF(T_学生別進路[[#This Row],[合格時期]]="",0,IF(T_学生別進路[[#This Row],[合格時期]]&lt;O$5,1,0))</f>
        <v>1</v>
      </c>
      <c r="P78" s="30"/>
      <c r="Q78" s="3"/>
      <c r="R78" s="3"/>
      <c r="S78" s="3"/>
      <c r="T78" s="3"/>
      <c r="U78" s="3"/>
    </row>
    <row r="79" spans="1:21" hidden="1" x14ac:dyDescent="0.15">
      <c r="A79" s="32">
        <v>2404070</v>
      </c>
      <c r="B79" s="30" t="str">
        <f>VLOOKUP(T_学生別進路[[#This Row],[学籍番号]],進路状況入力シート!A:B,2,FALSE)</f>
        <v>2-5</v>
      </c>
      <c r="C79" s="30" t="str">
        <f>VLOOKUP(T_学生別進路[[#This Row],[学籍番号]],進路状況入力シート!A:C,3,FALSE)</f>
        <v>HAQUE MD NAJMUL</v>
      </c>
      <c r="D79" s="30" t="str">
        <f>IF(AND(T_学生別進路[[#This Row],[進路確定]]="○",T_学生別進路[[#This Row],[進学希望フラグ]]=1),"○","")</f>
        <v>○</v>
      </c>
      <c r="E79" s="30" t="str">
        <f>_xlfn.IFNA(RIGHT(VLOOKUP(T_学生別進路[[#This Row],[学籍番号]]&amp;"○",進路状況入力シート!K:K,1,FALSE),1),"")</f>
        <v>○</v>
      </c>
      <c r="F79" s="30">
        <f>IF(T_学生別進路[[#This Row],[進学希望フラグ]]=0,"",IF(T_学生別進路[[#This Row],[進路確定]]="○",1,0))</f>
        <v>1</v>
      </c>
      <c r="G7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79" s="30" t="str">
        <f>_xlfn.XLOOKUP(T_学生別進路[[#This Row],[学籍番号]]&amp;"○",進路状況入力シート!K:K,進路状況入力シート!D:D,"",0,1)</f>
        <v>関西国際旅行・ホテル専門学校</v>
      </c>
      <c r="I79" s="30"/>
      <c r="J79" s="31">
        <v>45901</v>
      </c>
      <c r="K79" s="30">
        <f>IF(T_学生別進路[[#This Row],[合格時期]]="",0,IF(T_学生別進路[[#This Row],[合格時期]]&lt;K$5,1,0))</f>
        <v>1</v>
      </c>
      <c r="L79" s="30">
        <f>IF(T_学生別進路[[#This Row],[合格時期]]="",0,IF(T_学生別進路[[#This Row],[合格時期]]&lt;L$5,1,0))</f>
        <v>1</v>
      </c>
      <c r="M79" s="30">
        <f>IF(T_学生別進路[[#This Row],[合格時期]]="",0,IF(T_学生別進路[[#This Row],[合格時期]]&lt;M$5,1,0))</f>
        <v>1</v>
      </c>
      <c r="N79" s="30">
        <f>IF(T_学生別進路[[#This Row],[合格時期]]="",0,IF(T_学生別進路[[#This Row],[合格時期]]&lt;N$5,1,0))</f>
        <v>1</v>
      </c>
      <c r="O79" s="30">
        <f>IF(T_学生別進路[[#This Row],[合格時期]]="",0,IF(T_学生別進路[[#This Row],[合格時期]]&lt;O$5,1,0))</f>
        <v>1</v>
      </c>
      <c r="P79" s="30"/>
      <c r="Q79" s="3"/>
      <c r="R79" s="3"/>
      <c r="S79" s="3"/>
      <c r="T79" s="3"/>
      <c r="U79" s="3"/>
    </row>
    <row r="80" spans="1:21" hidden="1" x14ac:dyDescent="0.15">
      <c r="A80" s="32">
        <v>2404097</v>
      </c>
      <c r="B80" s="30" t="str">
        <f>VLOOKUP(T_学生別進路[[#This Row],[学籍番号]],進路状況入力シート!A:B,2,FALSE)</f>
        <v>2-5</v>
      </c>
      <c r="C80" s="30" t="str">
        <f>VLOOKUP(T_学生別進路[[#This Row],[学籍番号]],進路状況入力シート!A:C,3,FALSE)</f>
        <v>DEWAN SAIF</v>
      </c>
      <c r="D80" s="30" t="str">
        <f>IF(AND(T_学生別進路[[#This Row],[進路確定]]="○",T_学生別進路[[#This Row],[進学希望フラグ]]=1),"○","")</f>
        <v>○</v>
      </c>
      <c r="E80" s="30" t="str">
        <f>_xlfn.IFNA(RIGHT(VLOOKUP(T_学生別進路[[#This Row],[学籍番号]]&amp;"○",進路状況入力シート!K:K,1,FALSE),1),"")</f>
        <v>○</v>
      </c>
      <c r="F80" s="30">
        <f>IF(T_学生別進路[[#This Row],[進学希望フラグ]]=0,"",IF(T_学生別進路[[#This Row],[進路確定]]="○",1,0))</f>
        <v>1</v>
      </c>
      <c r="G8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0" s="30" t="str">
        <f>_xlfn.XLOOKUP(T_学生別進路[[#This Row],[学籍番号]]&amp;"○",進路状況入力シート!K:K,進路状況入力シート!D:D,"",0,1)</f>
        <v>岡山情報ビジネス学院</v>
      </c>
      <c r="I80" s="39" t="s">
        <v>626</v>
      </c>
      <c r="J80" s="31">
        <v>45992</v>
      </c>
      <c r="K80" s="30">
        <f>IF(T_学生別進路[[#This Row],[合格時期]]="",0,IF(T_学生別進路[[#This Row],[合格時期]]&lt;K$5,1,0))</f>
        <v>0</v>
      </c>
      <c r="L80" s="30">
        <f>IF(T_学生別進路[[#This Row],[合格時期]]="",0,IF(T_学生別進路[[#This Row],[合格時期]]&lt;L$5,1,0))</f>
        <v>1</v>
      </c>
      <c r="M80" s="30">
        <f>IF(T_学生別進路[[#This Row],[合格時期]]="",0,IF(T_学生別進路[[#This Row],[合格時期]]&lt;M$5,1,0))</f>
        <v>1</v>
      </c>
      <c r="N80" s="30">
        <f>IF(T_学生別進路[[#This Row],[合格時期]]="",0,IF(T_学生別進路[[#This Row],[合格時期]]&lt;N$5,1,0))</f>
        <v>1</v>
      </c>
      <c r="O80" s="30">
        <f>IF(T_学生別進路[[#This Row],[合格時期]]="",0,IF(T_学生別進路[[#This Row],[合格時期]]&lt;O$5,1,0))</f>
        <v>1</v>
      </c>
      <c r="P80" s="30"/>
      <c r="Q80" s="3"/>
      <c r="R80" s="3"/>
      <c r="S80" s="3"/>
      <c r="T80" s="3"/>
      <c r="U80" s="3"/>
    </row>
    <row r="81" spans="1:21" hidden="1" x14ac:dyDescent="0.15">
      <c r="A81" s="32">
        <v>2404105</v>
      </c>
      <c r="B81" s="30" t="str">
        <f>VLOOKUP(T_学生別進路[[#This Row],[学籍番号]],進路状況入力シート!A:B,2,FALSE)</f>
        <v>2-5</v>
      </c>
      <c r="C81" s="30" t="str">
        <f>VLOOKUP(T_学生別進路[[#This Row],[学籍番号]],進路状況入力シート!A:C,3,FALSE)</f>
        <v>TAREK MD DAUDE IBRAHIM</v>
      </c>
      <c r="D81" s="30" t="str">
        <f>IF(AND(T_学生別進路[[#This Row],[進路確定]]="○",T_学生別進路[[#This Row],[進学希望フラグ]]=1),"○","")</f>
        <v>○</v>
      </c>
      <c r="E81" s="30" t="str">
        <f>_xlfn.IFNA(RIGHT(VLOOKUP(T_学生別進路[[#This Row],[学籍番号]]&amp;"○",進路状況入力シート!K:K,1,FALSE),1),"")</f>
        <v>○</v>
      </c>
      <c r="F81" s="30">
        <f>IF(T_学生別進路[[#This Row],[進学希望フラグ]]=0,"",IF(T_学生別進路[[#This Row],[進路確定]]="○",1,0))</f>
        <v>1</v>
      </c>
      <c r="G8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1" s="30" t="str">
        <f>_xlfn.XLOOKUP(T_学生別進路[[#This Row],[学籍番号]]&amp;"○",進路状況入力シート!K:K,進路状況入力シート!D:D,"",0,1)</f>
        <v>兵庫大学</v>
      </c>
      <c r="I81" s="39" t="s">
        <v>626</v>
      </c>
      <c r="J81" s="31">
        <v>45992</v>
      </c>
      <c r="K81" s="30">
        <f>IF(T_学生別進路[[#This Row],[合格時期]]="",0,IF(T_学生別進路[[#This Row],[合格時期]]&lt;K$5,1,0))</f>
        <v>0</v>
      </c>
      <c r="L81" s="30">
        <f>IF(T_学生別進路[[#This Row],[合格時期]]="",0,IF(T_学生別進路[[#This Row],[合格時期]]&lt;L$5,1,0))</f>
        <v>1</v>
      </c>
      <c r="M81" s="30">
        <f>IF(T_学生別進路[[#This Row],[合格時期]]="",0,IF(T_学生別進路[[#This Row],[合格時期]]&lt;M$5,1,0))</f>
        <v>1</v>
      </c>
      <c r="N81" s="30">
        <f>IF(T_学生別進路[[#This Row],[合格時期]]="",0,IF(T_学生別進路[[#This Row],[合格時期]]&lt;N$5,1,0))</f>
        <v>1</v>
      </c>
      <c r="O81" s="30">
        <f>IF(T_学生別進路[[#This Row],[合格時期]]="",0,IF(T_学生別進路[[#This Row],[合格時期]]&lt;O$5,1,0))</f>
        <v>1</v>
      </c>
      <c r="P81" s="30"/>
      <c r="Q81" s="3"/>
      <c r="R81" s="3"/>
      <c r="S81" s="3"/>
      <c r="T81" s="3"/>
      <c r="U81" s="3"/>
    </row>
    <row r="82" spans="1:21" hidden="1" x14ac:dyDescent="0.15">
      <c r="A82" s="32">
        <v>2404108</v>
      </c>
      <c r="B82" s="30" t="str">
        <f>VLOOKUP(T_学生別進路[[#This Row],[学籍番号]],進路状況入力シート!A:B,2,FALSE)</f>
        <v>2-5</v>
      </c>
      <c r="C82" s="30" t="str">
        <f>VLOOKUP(T_学生別進路[[#This Row],[学籍番号]],進路状況入力シート!A:C,3,FALSE)</f>
        <v>SHEIKH MD SABBIR HOSEN</v>
      </c>
      <c r="D82" s="30" t="str">
        <f>IF(AND(T_学生別進路[[#This Row],[進路確定]]="○",T_学生別進路[[#This Row],[進学希望フラグ]]=1),"○","")</f>
        <v>○</v>
      </c>
      <c r="E82" s="30" t="str">
        <f>_xlfn.IFNA(RIGHT(VLOOKUP(T_学生別進路[[#This Row],[学籍番号]]&amp;"○",進路状況入力シート!K:K,1,FALSE),1),"")</f>
        <v>○</v>
      </c>
      <c r="F82" s="30">
        <f>IF(T_学生別進路[[#This Row],[進学希望フラグ]]=0,"",IF(T_学生別進路[[#This Row],[進路確定]]="○",1,0))</f>
        <v>1</v>
      </c>
      <c r="G8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2" s="30" t="str">
        <f>_xlfn.XLOOKUP(T_学生別進路[[#This Row],[学籍番号]]&amp;"○",進路状況入力シート!K:K,進路状況入力シート!D:D,"",0,1)</f>
        <v>国際アニメーション専門学校</v>
      </c>
      <c r="I82" s="39" t="s">
        <v>627</v>
      </c>
      <c r="J82" s="31">
        <v>45992</v>
      </c>
      <c r="K82" s="30">
        <f>IF(T_学生別進路[[#This Row],[合格時期]]="",0,IF(T_学生別進路[[#This Row],[合格時期]]&lt;K$5,1,0))</f>
        <v>0</v>
      </c>
      <c r="L82" s="30">
        <f>IF(T_学生別進路[[#This Row],[合格時期]]="",0,IF(T_学生別進路[[#This Row],[合格時期]]&lt;L$5,1,0))</f>
        <v>1</v>
      </c>
      <c r="M82" s="30">
        <f>IF(T_学生別進路[[#This Row],[合格時期]]="",0,IF(T_学生別進路[[#This Row],[合格時期]]&lt;M$5,1,0))</f>
        <v>1</v>
      </c>
      <c r="N82" s="30">
        <f>IF(T_学生別進路[[#This Row],[合格時期]]="",0,IF(T_学生別進路[[#This Row],[合格時期]]&lt;N$5,1,0))</f>
        <v>1</v>
      </c>
      <c r="O82" s="30">
        <f>IF(T_学生別進路[[#This Row],[合格時期]]="",0,IF(T_学生別進路[[#This Row],[合格時期]]&lt;O$5,1,0))</f>
        <v>1</v>
      </c>
      <c r="P82" s="30"/>
      <c r="Q82" s="3"/>
      <c r="R82" s="3"/>
      <c r="S82" s="3"/>
      <c r="T82" s="3"/>
      <c r="U82" s="3"/>
    </row>
    <row r="83" spans="1:21" hidden="1" x14ac:dyDescent="0.15">
      <c r="A83" s="32">
        <v>2404111</v>
      </c>
      <c r="B83" s="30" t="str">
        <f>VLOOKUP(T_学生別進路[[#This Row],[学籍番号]],進路状況入力シート!A:B,2,FALSE)</f>
        <v>2-5</v>
      </c>
      <c r="C83" s="30" t="str">
        <f>VLOOKUP(T_学生別進路[[#This Row],[学籍番号]],進路状況入力シート!A:C,3,FALSE)</f>
        <v>HAYDER JAHIDUL ISLAM</v>
      </c>
      <c r="D83" s="30" t="str">
        <f>IF(AND(T_学生別進路[[#This Row],[進路確定]]="○",T_学生別進路[[#This Row],[進学希望フラグ]]=1),"○","")</f>
        <v>○</v>
      </c>
      <c r="E83" s="30" t="str">
        <f>_xlfn.IFNA(RIGHT(VLOOKUP(T_学生別進路[[#This Row],[学籍番号]]&amp;"○",進路状況入力シート!K:K,1,FALSE),1),"")</f>
        <v>○</v>
      </c>
      <c r="F83" s="30">
        <f>IF(T_学生別進路[[#This Row],[進学希望フラグ]]=0,"",IF(T_学生別進路[[#This Row],[進路確定]]="○",1,0))</f>
        <v>1</v>
      </c>
      <c r="G8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3" s="30" t="str">
        <f>_xlfn.XLOOKUP(T_学生別進路[[#This Row],[学籍番号]]&amp;"○",進路状況入力シート!K:K,進路状況入力シート!D:D,"",0,1)</f>
        <v>国際アニメーション専門学校</v>
      </c>
      <c r="I83" s="39" t="s">
        <v>626</v>
      </c>
      <c r="J83" s="31">
        <v>45992</v>
      </c>
      <c r="K83" s="30">
        <f>IF(T_学生別進路[[#This Row],[合格時期]]="",0,IF(T_学生別進路[[#This Row],[合格時期]]&lt;K$5,1,0))</f>
        <v>0</v>
      </c>
      <c r="L83" s="30">
        <f>IF(T_学生別進路[[#This Row],[合格時期]]="",0,IF(T_学生別進路[[#This Row],[合格時期]]&lt;L$5,1,0))</f>
        <v>1</v>
      </c>
      <c r="M83" s="30">
        <f>IF(T_学生別進路[[#This Row],[合格時期]]="",0,IF(T_学生別進路[[#This Row],[合格時期]]&lt;M$5,1,0))</f>
        <v>1</v>
      </c>
      <c r="N83" s="30">
        <f>IF(T_学生別進路[[#This Row],[合格時期]]="",0,IF(T_学生別進路[[#This Row],[合格時期]]&lt;N$5,1,0))</f>
        <v>1</v>
      </c>
      <c r="O83" s="30">
        <f>IF(T_学生別進路[[#This Row],[合格時期]]="",0,IF(T_学生別進路[[#This Row],[合格時期]]&lt;O$5,1,0))</f>
        <v>1</v>
      </c>
      <c r="P83" s="30"/>
      <c r="Q83" s="3"/>
      <c r="R83" s="3"/>
      <c r="S83" s="3"/>
      <c r="T83" s="3"/>
      <c r="U83" s="3"/>
    </row>
    <row r="84" spans="1:21" hidden="1" x14ac:dyDescent="0.15">
      <c r="A84" s="32">
        <v>2404113</v>
      </c>
      <c r="B84" s="30" t="str">
        <f>VLOOKUP(T_学生別進路[[#This Row],[学籍番号]],進路状況入力シート!A:B,2,FALSE)</f>
        <v>2-5</v>
      </c>
      <c r="C84" s="30" t="str">
        <f>VLOOKUP(T_学生別進路[[#This Row],[学籍番号]],進路状況入力シート!A:C,3,FALSE)</f>
        <v>MD RASEDUL ISLAM</v>
      </c>
      <c r="D84" s="30" t="str">
        <f>IF(AND(T_学生別進路[[#This Row],[進路確定]]="○",T_学生別進路[[#This Row],[進学希望フラグ]]=1),"○","")</f>
        <v>○</v>
      </c>
      <c r="E84" s="30" t="str">
        <f>_xlfn.IFNA(RIGHT(VLOOKUP(T_学生別進路[[#This Row],[学籍番号]]&amp;"○",進路状況入力シート!K:K,1,FALSE),1),"")</f>
        <v>○</v>
      </c>
      <c r="F84" s="30">
        <f>IF(T_学生別進路[[#This Row],[進学希望フラグ]]=0,"",IF(T_学生別進路[[#This Row],[進路確定]]="○",1,0))</f>
        <v>1</v>
      </c>
      <c r="G8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4" s="30" t="str">
        <f>_xlfn.XLOOKUP(T_学生別進路[[#This Row],[学籍番号]]&amp;"○",進路状況入力シート!K:K,進路状況入力シート!D:D,"",0,1)</f>
        <v>CAD製図専門学校</v>
      </c>
      <c r="I84" s="30"/>
      <c r="J84" s="31">
        <v>45870</v>
      </c>
      <c r="K84" s="30">
        <f>IF(T_学生別進路[[#This Row],[合格時期]]="",0,IF(T_学生別進路[[#This Row],[合格時期]]&lt;K$5,1,0))</f>
        <v>1</v>
      </c>
      <c r="L84" s="30">
        <f>IF(T_学生別進路[[#This Row],[合格時期]]="",0,IF(T_学生別進路[[#This Row],[合格時期]]&lt;L$5,1,0))</f>
        <v>1</v>
      </c>
      <c r="M84" s="30">
        <f>IF(T_学生別進路[[#This Row],[合格時期]]="",0,IF(T_学生別進路[[#This Row],[合格時期]]&lt;M$5,1,0))</f>
        <v>1</v>
      </c>
      <c r="N84" s="30">
        <f>IF(T_学生別進路[[#This Row],[合格時期]]="",0,IF(T_学生別進路[[#This Row],[合格時期]]&lt;N$5,1,0))</f>
        <v>1</v>
      </c>
      <c r="O84" s="30">
        <f>IF(T_学生別進路[[#This Row],[合格時期]]="",0,IF(T_学生別進路[[#This Row],[合格時期]]&lt;O$5,1,0))</f>
        <v>1</v>
      </c>
      <c r="P84" s="30"/>
      <c r="Q84" s="3"/>
      <c r="R84" s="3"/>
      <c r="S84" s="3"/>
      <c r="T84" s="3"/>
      <c r="U84" s="3"/>
    </row>
    <row r="85" spans="1:21" hidden="1" x14ac:dyDescent="0.15">
      <c r="A85" s="32">
        <v>2404119</v>
      </c>
      <c r="B85" s="30" t="str">
        <f>VLOOKUP(T_学生別進路[[#This Row],[学籍番号]],進路状況入力シート!A:B,2,FALSE)</f>
        <v>2-5</v>
      </c>
      <c r="C85" s="30" t="str">
        <f>VLOOKUP(T_学生別進路[[#This Row],[学籍番号]],進路状況入力シート!A:C,3,FALSE)</f>
        <v>PAUL JOY</v>
      </c>
      <c r="D85" s="30" t="str">
        <f>IF(AND(T_学生別進路[[#This Row],[進路確定]]="○",T_学生別進路[[#This Row],[進学希望フラグ]]=1),"○","")</f>
        <v>○</v>
      </c>
      <c r="E85" s="30" t="str">
        <f>_xlfn.IFNA(RIGHT(VLOOKUP(T_学生別進路[[#This Row],[学籍番号]]&amp;"○",進路状況入力シート!K:K,1,FALSE),1),"")</f>
        <v>○</v>
      </c>
      <c r="F85" s="30">
        <f>IF(T_学生別進路[[#This Row],[進学希望フラグ]]=0,"",IF(T_学生別進路[[#This Row],[進路確定]]="○",1,0))</f>
        <v>1</v>
      </c>
      <c r="G8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5" s="30" t="str">
        <f>_xlfn.XLOOKUP(T_学生別進路[[#This Row],[学籍番号]]&amp;"○",進路状況入力シート!K:K,進路状況入力シート!D:D,"",0,1)</f>
        <v>国際アニメーション専門学校</v>
      </c>
      <c r="I85" s="39" t="s">
        <v>626</v>
      </c>
      <c r="J85" s="31">
        <v>45992</v>
      </c>
      <c r="K85" s="30">
        <f>IF(T_学生別進路[[#This Row],[合格時期]]="",0,IF(T_学生別進路[[#This Row],[合格時期]]&lt;K$5,1,0))</f>
        <v>0</v>
      </c>
      <c r="L85" s="30">
        <f>IF(T_学生別進路[[#This Row],[合格時期]]="",0,IF(T_学生別進路[[#This Row],[合格時期]]&lt;L$5,1,0))</f>
        <v>1</v>
      </c>
      <c r="M85" s="30">
        <f>IF(T_学生別進路[[#This Row],[合格時期]]="",0,IF(T_学生別進路[[#This Row],[合格時期]]&lt;M$5,1,0))</f>
        <v>1</v>
      </c>
      <c r="N85" s="30">
        <f>IF(T_学生別進路[[#This Row],[合格時期]]="",0,IF(T_学生別進路[[#This Row],[合格時期]]&lt;N$5,1,0))</f>
        <v>1</v>
      </c>
      <c r="O85" s="30">
        <f>IF(T_学生別進路[[#This Row],[合格時期]]="",0,IF(T_学生別進路[[#This Row],[合格時期]]&lt;O$5,1,0))</f>
        <v>1</v>
      </c>
      <c r="P85" s="30"/>
      <c r="Q85" s="3"/>
      <c r="R85" s="3"/>
      <c r="S85" s="3"/>
      <c r="T85" s="3"/>
      <c r="U85" s="3"/>
    </row>
    <row r="86" spans="1:21" hidden="1" x14ac:dyDescent="0.15">
      <c r="A86" s="32">
        <v>2404171</v>
      </c>
      <c r="B86" s="30" t="str">
        <f>VLOOKUP(T_学生別進路[[#This Row],[学籍番号]],進路状況入力シート!A:B,2,FALSE)</f>
        <v>2-5</v>
      </c>
      <c r="C86" s="30" t="str">
        <f>VLOOKUP(T_学生別進路[[#This Row],[学籍番号]],進路状況入力シート!A:C,3,FALSE)</f>
        <v>RAJ KUMAR CHAUDHARY</v>
      </c>
      <c r="D86" s="30" t="str">
        <f>IF(AND(T_学生別進路[[#This Row],[進路確定]]="○",T_学生別進路[[#This Row],[進学希望フラグ]]=1),"○","")</f>
        <v>○</v>
      </c>
      <c r="E86" s="30" t="str">
        <f>_xlfn.IFNA(RIGHT(VLOOKUP(T_学生別進路[[#This Row],[学籍番号]]&amp;"○",進路状況入力シート!K:K,1,FALSE),1),"")</f>
        <v>○</v>
      </c>
      <c r="F86" s="30">
        <f>IF(T_学生別進路[[#This Row],[進学希望フラグ]]=0,"",IF(T_学生別進路[[#This Row],[進路確定]]="○",1,0))</f>
        <v>1</v>
      </c>
      <c r="G8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6" s="30" t="str">
        <f>_xlfn.XLOOKUP(T_学生別進路[[#This Row],[学籍番号]]&amp;"○",進路状況入力シート!K:K,進路状況入力シート!D:D,"",0,1)</f>
        <v>専門学校アートカレッジ神戸</v>
      </c>
      <c r="I86" s="30"/>
      <c r="J86" s="31">
        <v>45870</v>
      </c>
      <c r="K86" s="30">
        <f>IF(T_学生別進路[[#This Row],[合格時期]]="",0,IF(T_学生別進路[[#This Row],[合格時期]]&lt;K$5,1,0))</f>
        <v>1</v>
      </c>
      <c r="L86" s="30">
        <f>IF(T_学生別進路[[#This Row],[合格時期]]="",0,IF(T_学生別進路[[#This Row],[合格時期]]&lt;L$5,1,0))</f>
        <v>1</v>
      </c>
      <c r="M86" s="30">
        <f>IF(T_学生別進路[[#This Row],[合格時期]]="",0,IF(T_学生別進路[[#This Row],[合格時期]]&lt;M$5,1,0))</f>
        <v>1</v>
      </c>
      <c r="N86" s="30">
        <f>IF(T_学生別進路[[#This Row],[合格時期]]="",0,IF(T_学生別進路[[#This Row],[合格時期]]&lt;N$5,1,0))</f>
        <v>1</v>
      </c>
      <c r="O86" s="30">
        <f>IF(T_学生別進路[[#This Row],[合格時期]]="",0,IF(T_学生別進路[[#This Row],[合格時期]]&lt;O$5,1,0))</f>
        <v>1</v>
      </c>
      <c r="P86" s="30"/>
      <c r="Q86" s="3"/>
      <c r="R86" s="3"/>
      <c r="S86" s="3"/>
      <c r="T86" s="3"/>
      <c r="U86" s="3"/>
    </row>
    <row r="87" spans="1:21" hidden="1" x14ac:dyDescent="0.15">
      <c r="A87" s="32">
        <v>2404172</v>
      </c>
      <c r="B87" s="30" t="str">
        <f>VLOOKUP(T_学生別進路[[#This Row],[学籍番号]],進路状況入力シート!A:B,2,FALSE)</f>
        <v>2-5</v>
      </c>
      <c r="C87" s="30" t="str">
        <f>VLOOKUP(T_学生別進路[[#This Row],[学籍番号]],進路状況入力シート!A:C,3,FALSE)</f>
        <v>LIMBU SUSHIL</v>
      </c>
      <c r="D87" s="30" t="str">
        <f>IF(AND(T_学生別進路[[#This Row],[進路確定]]="○",T_学生別進路[[#This Row],[進学希望フラグ]]=1),"○","")</f>
        <v>○</v>
      </c>
      <c r="E87" s="30" t="str">
        <f>_xlfn.IFNA(RIGHT(VLOOKUP(T_学生別進路[[#This Row],[学籍番号]]&amp;"○",進路状況入力シート!K:K,1,FALSE),1),"")</f>
        <v>○</v>
      </c>
      <c r="F87" s="30">
        <f>IF(T_学生別進路[[#This Row],[進学希望フラグ]]=0,"",IF(T_学生別進路[[#This Row],[進路確定]]="○",1,0))</f>
        <v>1</v>
      </c>
      <c r="G8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7" s="30" t="str">
        <f>_xlfn.XLOOKUP(T_学生別進路[[#This Row],[学籍番号]]&amp;"○",進路状況入力シート!K:K,進路状況入力シート!D:D,"",0,1)</f>
        <v>専門学校アートカレッジ神戸</v>
      </c>
      <c r="I87" s="30"/>
      <c r="J87" s="31">
        <v>45870</v>
      </c>
      <c r="K87" s="30">
        <f>IF(T_学生別進路[[#This Row],[合格時期]]="",0,IF(T_学生別進路[[#This Row],[合格時期]]&lt;K$5,1,0))</f>
        <v>1</v>
      </c>
      <c r="L87" s="30">
        <f>IF(T_学生別進路[[#This Row],[合格時期]]="",0,IF(T_学生別進路[[#This Row],[合格時期]]&lt;L$5,1,0))</f>
        <v>1</v>
      </c>
      <c r="M87" s="30">
        <f>IF(T_学生別進路[[#This Row],[合格時期]]="",0,IF(T_学生別進路[[#This Row],[合格時期]]&lt;M$5,1,0))</f>
        <v>1</v>
      </c>
      <c r="N87" s="30">
        <f>IF(T_学生別進路[[#This Row],[合格時期]]="",0,IF(T_学生別進路[[#This Row],[合格時期]]&lt;N$5,1,0))</f>
        <v>1</v>
      </c>
      <c r="O87" s="30">
        <f>IF(T_学生別進路[[#This Row],[合格時期]]="",0,IF(T_学生別進路[[#This Row],[合格時期]]&lt;O$5,1,0))</f>
        <v>1</v>
      </c>
      <c r="P87" s="30"/>
      <c r="Q87" s="3"/>
      <c r="R87" s="3"/>
      <c r="S87" s="3"/>
      <c r="T87" s="3"/>
      <c r="U87" s="3"/>
    </row>
    <row r="88" spans="1:21" hidden="1" x14ac:dyDescent="0.15">
      <c r="A88" s="32">
        <v>2407020</v>
      </c>
      <c r="B88" s="30" t="str">
        <f>VLOOKUP(T_学生別進路[[#This Row],[学籍番号]],進路状況入力シート!A:B,2,FALSE)</f>
        <v>2-5</v>
      </c>
      <c r="C88" s="30" t="str">
        <f>VLOOKUP(T_学生別進路[[#This Row],[学籍番号]],進路状況入力シート!A:C,3,FALSE)</f>
        <v>MAY KHIN OO</v>
      </c>
      <c r="D88" s="30" t="str">
        <f>IF(AND(T_学生別進路[[#This Row],[進路確定]]="○",T_学生別進路[[#This Row],[進学希望フラグ]]=1),"○","")</f>
        <v>○</v>
      </c>
      <c r="E88" s="30" t="str">
        <f>_xlfn.IFNA(RIGHT(VLOOKUP(T_学生別進路[[#This Row],[学籍番号]]&amp;"○",進路状況入力シート!K:K,1,FALSE),1),"")</f>
        <v>○</v>
      </c>
      <c r="F88" s="30">
        <f>IF(T_学生別進路[[#This Row],[進学希望フラグ]]=0,"",IF(T_学生別進路[[#This Row],[進路確定]]="○",1,0))</f>
        <v>1</v>
      </c>
      <c r="G8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8" s="30" t="str">
        <f>_xlfn.XLOOKUP(T_学生別進路[[#This Row],[学籍番号]]&amp;"○",進路状況入力シート!K:K,進路状況入力シート!D:D,"",0,1)</f>
        <v>関西国際旅行・ホテル専門学校</v>
      </c>
      <c r="I88" s="30"/>
      <c r="J88" s="31">
        <v>45931</v>
      </c>
      <c r="K88" s="30">
        <f>IF(T_学生別進路[[#This Row],[合格時期]]="",0,IF(T_学生別進路[[#This Row],[合格時期]]&lt;K$5,1,0))</f>
        <v>1</v>
      </c>
      <c r="L88" s="30">
        <f>IF(T_学生別進路[[#This Row],[合格時期]]="",0,IF(T_学生別進路[[#This Row],[合格時期]]&lt;L$5,1,0))</f>
        <v>1</v>
      </c>
      <c r="M88" s="30">
        <f>IF(T_学生別進路[[#This Row],[合格時期]]="",0,IF(T_学生別進路[[#This Row],[合格時期]]&lt;M$5,1,0))</f>
        <v>1</v>
      </c>
      <c r="N88" s="30">
        <f>IF(T_学生別進路[[#This Row],[合格時期]]="",0,IF(T_学生別進路[[#This Row],[合格時期]]&lt;N$5,1,0))</f>
        <v>1</v>
      </c>
      <c r="O88" s="30">
        <f>IF(T_学生別進路[[#This Row],[合格時期]]="",0,IF(T_学生別進路[[#This Row],[合格時期]]&lt;O$5,1,0))</f>
        <v>1</v>
      </c>
      <c r="P88" s="30"/>
      <c r="Q88" s="3"/>
      <c r="R88" s="3"/>
      <c r="S88" s="3"/>
      <c r="T88" s="3"/>
      <c r="U88" s="3"/>
    </row>
    <row r="89" spans="1:21" hidden="1" x14ac:dyDescent="0.15">
      <c r="A89" s="32">
        <v>2407044</v>
      </c>
      <c r="B89" s="30" t="str">
        <f>VLOOKUP(T_学生別進路[[#This Row],[学籍番号]],進路状況入力シート!A:B,2,FALSE)</f>
        <v>2-5</v>
      </c>
      <c r="C89" s="30" t="str">
        <f>VLOOKUP(T_学生別進路[[#This Row],[学籍番号]],進路状況入力シート!A:C,3,FALSE)</f>
        <v>SUTA DHAR SHABAK</v>
      </c>
      <c r="D89" s="30" t="str">
        <f>IF(AND(T_学生別進路[[#This Row],[進路確定]]="○",T_学生別進路[[#This Row],[進学希望フラグ]]=1),"○","")</f>
        <v>○</v>
      </c>
      <c r="E89" s="30" t="str">
        <f>_xlfn.IFNA(RIGHT(VLOOKUP(T_学生別進路[[#This Row],[学籍番号]]&amp;"○",進路状況入力シート!K:K,1,FALSE),1),"")</f>
        <v>○</v>
      </c>
      <c r="F89" s="30">
        <f>IF(T_学生別進路[[#This Row],[進学希望フラグ]]=0,"",IF(T_学生別進路[[#This Row],[進路確定]]="○",1,0))</f>
        <v>1</v>
      </c>
      <c r="G8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89" s="30" t="str">
        <f>_xlfn.XLOOKUP(T_学生別進路[[#This Row],[学籍番号]]&amp;"○",進路状況入力シート!K:K,進路状況入力シート!D:D,"",0,1)</f>
        <v>流通科学大学</v>
      </c>
      <c r="I89" s="39" t="s">
        <v>627</v>
      </c>
      <c r="J89" s="31">
        <v>45992</v>
      </c>
      <c r="K89" s="30">
        <f>IF(T_学生別進路[[#This Row],[合格時期]]="",0,IF(T_学生別進路[[#This Row],[合格時期]]&lt;K$5,1,0))</f>
        <v>0</v>
      </c>
      <c r="L89" s="30">
        <f>IF(T_学生別進路[[#This Row],[合格時期]]="",0,IF(T_学生別進路[[#This Row],[合格時期]]&lt;L$5,1,0))</f>
        <v>1</v>
      </c>
      <c r="M89" s="30">
        <f>IF(T_学生別進路[[#This Row],[合格時期]]="",0,IF(T_学生別進路[[#This Row],[合格時期]]&lt;M$5,1,0))</f>
        <v>1</v>
      </c>
      <c r="N89" s="30">
        <f>IF(T_学生別進路[[#This Row],[合格時期]]="",0,IF(T_学生別進路[[#This Row],[合格時期]]&lt;N$5,1,0))</f>
        <v>1</v>
      </c>
      <c r="O89" s="30">
        <f>IF(T_学生別進路[[#This Row],[合格時期]]="",0,IF(T_学生別進路[[#This Row],[合格時期]]&lt;O$5,1,0))</f>
        <v>1</v>
      </c>
      <c r="P89" s="30"/>
      <c r="Q89" s="3"/>
      <c r="R89" s="3"/>
      <c r="S89" s="3"/>
      <c r="T89" s="3"/>
      <c r="U89" s="3"/>
    </row>
    <row r="90" spans="1:21" hidden="1" x14ac:dyDescent="0.15">
      <c r="A90" s="32">
        <v>2407049</v>
      </c>
      <c r="B90" s="30" t="str">
        <f>VLOOKUP(T_学生別進路[[#This Row],[学籍番号]],進路状況入力シート!A:B,2,FALSE)</f>
        <v>2-5</v>
      </c>
      <c r="C90" s="30" t="str">
        <f>VLOOKUP(T_学生別進路[[#This Row],[学籍番号]],進路状況入力シート!A:C,3,FALSE)</f>
        <v>AHMAD SABBIR</v>
      </c>
      <c r="D90" s="30" t="str">
        <f>IF(AND(T_学生別進路[[#This Row],[進路確定]]="○",T_学生別進路[[#This Row],[進学希望フラグ]]=1),"○","")</f>
        <v>○</v>
      </c>
      <c r="E90" s="30" t="str">
        <f>_xlfn.IFNA(RIGHT(VLOOKUP(T_学生別進路[[#This Row],[学籍番号]]&amp;"○",進路状況入力シート!K:K,1,FALSE),1),"")</f>
        <v>○</v>
      </c>
      <c r="F90" s="30">
        <f>IF(T_学生別進路[[#This Row],[進学希望フラグ]]=0,"",IF(T_学生別進路[[#This Row],[進路確定]]="○",1,0))</f>
        <v>1</v>
      </c>
      <c r="G9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0" s="30" t="str">
        <f>_xlfn.XLOOKUP(T_学生別進路[[#This Row],[学籍番号]]&amp;"○",進路状況入力シート!K:K,進路状況入力シート!D:D,"",0,1)</f>
        <v>流通科学大学</v>
      </c>
      <c r="I90" s="39" t="s">
        <v>626</v>
      </c>
      <c r="J90" s="31">
        <v>45992</v>
      </c>
      <c r="K90" s="30">
        <f>IF(T_学生別進路[[#This Row],[合格時期]]="",0,IF(T_学生別進路[[#This Row],[合格時期]]&lt;K$5,1,0))</f>
        <v>0</v>
      </c>
      <c r="L90" s="30">
        <f>IF(T_学生別進路[[#This Row],[合格時期]]="",0,IF(T_学生別進路[[#This Row],[合格時期]]&lt;L$5,1,0))</f>
        <v>1</v>
      </c>
      <c r="M90" s="30">
        <f>IF(T_学生別進路[[#This Row],[合格時期]]="",0,IF(T_学生別進路[[#This Row],[合格時期]]&lt;M$5,1,0))</f>
        <v>1</v>
      </c>
      <c r="N90" s="30">
        <f>IF(T_学生別進路[[#This Row],[合格時期]]="",0,IF(T_学生別進路[[#This Row],[合格時期]]&lt;N$5,1,0))</f>
        <v>1</v>
      </c>
      <c r="O90" s="30">
        <f>IF(T_学生別進路[[#This Row],[合格時期]]="",0,IF(T_学生別進路[[#This Row],[合格時期]]&lt;O$5,1,0))</f>
        <v>1</v>
      </c>
      <c r="P90" s="30"/>
      <c r="Q90" s="3"/>
      <c r="R90" s="3"/>
      <c r="S90" s="3"/>
      <c r="T90" s="3"/>
      <c r="U90" s="3"/>
    </row>
    <row r="91" spans="1:21" hidden="1" x14ac:dyDescent="0.15">
      <c r="A91" s="32">
        <v>2407060</v>
      </c>
      <c r="B91" s="30" t="str">
        <f>VLOOKUP(T_学生別進路[[#This Row],[学籍番号]],進路状況入力シート!A:B,2,FALSE)</f>
        <v>2-5</v>
      </c>
      <c r="C91" s="30" t="str">
        <f>VLOOKUP(T_学生別進路[[#This Row],[学籍番号]],進路状況入力シート!A:C,3,FALSE)</f>
        <v>RAHAMAN ABDUR</v>
      </c>
      <c r="D91" s="30" t="str">
        <f>IF(AND(T_学生別進路[[#This Row],[進路確定]]="○",T_学生別進路[[#This Row],[進学希望フラグ]]=1),"○","")</f>
        <v>○</v>
      </c>
      <c r="E91" s="30" t="str">
        <f>_xlfn.IFNA(RIGHT(VLOOKUP(T_学生別進路[[#This Row],[学籍番号]]&amp;"○",進路状況入力シート!K:K,1,FALSE),1),"")</f>
        <v>○</v>
      </c>
      <c r="F91" s="30">
        <f>IF(T_学生別進路[[#This Row],[進学希望フラグ]]=0,"",IF(T_学生別進路[[#This Row],[進路確定]]="○",1,0))</f>
        <v>1</v>
      </c>
      <c r="G9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1" s="30" t="str">
        <f>_xlfn.XLOOKUP(T_学生別進路[[#This Row],[学籍番号]]&amp;"○",進路状況入力シート!K:K,進路状況入力シート!D:D,"",0,1)</f>
        <v>神戸電子専門学校</v>
      </c>
      <c r="I91" s="39" t="s">
        <v>626</v>
      </c>
      <c r="J91" s="31">
        <v>45992</v>
      </c>
      <c r="K91" s="30">
        <f>IF(T_学生別進路[[#This Row],[合格時期]]="",0,IF(T_学生別進路[[#This Row],[合格時期]]&lt;K$5,1,0))</f>
        <v>0</v>
      </c>
      <c r="L91" s="30">
        <f>IF(T_学生別進路[[#This Row],[合格時期]]="",0,IF(T_学生別進路[[#This Row],[合格時期]]&lt;L$5,1,0))</f>
        <v>1</v>
      </c>
      <c r="M91" s="30">
        <f>IF(T_学生別進路[[#This Row],[合格時期]]="",0,IF(T_学生別進路[[#This Row],[合格時期]]&lt;M$5,1,0))</f>
        <v>1</v>
      </c>
      <c r="N91" s="30">
        <f>IF(T_学生別進路[[#This Row],[合格時期]]="",0,IF(T_学生別進路[[#This Row],[合格時期]]&lt;N$5,1,0))</f>
        <v>1</v>
      </c>
      <c r="O91" s="30">
        <f>IF(T_学生別進路[[#This Row],[合格時期]]="",0,IF(T_学生別進路[[#This Row],[合格時期]]&lt;O$5,1,0))</f>
        <v>1</v>
      </c>
      <c r="P91" s="30"/>
      <c r="Q91" s="3"/>
      <c r="R91" s="3"/>
      <c r="S91" s="3"/>
      <c r="T91" s="3"/>
      <c r="U91" s="3"/>
    </row>
    <row r="92" spans="1:21" hidden="1" x14ac:dyDescent="0.15">
      <c r="A92" s="32">
        <v>2407064</v>
      </c>
      <c r="B92" s="30" t="str">
        <f>VLOOKUP(T_学生別進路[[#This Row],[学籍番号]],進路状況入力シート!A:B,2,FALSE)</f>
        <v>2-5</v>
      </c>
      <c r="C92" s="30" t="str">
        <f>VLOOKUP(T_学生別進路[[#This Row],[学籍番号]],進路状況入力シート!A:C,3,FALSE)</f>
        <v>BHUJEL YAMUNA</v>
      </c>
      <c r="D92" s="30" t="str">
        <f>IF(AND(T_学生別進路[[#This Row],[進路確定]]="○",T_学生別進路[[#This Row],[進学希望フラグ]]=1),"○","")</f>
        <v>○</v>
      </c>
      <c r="E92" s="30" t="str">
        <f>_xlfn.IFNA(RIGHT(VLOOKUP(T_学生別進路[[#This Row],[学籍番号]]&amp;"○",進路状況入力シート!K:K,1,FALSE),1),"")</f>
        <v>○</v>
      </c>
      <c r="F92" s="30">
        <f>IF(T_学生別進路[[#This Row],[進学希望フラグ]]=0,"",IF(T_学生別進路[[#This Row],[進路確定]]="○",1,0))</f>
        <v>1</v>
      </c>
      <c r="G9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2" s="30" t="str">
        <f>_xlfn.XLOOKUP(T_学生別進路[[#This Row],[学籍番号]]&amp;"○",進路状況入力シート!K:K,進路状況入力シート!D:D,"",0,1)</f>
        <v>東京国際ビジネスカレッジ神戸校</v>
      </c>
      <c r="I92" s="30"/>
      <c r="J92" s="31">
        <v>45901</v>
      </c>
      <c r="K92" s="30">
        <f>IF(T_学生別進路[[#This Row],[合格時期]]="",0,IF(T_学生別進路[[#This Row],[合格時期]]&lt;K$5,1,0))</f>
        <v>1</v>
      </c>
      <c r="L92" s="30">
        <f>IF(T_学生別進路[[#This Row],[合格時期]]="",0,IF(T_学生別進路[[#This Row],[合格時期]]&lt;L$5,1,0))</f>
        <v>1</v>
      </c>
      <c r="M92" s="30">
        <f>IF(T_学生別進路[[#This Row],[合格時期]]="",0,IF(T_学生別進路[[#This Row],[合格時期]]&lt;M$5,1,0))</f>
        <v>1</v>
      </c>
      <c r="N92" s="30">
        <f>IF(T_学生別進路[[#This Row],[合格時期]]="",0,IF(T_学生別進路[[#This Row],[合格時期]]&lt;N$5,1,0))</f>
        <v>1</v>
      </c>
      <c r="O92" s="30">
        <f>IF(T_学生別進路[[#This Row],[合格時期]]="",0,IF(T_学生別進路[[#This Row],[合格時期]]&lt;O$5,1,0))</f>
        <v>1</v>
      </c>
      <c r="P92" s="30"/>
      <c r="Q92" s="3"/>
      <c r="R92" s="3"/>
      <c r="S92" s="3"/>
      <c r="T92" s="3"/>
      <c r="U92" s="3"/>
    </row>
    <row r="93" spans="1:21" hidden="1" x14ac:dyDescent="0.15">
      <c r="A93" s="32">
        <v>2410001</v>
      </c>
      <c r="B93" s="30" t="str">
        <f>VLOOKUP(T_学生別進路[[#This Row],[学籍番号]],進路状況入力シート!A:B,2,FALSE)</f>
        <v>2-5</v>
      </c>
      <c r="C93" s="30" t="str">
        <f>VLOOKUP(T_学生別進路[[#This Row],[学籍番号]],進路状況入力シート!A:C,3,FALSE)</f>
        <v>范 澤旭</v>
      </c>
      <c r="D93" s="30" t="str">
        <f>IF(AND(T_学生別進路[[#This Row],[進路確定]]="○",T_学生別進路[[#This Row],[進学希望フラグ]]=1),"○","")</f>
        <v>○</v>
      </c>
      <c r="E93" s="30" t="str">
        <f>_xlfn.IFNA(RIGHT(VLOOKUP(T_学生別進路[[#This Row],[学籍番号]]&amp;"○",進路状況入力シート!K:K,1,FALSE),1),"")</f>
        <v>○</v>
      </c>
      <c r="F93" s="30">
        <f>IF(T_学生別進路[[#This Row],[進学希望フラグ]]=0,"",IF(T_学生別進路[[#This Row],[進路確定]]="○",1,0))</f>
        <v>1</v>
      </c>
      <c r="G9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3" s="30" t="str">
        <f>_xlfn.XLOOKUP(T_学生別進路[[#This Row],[学籍番号]]&amp;"○",進路状況入力シート!K:K,進路状況入力シート!D:D,"",0,1)</f>
        <v>流通科学大学</v>
      </c>
      <c r="I93" s="30"/>
      <c r="J93" s="31">
        <v>45992</v>
      </c>
      <c r="K93" s="30">
        <f>IF(T_学生別進路[[#This Row],[合格時期]]="",0,IF(T_学生別進路[[#This Row],[合格時期]]&lt;K$5,1,0))</f>
        <v>0</v>
      </c>
      <c r="L93" s="30">
        <f>IF(T_学生別進路[[#This Row],[合格時期]]="",0,IF(T_学生別進路[[#This Row],[合格時期]]&lt;L$5,1,0))</f>
        <v>1</v>
      </c>
      <c r="M93" s="30">
        <f>IF(T_学生別進路[[#This Row],[合格時期]]="",0,IF(T_学生別進路[[#This Row],[合格時期]]&lt;M$5,1,0))</f>
        <v>1</v>
      </c>
      <c r="N93" s="30">
        <f>IF(T_学生別進路[[#This Row],[合格時期]]="",0,IF(T_学生別進路[[#This Row],[合格時期]]&lt;N$5,1,0))</f>
        <v>1</v>
      </c>
      <c r="O93" s="30">
        <f>IF(T_学生別進路[[#This Row],[合格時期]]="",0,IF(T_学生別進路[[#This Row],[合格時期]]&lt;O$5,1,0))</f>
        <v>1</v>
      </c>
      <c r="P93" s="30"/>
      <c r="Q93" s="3"/>
      <c r="R93" s="3"/>
      <c r="S93" s="3"/>
      <c r="T93" s="3"/>
      <c r="U93" s="3"/>
    </row>
    <row r="94" spans="1:21" hidden="1" x14ac:dyDescent="0.15">
      <c r="A94" s="32">
        <v>2410004</v>
      </c>
      <c r="B94" s="30" t="str">
        <f>VLOOKUP(T_学生別進路[[#This Row],[学籍番号]],進路状況入力シート!A:B,2,FALSE)</f>
        <v>2-5</v>
      </c>
      <c r="C94" s="30" t="str">
        <f>VLOOKUP(T_学生別進路[[#This Row],[学籍番号]],進路状況入力シート!A:C,3,FALSE)</f>
        <v>于 騰傑</v>
      </c>
      <c r="D94" s="30" t="str">
        <f>IF(AND(T_学生別進路[[#This Row],[進路確定]]="○",T_学生別進路[[#This Row],[進学希望フラグ]]=1),"○","")</f>
        <v>○</v>
      </c>
      <c r="E94" s="30" t="str">
        <f>_xlfn.IFNA(RIGHT(VLOOKUP(T_学生別進路[[#This Row],[学籍番号]]&amp;"○",進路状況入力シート!K:K,1,FALSE),1),"")</f>
        <v>○</v>
      </c>
      <c r="F94" s="30">
        <f>IF(T_学生別進路[[#This Row],[進学希望フラグ]]=0,"",IF(T_学生別進路[[#This Row],[進路確定]]="○",1,0))</f>
        <v>1</v>
      </c>
      <c r="G9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4" s="30" t="str">
        <f>_xlfn.XLOOKUP(T_学生別進路[[#This Row],[学籍番号]]&amp;"○",進路状況入力シート!K:K,進路状況入力シート!D:D,"",0,1)</f>
        <v>愛知工科大学</v>
      </c>
      <c r="I94" s="39" t="s">
        <v>627</v>
      </c>
      <c r="J94" s="31">
        <v>46054</v>
      </c>
      <c r="K94" s="30">
        <f>IF(T_学生別進路[[#This Row],[合格時期]]="",0,IF(T_学生別進路[[#This Row],[合格時期]]&lt;K$5,1,0))</f>
        <v>0</v>
      </c>
      <c r="L94" s="30">
        <f>IF(T_学生別進路[[#This Row],[合格時期]]="",0,IF(T_学生別進路[[#This Row],[合格時期]]&lt;L$5,1,0))</f>
        <v>0</v>
      </c>
      <c r="M94" s="30">
        <f>IF(T_学生別進路[[#This Row],[合格時期]]="",0,IF(T_学生別進路[[#This Row],[合格時期]]&lt;M$5,1,0))</f>
        <v>0</v>
      </c>
      <c r="N94" s="30">
        <f>IF(T_学生別進路[[#This Row],[合格時期]]="",0,IF(T_学生別進路[[#This Row],[合格時期]]&lt;N$5,1,0))</f>
        <v>1</v>
      </c>
      <c r="O94" s="30">
        <f>IF(T_学生別進路[[#This Row],[合格時期]]="",0,IF(T_学生別進路[[#This Row],[合格時期]]&lt;O$5,1,0))</f>
        <v>1</v>
      </c>
      <c r="P94" s="30"/>
      <c r="Q94" s="3"/>
      <c r="R94" s="3"/>
      <c r="S94" s="3"/>
      <c r="T94" s="3"/>
      <c r="U94" s="3"/>
    </row>
    <row r="95" spans="1:21" hidden="1" x14ac:dyDescent="0.15">
      <c r="A95" s="32">
        <v>2404040</v>
      </c>
      <c r="B95" s="30" t="str">
        <f>VLOOKUP(T_学生別進路[[#This Row],[学籍番号]],進路状況入力シート!A:B,2,FALSE)</f>
        <v>2-6</v>
      </c>
      <c r="C95" s="30" t="str">
        <f>VLOOKUP(T_学生別進路[[#This Row],[学籍番号]],進路状況入力シート!A:C,3,FALSE)</f>
        <v>AYE PWINT NAING</v>
      </c>
      <c r="D95" s="30" t="str">
        <f>IF(AND(T_学生別進路[[#This Row],[進路確定]]="○",T_学生別進路[[#This Row],[進学希望フラグ]]=1),"○","")</f>
        <v>○</v>
      </c>
      <c r="E95" s="30" t="str">
        <f>_xlfn.IFNA(RIGHT(VLOOKUP(T_学生別進路[[#This Row],[学籍番号]]&amp;"○",進路状況入力シート!K:K,1,FALSE),1),"")</f>
        <v>○</v>
      </c>
      <c r="F95" s="30">
        <f>IF(T_学生別進路[[#This Row],[進学希望フラグ]]=0,"",IF(T_学生別進路[[#This Row],[進路確定]]="○",1,0))</f>
        <v>1</v>
      </c>
      <c r="G9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5" s="30" t="str">
        <f>_xlfn.XLOOKUP(T_学生別進路[[#This Row],[学籍番号]]&amp;"○",進路状況入力シート!K:K,進路状況入力シート!D:D,"",0,1)</f>
        <v>大阪モード学園</v>
      </c>
      <c r="I95" s="30"/>
      <c r="J95" s="31">
        <v>45901</v>
      </c>
      <c r="K95" s="30">
        <f>IF(T_学生別進路[[#This Row],[合格時期]]="",0,IF(T_学生別進路[[#This Row],[合格時期]]&lt;K$5,1,0))</f>
        <v>1</v>
      </c>
      <c r="L95" s="30">
        <f>IF(T_学生別進路[[#This Row],[合格時期]]="",0,IF(T_学生別進路[[#This Row],[合格時期]]&lt;L$5,1,0))</f>
        <v>1</v>
      </c>
      <c r="M95" s="30">
        <f>IF(T_学生別進路[[#This Row],[合格時期]]="",0,IF(T_学生別進路[[#This Row],[合格時期]]&lt;M$5,1,0))</f>
        <v>1</v>
      </c>
      <c r="N95" s="30">
        <f>IF(T_学生別進路[[#This Row],[合格時期]]="",0,IF(T_学生別進路[[#This Row],[合格時期]]&lt;N$5,1,0))</f>
        <v>1</v>
      </c>
      <c r="O95" s="30">
        <f>IF(T_学生別進路[[#This Row],[合格時期]]="",0,IF(T_学生別進路[[#This Row],[合格時期]]&lt;O$5,1,0))</f>
        <v>1</v>
      </c>
      <c r="P95" s="30"/>
      <c r="Q95" s="3"/>
      <c r="R95" s="3"/>
      <c r="S95" s="3"/>
      <c r="T95" s="3"/>
      <c r="U95" s="3"/>
    </row>
    <row r="96" spans="1:21" hidden="1" x14ac:dyDescent="0.15">
      <c r="A96" s="32">
        <v>2404088</v>
      </c>
      <c r="B96" s="30" t="str">
        <f>VLOOKUP(T_学生別進路[[#This Row],[学籍番号]],進路状況入力シート!A:B,2,FALSE)</f>
        <v>2-6</v>
      </c>
      <c r="C96" s="30" t="str">
        <f>VLOOKUP(T_学生別進路[[#This Row],[学籍番号]],進路状況入力シート!A:C,3,FALSE)</f>
        <v>MD.EMTEAZ HOSEN</v>
      </c>
      <c r="D96" s="30" t="str">
        <f>IF(AND(T_学生別進路[[#This Row],[進路確定]]="○",T_学生別進路[[#This Row],[進学希望フラグ]]=1),"○","")</f>
        <v>○</v>
      </c>
      <c r="E96" s="30" t="str">
        <f>_xlfn.IFNA(RIGHT(VLOOKUP(T_学生別進路[[#This Row],[学籍番号]]&amp;"○",進路状況入力シート!K:K,1,FALSE),1),"")</f>
        <v>○</v>
      </c>
      <c r="F96" s="30">
        <f>IF(T_学生別進路[[#This Row],[進学希望フラグ]]=0,"",IF(T_学生別進路[[#This Row],[進路確定]]="○",1,0))</f>
        <v>1</v>
      </c>
      <c r="G9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6" s="30" t="str">
        <f>_xlfn.XLOOKUP(T_学生別進路[[#This Row],[学籍番号]]&amp;"○",進路状況入力シート!K:K,進路状況入力シート!D:D,"",0,1)</f>
        <v>流通科学大学</v>
      </c>
      <c r="I96" s="39" t="s">
        <v>627</v>
      </c>
      <c r="J96" s="31">
        <v>45962</v>
      </c>
      <c r="K96" s="30">
        <f>IF(T_学生別進路[[#This Row],[合格時期]]="",0,IF(T_学生別進路[[#This Row],[合格時期]]&lt;K$5,1,0))</f>
        <v>1</v>
      </c>
      <c r="L96" s="30">
        <f>IF(T_学生別進路[[#This Row],[合格時期]]="",0,IF(T_学生別進路[[#This Row],[合格時期]]&lt;L$5,1,0))</f>
        <v>1</v>
      </c>
      <c r="M96" s="30">
        <f>IF(T_学生別進路[[#This Row],[合格時期]]="",0,IF(T_学生別進路[[#This Row],[合格時期]]&lt;M$5,1,0))</f>
        <v>1</v>
      </c>
      <c r="N96" s="30">
        <f>IF(T_学生別進路[[#This Row],[合格時期]]="",0,IF(T_学生別進路[[#This Row],[合格時期]]&lt;N$5,1,0))</f>
        <v>1</v>
      </c>
      <c r="O96" s="30">
        <f>IF(T_学生別進路[[#This Row],[合格時期]]="",0,IF(T_学生別進路[[#This Row],[合格時期]]&lt;O$5,1,0))</f>
        <v>1</v>
      </c>
      <c r="P96" s="30"/>
      <c r="Q96" s="3"/>
      <c r="R96" s="3"/>
      <c r="S96" s="3"/>
      <c r="T96" s="3"/>
      <c r="U96" s="3"/>
    </row>
    <row r="97" spans="1:21" hidden="1" x14ac:dyDescent="0.15">
      <c r="A97" s="32">
        <v>2404127</v>
      </c>
      <c r="B97" s="30" t="str">
        <f>VLOOKUP(T_学生別進路[[#This Row],[学籍番号]],進路状況入力シート!A:B,2,FALSE)</f>
        <v>2-6</v>
      </c>
      <c r="C97" s="30" t="str">
        <f>VLOOKUP(T_学生別進路[[#This Row],[学籍番号]],進路状況入力シート!A:C,3,FALSE)</f>
        <v>UDOY MD.</v>
      </c>
      <c r="D97" s="30" t="str">
        <f>IF(AND(T_学生別進路[[#This Row],[進路確定]]="○",T_学生別進路[[#This Row],[進学希望フラグ]]=1),"○","")</f>
        <v>○</v>
      </c>
      <c r="E97" s="30" t="str">
        <f>_xlfn.IFNA(RIGHT(VLOOKUP(T_学生別進路[[#This Row],[学籍番号]]&amp;"○",進路状況入力シート!K:K,1,FALSE),1),"")</f>
        <v>○</v>
      </c>
      <c r="F97" s="30">
        <f>IF(T_学生別進路[[#This Row],[進学希望フラグ]]=0,"",IF(T_学生別進路[[#This Row],[進路確定]]="○",1,0))</f>
        <v>1</v>
      </c>
      <c r="G9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7" s="30" t="str">
        <f>_xlfn.XLOOKUP(T_学生別進路[[#This Row],[学籍番号]]&amp;"○",進路状況入力シート!K:K,進路状況入力シート!D:D,"",0,1)</f>
        <v>神戸親和大学</v>
      </c>
      <c r="I97" s="39" t="s">
        <v>626</v>
      </c>
      <c r="J97" s="31">
        <v>45992</v>
      </c>
      <c r="K97" s="30">
        <f>IF(T_学生別進路[[#This Row],[合格時期]]="",0,IF(T_学生別進路[[#This Row],[合格時期]]&lt;K$5,1,0))</f>
        <v>0</v>
      </c>
      <c r="L97" s="30">
        <f>IF(T_学生別進路[[#This Row],[合格時期]]="",0,IF(T_学生別進路[[#This Row],[合格時期]]&lt;L$5,1,0))</f>
        <v>1</v>
      </c>
      <c r="M97" s="30">
        <f>IF(T_学生別進路[[#This Row],[合格時期]]="",0,IF(T_学生別進路[[#This Row],[合格時期]]&lt;M$5,1,0))</f>
        <v>1</v>
      </c>
      <c r="N97" s="30">
        <f>IF(T_学生別進路[[#This Row],[合格時期]]="",0,IF(T_学生別進路[[#This Row],[合格時期]]&lt;N$5,1,0))</f>
        <v>1</v>
      </c>
      <c r="O97" s="30">
        <f>IF(T_学生別進路[[#This Row],[合格時期]]="",0,IF(T_学生別進路[[#This Row],[合格時期]]&lt;O$5,1,0))</f>
        <v>1</v>
      </c>
      <c r="P97" s="30"/>
      <c r="Q97" s="3"/>
      <c r="R97" s="3"/>
      <c r="S97" s="3"/>
      <c r="T97" s="3"/>
      <c r="U97" s="3"/>
    </row>
    <row r="98" spans="1:21" hidden="1" x14ac:dyDescent="0.15">
      <c r="A98" s="32">
        <v>2404163</v>
      </c>
      <c r="B98" s="30" t="str">
        <f>VLOOKUP(T_学生別進路[[#This Row],[学籍番号]],進路状況入力シート!A:B,2,FALSE)</f>
        <v>2-6</v>
      </c>
      <c r="C98" s="30" t="str">
        <f>VLOOKUP(T_学生別進路[[#This Row],[学籍番号]],進路状況入力シート!A:C,3,FALSE)</f>
        <v>SABITA GAMAL</v>
      </c>
      <c r="D98" s="30" t="str">
        <f>IF(AND(T_学生別進路[[#This Row],[進路確定]]="○",T_学生別進路[[#This Row],[進学希望フラグ]]=1),"○","")</f>
        <v>○</v>
      </c>
      <c r="E98" s="30" t="str">
        <f>_xlfn.IFNA(RIGHT(VLOOKUP(T_学生別進路[[#This Row],[学籍番号]]&amp;"○",進路状況入力シート!K:K,1,FALSE),1),"")</f>
        <v>○</v>
      </c>
      <c r="F98" s="30">
        <f>IF(T_学生別進路[[#This Row],[進学希望フラグ]]=0,"",IF(T_学生別進路[[#This Row],[進路確定]]="○",1,0))</f>
        <v>1</v>
      </c>
      <c r="G9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8" s="30" t="str">
        <f>_xlfn.XLOOKUP(T_学生別進路[[#This Row],[学籍番号]]&amp;"○",進路状況入力シート!K:K,進路状況入力シート!D:D,"",0,1)</f>
        <v>東亜経理専門学校</v>
      </c>
      <c r="I98" s="30"/>
      <c r="J98" s="31">
        <v>45962</v>
      </c>
      <c r="K98" s="30">
        <f>IF(T_学生別進路[[#This Row],[合格時期]]="",0,IF(T_学生別進路[[#This Row],[合格時期]]&lt;K$5,1,0))</f>
        <v>1</v>
      </c>
      <c r="L98" s="30">
        <f>IF(T_学生別進路[[#This Row],[合格時期]]="",0,IF(T_学生別進路[[#This Row],[合格時期]]&lt;L$5,1,0))</f>
        <v>1</v>
      </c>
      <c r="M98" s="30">
        <f>IF(T_学生別進路[[#This Row],[合格時期]]="",0,IF(T_学生別進路[[#This Row],[合格時期]]&lt;M$5,1,0))</f>
        <v>1</v>
      </c>
      <c r="N98" s="30">
        <f>IF(T_学生別進路[[#This Row],[合格時期]]="",0,IF(T_学生別進路[[#This Row],[合格時期]]&lt;N$5,1,0))</f>
        <v>1</v>
      </c>
      <c r="O98" s="30">
        <f>IF(T_学生別進路[[#This Row],[合格時期]]="",0,IF(T_学生別進路[[#This Row],[合格時期]]&lt;O$5,1,0))</f>
        <v>1</v>
      </c>
      <c r="P98" s="30"/>
      <c r="Q98" s="3"/>
      <c r="R98" s="3"/>
      <c r="S98" s="3"/>
      <c r="T98" s="3"/>
      <c r="U98" s="3"/>
    </row>
    <row r="99" spans="1:21" hidden="1" x14ac:dyDescent="0.15">
      <c r="A99" s="32">
        <v>2407008</v>
      </c>
      <c r="B99" s="30" t="str">
        <f>VLOOKUP(T_学生別進路[[#This Row],[学籍番号]],進路状況入力シート!A:B,2,FALSE)</f>
        <v>2-6</v>
      </c>
      <c r="C99" s="30" t="str">
        <f>VLOOKUP(T_学生別進路[[#This Row],[学籍番号]],進路状況入力シート!A:C,3,FALSE)</f>
        <v>MYA MYA THIN</v>
      </c>
      <c r="D99" s="30" t="str">
        <f>IF(AND(T_学生別進路[[#This Row],[進路確定]]="○",T_学生別進路[[#This Row],[進学希望フラグ]]=1),"○","")</f>
        <v>○</v>
      </c>
      <c r="E99" s="30" t="str">
        <f>_xlfn.IFNA(RIGHT(VLOOKUP(T_学生別進路[[#This Row],[学籍番号]]&amp;"○",進路状況入力シート!K:K,1,FALSE),1),"")</f>
        <v>○</v>
      </c>
      <c r="F99" s="30">
        <f>IF(T_学生別進路[[#This Row],[進学希望フラグ]]=0,"",IF(T_学生別進路[[#This Row],[進路確定]]="○",1,0))</f>
        <v>1</v>
      </c>
      <c r="G9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99" s="30" t="str">
        <f>_xlfn.XLOOKUP(T_学生別進路[[#This Row],[学籍番号]]&amp;"○",進路状況入力シート!K:K,進路状況入力シート!D:D,"",0,1)</f>
        <v>神戸電子専門学校</v>
      </c>
      <c r="I99" s="30"/>
      <c r="J99" s="31">
        <v>45962</v>
      </c>
      <c r="K99" s="30">
        <f>IF(T_学生別進路[[#This Row],[合格時期]]="",0,IF(T_学生別進路[[#This Row],[合格時期]]&lt;K$5,1,0))</f>
        <v>1</v>
      </c>
      <c r="L99" s="30">
        <f>IF(T_学生別進路[[#This Row],[合格時期]]="",0,IF(T_学生別進路[[#This Row],[合格時期]]&lt;L$5,1,0))</f>
        <v>1</v>
      </c>
      <c r="M99" s="30">
        <f>IF(T_学生別進路[[#This Row],[合格時期]]="",0,IF(T_学生別進路[[#This Row],[合格時期]]&lt;M$5,1,0))</f>
        <v>1</v>
      </c>
      <c r="N99" s="30">
        <f>IF(T_学生別進路[[#This Row],[合格時期]]="",0,IF(T_学生別進路[[#This Row],[合格時期]]&lt;N$5,1,0))</f>
        <v>1</v>
      </c>
      <c r="O99" s="30">
        <f>IF(T_学生別進路[[#This Row],[合格時期]]="",0,IF(T_学生別進路[[#This Row],[合格時期]]&lt;O$5,1,0))</f>
        <v>1</v>
      </c>
      <c r="P99" s="30"/>
      <c r="Q99" s="3"/>
      <c r="R99" s="3"/>
      <c r="S99" s="3"/>
      <c r="T99" s="3"/>
      <c r="U99" s="3"/>
    </row>
    <row r="100" spans="1:21" hidden="1" x14ac:dyDescent="0.15">
      <c r="A100" s="32">
        <v>2407009</v>
      </c>
      <c r="B100" s="30" t="str">
        <f>VLOOKUP(T_学生別進路[[#This Row],[学籍番号]],進路状況入力シート!A:B,2,FALSE)</f>
        <v>2-6</v>
      </c>
      <c r="C100" s="30" t="str">
        <f>VLOOKUP(T_学生別進路[[#This Row],[学籍番号]],進路状況入力シート!A:C,3,FALSE)</f>
        <v>NAING LIN KHANT</v>
      </c>
      <c r="D100" s="30" t="str">
        <f>IF(AND(T_学生別進路[[#This Row],[進路確定]]="○",T_学生別進路[[#This Row],[進学希望フラグ]]=1),"○","")</f>
        <v>○</v>
      </c>
      <c r="E100" s="30" t="str">
        <f>_xlfn.IFNA(RIGHT(VLOOKUP(T_学生別進路[[#This Row],[学籍番号]]&amp;"○",進路状況入力シート!K:K,1,FALSE),1),"")</f>
        <v>○</v>
      </c>
      <c r="F100" s="30">
        <f>IF(T_学生別進路[[#This Row],[進学希望フラグ]]=0,"",IF(T_学生別進路[[#This Row],[進路確定]]="○",1,0))</f>
        <v>1</v>
      </c>
      <c r="G10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0" s="30" t="str">
        <f>_xlfn.XLOOKUP(T_学生別進路[[#This Row],[学籍番号]]&amp;"○",進路状況入力シート!K:K,進路状況入力シート!D:D,"",0,1)</f>
        <v>神戸親和大学</v>
      </c>
      <c r="I100" s="39" t="s">
        <v>626</v>
      </c>
      <c r="J100" s="31">
        <v>45992</v>
      </c>
      <c r="K100" s="30">
        <f>IF(T_学生別進路[[#This Row],[合格時期]]="",0,IF(T_学生別進路[[#This Row],[合格時期]]&lt;K$5,1,0))</f>
        <v>0</v>
      </c>
      <c r="L100" s="30">
        <f>IF(T_学生別進路[[#This Row],[合格時期]]="",0,IF(T_学生別進路[[#This Row],[合格時期]]&lt;L$5,1,0))</f>
        <v>1</v>
      </c>
      <c r="M100" s="30">
        <f>IF(T_学生別進路[[#This Row],[合格時期]]="",0,IF(T_学生別進路[[#This Row],[合格時期]]&lt;M$5,1,0))</f>
        <v>1</v>
      </c>
      <c r="N100" s="30">
        <f>IF(T_学生別進路[[#This Row],[合格時期]]="",0,IF(T_学生別進路[[#This Row],[合格時期]]&lt;N$5,1,0))</f>
        <v>1</v>
      </c>
      <c r="O100" s="30">
        <f>IF(T_学生別進路[[#This Row],[合格時期]]="",0,IF(T_学生別進路[[#This Row],[合格時期]]&lt;O$5,1,0))</f>
        <v>1</v>
      </c>
      <c r="P100" s="30"/>
      <c r="Q100" s="3"/>
      <c r="R100" s="3"/>
      <c r="S100" s="3"/>
      <c r="T100" s="3"/>
      <c r="U100" s="3"/>
    </row>
    <row r="101" spans="1:21" hidden="1" x14ac:dyDescent="0.15">
      <c r="A101" s="32">
        <v>2407014</v>
      </c>
      <c r="B101" s="30" t="str">
        <f>VLOOKUP(T_学生別進路[[#This Row],[学籍番号]],進路状況入力シート!A:B,2,FALSE)</f>
        <v>2-6</v>
      </c>
      <c r="C101" s="30" t="str">
        <f>VLOOKUP(T_学生別進路[[#This Row],[学籍番号]],進路状況入力シート!A:C,3,FALSE)</f>
        <v>ZIN LAY NWE</v>
      </c>
      <c r="D101" s="30" t="str">
        <f>IF(AND(T_学生別進路[[#This Row],[進路確定]]="○",T_学生別進路[[#This Row],[進学希望フラグ]]=1),"○","")</f>
        <v>○</v>
      </c>
      <c r="E101" s="30" t="str">
        <f>_xlfn.IFNA(RIGHT(VLOOKUP(T_学生別進路[[#This Row],[学籍番号]]&amp;"○",進路状況入力シート!K:K,1,FALSE),1),"")</f>
        <v>○</v>
      </c>
      <c r="F101" s="30">
        <f>IF(T_学生別進路[[#This Row],[進学希望フラグ]]=0,"",IF(T_学生別進路[[#This Row],[進路確定]]="○",1,0))</f>
        <v>1</v>
      </c>
      <c r="G10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1" s="30" t="str">
        <f>_xlfn.XLOOKUP(T_学生別進路[[#This Row],[学籍番号]]&amp;"○",進路状況入力シート!K:K,進路状況入力シート!D:D,"",0,1)</f>
        <v>大阪女学院大学</v>
      </c>
      <c r="I101" s="30"/>
      <c r="J101" s="31">
        <v>46023</v>
      </c>
      <c r="K101" s="30">
        <f>IF(T_学生別進路[[#This Row],[合格時期]]="",0,IF(T_学生別進路[[#This Row],[合格時期]]&lt;K$5,1,0))</f>
        <v>0</v>
      </c>
      <c r="L101" s="30">
        <f>IF(T_学生別進路[[#This Row],[合格時期]]="",0,IF(T_学生別進路[[#This Row],[合格時期]]&lt;L$5,1,0))</f>
        <v>0</v>
      </c>
      <c r="M101" s="30">
        <f>IF(T_学生別進路[[#This Row],[合格時期]]="",0,IF(T_学生別進路[[#This Row],[合格時期]]&lt;M$5,1,0))</f>
        <v>1</v>
      </c>
      <c r="N101" s="30">
        <f>IF(T_学生別進路[[#This Row],[合格時期]]="",0,IF(T_学生別進路[[#This Row],[合格時期]]&lt;N$5,1,0))</f>
        <v>1</v>
      </c>
      <c r="O101" s="30">
        <f>IF(T_学生別進路[[#This Row],[合格時期]]="",0,IF(T_学生別進路[[#This Row],[合格時期]]&lt;O$5,1,0))</f>
        <v>1</v>
      </c>
      <c r="P101" s="30"/>
      <c r="Q101" s="3"/>
      <c r="R101" s="3"/>
      <c r="S101" s="3"/>
      <c r="T101" s="3"/>
      <c r="U101" s="3"/>
    </row>
    <row r="102" spans="1:21" x14ac:dyDescent="0.15">
      <c r="A102" s="32">
        <v>2407015</v>
      </c>
      <c r="B102" s="30" t="str">
        <f>VLOOKUP(T_学生別進路[[#This Row],[学籍番号]],進路状況入力シート!A:B,2,FALSE)</f>
        <v>2-6</v>
      </c>
      <c r="C102" s="42" t="str">
        <f>VLOOKUP(T_学生別進路[[#This Row],[学籍番号]],進路状況入力シート!A:C,3,FALSE)</f>
        <v>SHANE ARKAR</v>
      </c>
      <c r="D102" s="30" t="str">
        <f>IF(AND(T_学生別進路[[#This Row],[進路確定]]="○",T_学生別進路[[#This Row],[進学希望フラグ]]=1),"○","")</f>
        <v/>
      </c>
      <c r="E102" s="30"/>
      <c r="F102" s="30">
        <f>IF(T_学生別進路[[#This Row],[進学希望フラグ]]=0,"",IF(T_学生別進路[[#This Row],[進路確定]]="○",1,0))</f>
        <v>0</v>
      </c>
      <c r="G10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2" s="30" t="str">
        <f>_xlfn.XLOOKUP(T_学生別進路[[#This Row],[学籍番号]]&amp;"○",進路状況入力シート!K:K,進路状況入力シート!D:D,"",0,1)</f>
        <v>神戸親和大学</v>
      </c>
      <c r="I102" s="39" t="s">
        <v>626</v>
      </c>
      <c r="J102" s="31">
        <v>45992</v>
      </c>
      <c r="K102" s="30">
        <f>IF(T_学生別進路[[#This Row],[合格時期]]="",0,IF(T_学生別進路[[#This Row],[合格時期]]&lt;K$5,1,0))</f>
        <v>0</v>
      </c>
      <c r="L102" s="30">
        <f>IF(T_学生別進路[[#This Row],[合格時期]]="",0,IF(T_学生別進路[[#This Row],[合格時期]]&lt;L$5,1,0))</f>
        <v>1</v>
      </c>
      <c r="M102" s="30">
        <f>IF(T_学生別進路[[#This Row],[合格時期]]="",0,IF(T_学生別進路[[#This Row],[合格時期]]&lt;M$5,1,0))</f>
        <v>1</v>
      </c>
      <c r="N102" s="30">
        <f>IF(T_学生別進路[[#This Row],[合格時期]]="",0,IF(T_学生別進路[[#This Row],[合格時期]]&lt;N$5,1,0))</f>
        <v>1</v>
      </c>
      <c r="O102" s="30">
        <f>IF(T_学生別進路[[#This Row],[合格時期]]="",0,IF(T_学生別進路[[#This Row],[合格時期]]&lt;O$5,1,0))</f>
        <v>1</v>
      </c>
      <c r="P102" s="30"/>
      <c r="Q102" s="3"/>
      <c r="R102" s="3"/>
      <c r="S102" s="3"/>
      <c r="T102" s="3"/>
      <c r="U102" s="3"/>
    </row>
    <row r="103" spans="1:21" x14ac:dyDescent="0.15">
      <c r="A103" s="32">
        <v>2407016</v>
      </c>
      <c r="B103" s="30" t="str">
        <f>VLOOKUP(T_学生別進路[[#This Row],[学籍番号]],進路状況入力シート!A:B,2,FALSE)</f>
        <v>2-6</v>
      </c>
      <c r="C103" s="49" t="str">
        <f>VLOOKUP(T_学生別進路[[#This Row],[学籍番号]],進路状況入力シート!A:C,3,FALSE)</f>
        <v>KYAW ZIN MYINT</v>
      </c>
      <c r="D103" s="30" t="str">
        <f>IF(AND(T_学生別進路[[#This Row],[進路確定]]="○",T_学生別進路[[#This Row],[進学希望フラグ]]=1),"○","")</f>
        <v/>
      </c>
      <c r="E103" s="30" t="str">
        <f>_xlfn.IFNA(RIGHT(VLOOKUP(T_学生別進路[[#This Row],[学籍番号]]&amp;"○",進路状況入力シート!K:K,1,FALSE),1),"")</f>
        <v/>
      </c>
      <c r="F103" s="30" t="str">
        <f>IF(T_学生別進路[[#This Row],[進学希望フラグ]]=0,"",IF(T_学生別進路[[#This Row],[進路確定]]="○",1,0))</f>
        <v/>
      </c>
      <c r="G10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103" s="30" t="str">
        <f>_xlfn.XLOOKUP(T_学生別進路[[#This Row],[学籍番号]]&amp;"○",進路状況入力シート!K:K,進路状況入力シート!D:D,"",0,1)</f>
        <v/>
      </c>
      <c r="I103" s="39" t="s">
        <v>630</v>
      </c>
      <c r="J103" s="31"/>
      <c r="K103" s="30">
        <f>IF(T_学生別進路[[#This Row],[合格時期]]="",0,IF(T_学生別進路[[#This Row],[合格時期]]&lt;K$5,1,0))</f>
        <v>0</v>
      </c>
      <c r="L103" s="30">
        <f>IF(T_学生別進路[[#This Row],[合格時期]]="",0,IF(T_学生別進路[[#This Row],[合格時期]]&lt;L$5,1,0))</f>
        <v>0</v>
      </c>
      <c r="M103" s="30">
        <f>IF(T_学生別進路[[#This Row],[合格時期]]="",0,IF(T_学生別進路[[#This Row],[合格時期]]&lt;M$5,1,0))</f>
        <v>0</v>
      </c>
      <c r="N103" s="30">
        <f>IF(T_学生別進路[[#This Row],[合格時期]]="",0,IF(T_学生別進路[[#This Row],[合格時期]]&lt;N$5,1,0))</f>
        <v>0</v>
      </c>
      <c r="O103" s="30">
        <f>IF(T_学生別進路[[#This Row],[合格時期]]="",0,IF(T_学生別進路[[#This Row],[合格時期]]&lt;O$5,1,0))</f>
        <v>0</v>
      </c>
      <c r="P103" s="30" t="s">
        <v>738</v>
      </c>
      <c r="Q103" s="3"/>
      <c r="R103" s="3"/>
      <c r="S103" s="3"/>
      <c r="T103" s="3"/>
      <c r="U103" s="3"/>
    </row>
    <row r="104" spans="1:21" hidden="1" x14ac:dyDescent="0.15">
      <c r="A104" s="32">
        <v>2407017</v>
      </c>
      <c r="B104" s="30" t="str">
        <f>VLOOKUP(T_学生別進路[[#This Row],[学籍番号]],進路状況入力シート!A:B,2,FALSE)</f>
        <v>2-6</v>
      </c>
      <c r="C104" s="30" t="str">
        <f>VLOOKUP(T_学生別進路[[#This Row],[学籍番号]],進路状況入力シート!A:C,3,FALSE)</f>
        <v>THAN TOE AUNG</v>
      </c>
      <c r="D104" s="30" t="str">
        <f>IF(AND(T_学生別進路[[#This Row],[進路確定]]="○",T_学生別進路[[#This Row],[進学希望フラグ]]=1),"○","")</f>
        <v>○</v>
      </c>
      <c r="E104" s="30" t="str">
        <f>_xlfn.IFNA(RIGHT(VLOOKUP(T_学生別進路[[#This Row],[学籍番号]]&amp;"○",進路状況入力シート!K:K,1,FALSE),1),"")</f>
        <v>○</v>
      </c>
      <c r="F104" s="30">
        <f>IF(T_学生別進路[[#This Row],[進学希望フラグ]]=0,"",IF(T_学生別進路[[#This Row],[進路確定]]="○",1,0))</f>
        <v>1</v>
      </c>
      <c r="G10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4" s="30" t="str">
        <f>_xlfn.XLOOKUP(T_学生別進路[[#This Row],[学籍番号]]&amp;"○",進路状況入力シート!K:K,進路状況入力シート!D:D,"",0,1)</f>
        <v>トヨタ神戸自動車大学校</v>
      </c>
      <c r="I104" s="30"/>
      <c r="J104" s="31">
        <v>45992</v>
      </c>
      <c r="K104" s="30">
        <f>IF(T_学生別進路[[#This Row],[合格時期]]="",0,IF(T_学生別進路[[#This Row],[合格時期]]&lt;K$5,1,0))</f>
        <v>0</v>
      </c>
      <c r="L104" s="30">
        <f>IF(T_学生別進路[[#This Row],[合格時期]]="",0,IF(T_学生別進路[[#This Row],[合格時期]]&lt;L$5,1,0))</f>
        <v>1</v>
      </c>
      <c r="M104" s="30">
        <f>IF(T_学生別進路[[#This Row],[合格時期]]="",0,IF(T_学生別進路[[#This Row],[合格時期]]&lt;M$5,1,0))</f>
        <v>1</v>
      </c>
      <c r="N104" s="30">
        <f>IF(T_学生別進路[[#This Row],[合格時期]]="",0,IF(T_学生別進路[[#This Row],[合格時期]]&lt;N$5,1,0))</f>
        <v>1</v>
      </c>
      <c r="O104" s="30">
        <f>IF(T_学生別進路[[#This Row],[合格時期]]="",0,IF(T_学生別進路[[#This Row],[合格時期]]&lt;O$5,1,0))</f>
        <v>1</v>
      </c>
      <c r="P104" s="30"/>
      <c r="Q104" s="3"/>
      <c r="R104" s="3"/>
      <c r="S104" s="3"/>
      <c r="T104" s="3"/>
      <c r="U104" s="3"/>
    </row>
    <row r="105" spans="1:21" hidden="1" x14ac:dyDescent="0.15">
      <c r="A105" s="32">
        <v>2407018</v>
      </c>
      <c r="B105" s="30" t="str">
        <f>VLOOKUP(T_学生別進路[[#This Row],[学籍番号]],進路状況入力シート!A:B,2,FALSE)</f>
        <v>2-6</v>
      </c>
      <c r="C105" s="30" t="str">
        <f>VLOOKUP(T_学生別進路[[#This Row],[学籍番号]],進路状況入力シート!A:C,3,FALSE)</f>
        <v>KHIN SANDI ZAW</v>
      </c>
      <c r="D105" s="30" t="str">
        <f>IF(AND(T_学生別進路[[#This Row],[進路確定]]="○",T_学生別進路[[#This Row],[進学希望フラグ]]=1),"○","")</f>
        <v>○</v>
      </c>
      <c r="E105" s="30" t="str">
        <f>_xlfn.IFNA(RIGHT(VLOOKUP(T_学生別進路[[#This Row],[学籍番号]]&amp;"○",進路状況入力シート!K:K,1,FALSE),1),"")</f>
        <v>○</v>
      </c>
      <c r="F105" s="30">
        <f>IF(T_学生別進路[[#This Row],[進学希望フラグ]]=0,"",IF(T_学生別進路[[#This Row],[進路確定]]="○",1,0))</f>
        <v>1</v>
      </c>
      <c r="G10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5" s="30" t="str">
        <f>_xlfn.XLOOKUP(T_学生別進路[[#This Row],[学籍番号]]&amp;"○",進路状況入力シート!K:K,進路状況入力シート!D:D,"",0,1)</f>
        <v>神戸電子専門学校</v>
      </c>
      <c r="I105" s="30"/>
      <c r="J105" s="31">
        <v>45962</v>
      </c>
      <c r="K105" s="30">
        <f>IF(T_学生別進路[[#This Row],[合格時期]]="",0,IF(T_学生別進路[[#This Row],[合格時期]]&lt;K$5,1,0))</f>
        <v>1</v>
      </c>
      <c r="L105" s="30">
        <f>IF(T_学生別進路[[#This Row],[合格時期]]="",0,IF(T_学生別進路[[#This Row],[合格時期]]&lt;L$5,1,0))</f>
        <v>1</v>
      </c>
      <c r="M105" s="30">
        <f>IF(T_学生別進路[[#This Row],[合格時期]]="",0,IF(T_学生別進路[[#This Row],[合格時期]]&lt;M$5,1,0))</f>
        <v>1</v>
      </c>
      <c r="N105" s="30">
        <f>IF(T_学生別進路[[#This Row],[合格時期]]="",0,IF(T_学生別進路[[#This Row],[合格時期]]&lt;N$5,1,0))</f>
        <v>1</v>
      </c>
      <c r="O105" s="30">
        <f>IF(T_学生別進路[[#This Row],[合格時期]]="",0,IF(T_学生別進路[[#This Row],[合格時期]]&lt;O$5,1,0))</f>
        <v>1</v>
      </c>
      <c r="P105" s="30"/>
      <c r="Q105" s="3"/>
      <c r="R105" s="3"/>
      <c r="S105" s="3"/>
      <c r="T105" s="3"/>
      <c r="U105" s="3"/>
    </row>
    <row r="106" spans="1:21" hidden="1" x14ac:dyDescent="0.15">
      <c r="A106" s="32">
        <v>2407021</v>
      </c>
      <c r="B106" s="30" t="str">
        <f>VLOOKUP(T_学生別進路[[#This Row],[学籍番号]],進路状況入力シート!A:B,2,FALSE)</f>
        <v>2-6</v>
      </c>
      <c r="C106" s="30" t="str">
        <f>VLOOKUP(T_学生別進路[[#This Row],[学籍番号]],進路状況入力シート!A:C,3,FALSE)</f>
        <v>MYA MYA MOE</v>
      </c>
      <c r="D106" s="30" t="str">
        <f>IF(AND(T_学生別進路[[#This Row],[進路確定]]="○",T_学生別進路[[#This Row],[進学希望フラグ]]=1),"○","")</f>
        <v>○</v>
      </c>
      <c r="E106" s="30" t="str">
        <f>_xlfn.IFNA(RIGHT(VLOOKUP(T_学生別進路[[#This Row],[学籍番号]]&amp;"○",進路状況入力シート!K:K,1,FALSE),1),"")</f>
        <v>○</v>
      </c>
      <c r="F106" s="30">
        <f>IF(T_学生別進路[[#This Row],[進学希望フラグ]]=0,"",IF(T_学生別進路[[#This Row],[進路確定]]="○",1,0))</f>
        <v>1</v>
      </c>
      <c r="G10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6" s="30" t="str">
        <f>_xlfn.XLOOKUP(T_学生別進路[[#This Row],[学籍番号]]&amp;"○",進路状況入力シート!K:K,進路状況入力シート!D:D,"",0,1)</f>
        <v>神戸親和大学</v>
      </c>
      <c r="I106" s="39" t="s">
        <v>626</v>
      </c>
      <c r="J106" s="31">
        <v>45992</v>
      </c>
      <c r="K106" s="30">
        <f>IF(T_学生別進路[[#This Row],[合格時期]]="",0,IF(T_学生別進路[[#This Row],[合格時期]]&lt;K$5,1,0))</f>
        <v>0</v>
      </c>
      <c r="L106" s="30">
        <f>IF(T_学生別進路[[#This Row],[合格時期]]="",0,IF(T_学生別進路[[#This Row],[合格時期]]&lt;L$5,1,0))</f>
        <v>1</v>
      </c>
      <c r="M106" s="30">
        <f>IF(T_学生別進路[[#This Row],[合格時期]]="",0,IF(T_学生別進路[[#This Row],[合格時期]]&lt;M$5,1,0))</f>
        <v>1</v>
      </c>
      <c r="N106" s="30">
        <f>IF(T_学生別進路[[#This Row],[合格時期]]="",0,IF(T_学生別進路[[#This Row],[合格時期]]&lt;N$5,1,0))</f>
        <v>1</v>
      </c>
      <c r="O106" s="30">
        <f>IF(T_学生別進路[[#This Row],[合格時期]]="",0,IF(T_学生別進路[[#This Row],[合格時期]]&lt;O$5,1,0))</f>
        <v>1</v>
      </c>
      <c r="P106" s="30"/>
      <c r="Q106" s="3"/>
      <c r="R106" s="3"/>
      <c r="S106" s="3"/>
      <c r="T106" s="3"/>
      <c r="U106" s="3"/>
    </row>
    <row r="107" spans="1:21" x14ac:dyDescent="0.15">
      <c r="A107" s="32">
        <v>2407024</v>
      </c>
      <c r="B107" s="30" t="str">
        <f>VLOOKUP(T_学生別進路[[#This Row],[学籍番号]],進路状況入力シート!A:B,2,FALSE)</f>
        <v>2-6</v>
      </c>
      <c r="C107" s="49" t="str">
        <f>VLOOKUP(T_学生別進路[[#This Row],[学籍番号]],進路状況入力シート!A:C,3,FALSE)</f>
        <v>NAY MYO HTET</v>
      </c>
      <c r="D107" s="30" t="str">
        <f>IF(AND(T_学生別進路[[#This Row],[進路確定]]="○",T_学生別進路[[#This Row],[進学希望フラグ]]=1),"○","")</f>
        <v/>
      </c>
      <c r="E107" s="30" t="str">
        <f>_xlfn.IFNA(RIGHT(VLOOKUP(T_学生別進路[[#This Row],[学籍番号]]&amp;"○",進路状況入力シート!K:K,1,FALSE),1),"")</f>
        <v/>
      </c>
      <c r="F107" s="30" t="str">
        <f>IF(T_学生別進路[[#This Row],[進学希望フラグ]]=0,"",IF(T_学生別進路[[#This Row],[進路確定]]="○",1,0))</f>
        <v/>
      </c>
      <c r="G10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107" s="30" t="str">
        <f>_xlfn.XLOOKUP(T_学生別進路[[#This Row],[学籍番号]]&amp;"○",進路状況入力シート!K:K,進路状況入力シート!D:D,"",0,1)</f>
        <v/>
      </c>
      <c r="I107" s="39" t="s">
        <v>627</v>
      </c>
      <c r="J107" s="31">
        <v>45962</v>
      </c>
      <c r="K107" s="30">
        <f>IF(T_学生別進路[[#This Row],[合格時期]]="",0,IF(T_学生別進路[[#This Row],[合格時期]]&lt;K$5,1,0))</f>
        <v>1</v>
      </c>
      <c r="L107" s="30">
        <f>IF(T_学生別進路[[#This Row],[合格時期]]="",0,IF(T_学生別進路[[#This Row],[合格時期]]&lt;L$5,1,0))</f>
        <v>1</v>
      </c>
      <c r="M107" s="30">
        <f>IF(T_学生別進路[[#This Row],[合格時期]]="",0,IF(T_学生別進路[[#This Row],[合格時期]]&lt;M$5,1,0))</f>
        <v>1</v>
      </c>
      <c r="N107" s="30">
        <f>IF(T_学生別進路[[#This Row],[合格時期]]="",0,IF(T_学生別進路[[#This Row],[合格時期]]&lt;N$5,1,0))</f>
        <v>1</v>
      </c>
      <c r="O107" s="30">
        <f>IF(T_学生別進路[[#This Row],[合格時期]]="",0,IF(T_学生別進路[[#This Row],[合格時期]]&lt;O$5,1,0))</f>
        <v>1</v>
      </c>
      <c r="P107" s="30" t="s">
        <v>739</v>
      </c>
      <c r="Q107" s="3"/>
      <c r="R107" s="3"/>
      <c r="S107" s="3"/>
      <c r="T107" s="3"/>
      <c r="U107" s="3"/>
    </row>
    <row r="108" spans="1:21" x14ac:dyDescent="0.15">
      <c r="A108" s="32">
        <v>2407028</v>
      </c>
      <c r="B108" s="30" t="str">
        <f>VLOOKUP(T_学生別進路[[#This Row],[学籍番号]],進路状況入力シート!A:B,2,FALSE)</f>
        <v>2-6</v>
      </c>
      <c r="C108" s="49" t="str">
        <f>VLOOKUP(T_学生別進路[[#This Row],[学籍番号]],進路状況入力シート!A:C,3,FALSE)</f>
        <v>KYAW BHONE LU</v>
      </c>
      <c r="D108" s="30" t="str">
        <f>IF(AND(T_学生別進路[[#This Row],[進路確定]]="○",T_学生別進路[[#This Row],[進学希望フラグ]]=1),"○","")</f>
        <v/>
      </c>
      <c r="E108" s="30" t="str">
        <f>_xlfn.IFNA(RIGHT(VLOOKUP(T_学生別進路[[#This Row],[学籍番号]]&amp;"○",進路状況入力シート!K:K,1,FALSE),1),"")</f>
        <v/>
      </c>
      <c r="F108" s="30" t="str">
        <f>IF(T_学生別進路[[#This Row],[進学希望フラグ]]=0,"",IF(T_学生別進路[[#This Row],[進路確定]]="○",1,0))</f>
        <v/>
      </c>
      <c r="G10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108" s="30" t="str">
        <f>_xlfn.XLOOKUP(T_学生別進路[[#This Row],[学籍番号]]&amp;"○",進路状況入力シート!K:K,進路状況入力シート!D:D,"",0,1)</f>
        <v/>
      </c>
      <c r="I108" s="39" t="s">
        <v>627</v>
      </c>
      <c r="J108" s="31"/>
      <c r="K108" s="30">
        <f>IF(T_学生別進路[[#This Row],[合格時期]]="",0,IF(T_学生別進路[[#This Row],[合格時期]]&lt;K$5,1,0))</f>
        <v>0</v>
      </c>
      <c r="L108" s="30">
        <f>IF(T_学生別進路[[#This Row],[合格時期]]="",0,IF(T_学生別進路[[#This Row],[合格時期]]&lt;L$5,1,0))</f>
        <v>0</v>
      </c>
      <c r="M108" s="30">
        <f>IF(T_学生別進路[[#This Row],[合格時期]]="",0,IF(T_学生別進路[[#This Row],[合格時期]]&lt;M$5,1,0))</f>
        <v>0</v>
      </c>
      <c r="N108" s="30">
        <f>IF(T_学生別進路[[#This Row],[合格時期]]="",0,IF(T_学生別進路[[#This Row],[合格時期]]&lt;N$5,1,0))</f>
        <v>0</v>
      </c>
      <c r="O108" s="30">
        <f>IF(T_学生別進路[[#This Row],[合格時期]]="",0,IF(T_学生別進路[[#This Row],[合格時期]]&lt;O$5,1,0))</f>
        <v>0</v>
      </c>
      <c r="P108" s="30" t="s">
        <v>740</v>
      </c>
      <c r="Q108" s="3"/>
      <c r="R108" s="3"/>
      <c r="S108" s="3"/>
      <c r="T108" s="3"/>
      <c r="U108" s="3"/>
    </row>
    <row r="109" spans="1:21" hidden="1" x14ac:dyDescent="0.15">
      <c r="A109" s="32">
        <v>2407037</v>
      </c>
      <c r="B109" s="30" t="str">
        <f>VLOOKUP(T_学生別進路[[#This Row],[学籍番号]],進路状況入力シート!A:B,2,FALSE)</f>
        <v>2-6</v>
      </c>
      <c r="C109" s="30" t="str">
        <f>VLOOKUP(T_学生別進路[[#This Row],[学籍番号]],進路状況入力シート!A:C,3,FALSE)</f>
        <v>SARKAR TUHIN</v>
      </c>
      <c r="D109" s="30" t="str">
        <f>IF(AND(T_学生別進路[[#This Row],[進路確定]]="○",T_学生別進路[[#This Row],[進学希望フラグ]]=1),"○","")</f>
        <v>○</v>
      </c>
      <c r="E109" s="30" t="str">
        <f>_xlfn.IFNA(RIGHT(VLOOKUP(T_学生別進路[[#This Row],[学籍番号]]&amp;"○",進路状況入力シート!K:K,1,FALSE),1),"")</f>
        <v>○</v>
      </c>
      <c r="F109" s="30">
        <f>IF(T_学生別進路[[#This Row],[進学希望フラグ]]=0,"",IF(T_学生別進路[[#This Row],[進路確定]]="○",1,0))</f>
        <v>1</v>
      </c>
      <c r="G10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09" s="30" t="str">
        <f>_xlfn.XLOOKUP(T_学生別進路[[#This Row],[学籍番号]]&amp;"○",進路状況入力シート!K:K,進路状況入力シート!D:D,"",0,1)</f>
        <v>神戸松蔭大学</v>
      </c>
      <c r="I109" s="39" t="s">
        <v>626</v>
      </c>
      <c r="J109" s="31">
        <v>45992</v>
      </c>
      <c r="K109" s="30">
        <f>IF(T_学生別進路[[#This Row],[合格時期]]="",0,IF(T_学生別進路[[#This Row],[合格時期]]&lt;K$5,1,0))</f>
        <v>0</v>
      </c>
      <c r="L109" s="30">
        <f>IF(T_学生別進路[[#This Row],[合格時期]]="",0,IF(T_学生別進路[[#This Row],[合格時期]]&lt;L$5,1,0))</f>
        <v>1</v>
      </c>
      <c r="M109" s="30">
        <f>IF(T_学生別進路[[#This Row],[合格時期]]="",0,IF(T_学生別進路[[#This Row],[合格時期]]&lt;M$5,1,0))</f>
        <v>1</v>
      </c>
      <c r="N109" s="30">
        <f>IF(T_学生別進路[[#This Row],[合格時期]]="",0,IF(T_学生別進路[[#This Row],[合格時期]]&lt;N$5,1,0))</f>
        <v>1</v>
      </c>
      <c r="O109" s="30">
        <f>IF(T_学生別進路[[#This Row],[合格時期]]="",0,IF(T_学生別進路[[#This Row],[合格時期]]&lt;O$5,1,0))</f>
        <v>1</v>
      </c>
      <c r="P109" s="30"/>
      <c r="Q109" s="3"/>
      <c r="R109" s="3"/>
      <c r="S109" s="3"/>
      <c r="T109" s="3"/>
      <c r="U109" s="3"/>
    </row>
    <row r="110" spans="1:21" hidden="1" x14ac:dyDescent="0.15">
      <c r="A110" s="32">
        <v>2407038</v>
      </c>
      <c r="B110" s="30" t="str">
        <f>VLOOKUP(T_学生別進路[[#This Row],[学籍番号]],進路状況入力シート!A:B,2,FALSE)</f>
        <v>2-6</v>
      </c>
      <c r="C110" s="30" t="str">
        <f>VLOOKUP(T_学生別進路[[#This Row],[学籍番号]],進路状況入力シート!A:C,3,FALSE)</f>
        <v>HOSSEN KAMAL</v>
      </c>
      <c r="D110" s="30" t="str">
        <f>IF(AND(T_学生別進路[[#This Row],[進路確定]]="○",T_学生別進路[[#This Row],[進学希望フラグ]]=1),"○","")</f>
        <v>○</v>
      </c>
      <c r="E110" s="30" t="str">
        <f>_xlfn.IFNA(RIGHT(VLOOKUP(T_学生別進路[[#This Row],[学籍番号]]&amp;"○",進路状況入力シート!K:K,1,FALSE),1),"")</f>
        <v>○</v>
      </c>
      <c r="F110" s="30">
        <f>IF(T_学生別進路[[#This Row],[進学希望フラグ]]=0,"",IF(T_学生別進路[[#This Row],[進路確定]]="○",1,0))</f>
        <v>1</v>
      </c>
      <c r="G11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0" s="30" t="str">
        <f>_xlfn.XLOOKUP(T_学生別進路[[#This Row],[学籍番号]]&amp;"○",進路状況入力シート!K:K,進路状況入力シート!D:D,"",0,1)</f>
        <v>関東自動車大学校</v>
      </c>
      <c r="I110" s="30"/>
      <c r="J110" s="31">
        <v>45962</v>
      </c>
      <c r="K110" s="30">
        <f>IF(T_学生別進路[[#This Row],[合格時期]]="",0,IF(T_学生別進路[[#This Row],[合格時期]]&lt;K$5,1,0))</f>
        <v>1</v>
      </c>
      <c r="L110" s="30">
        <f>IF(T_学生別進路[[#This Row],[合格時期]]="",0,IF(T_学生別進路[[#This Row],[合格時期]]&lt;L$5,1,0))</f>
        <v>1</v>
      </c>
      <c r="M110" s="30">
        <f>IF(T_学生別進路[[#This Row],[合格時期]]="",0,IF(T_学生別進路[[#This Row],[合格時期]]&lt;M$5,1,0))</f>
        <v>1</v>
      </c>
      <c r="N110" s="30">
        <f>IF(T_学生別進路[[#This Row],[合格時期]]="",0,IF(T_学生別進路[[#This Row],[合格時期]]&lt;N$5,1,0))</f>
        <v>1</v>
      </c>
      <c r="O110" s="30">
        <f>IF(T_学生別進路[[#This Row],[合格時期]]="",0,IF(T_学生別進路[[#This Row],[合格時期]]&lt;O$5,1,0))</f>
        <v>1</v>
      </c>
      <c r="P110" s="30"/>
      <c r="Q110" s="3"/>
      <c r="R110" s="3"/>
      <c r="S110" s="3"/>
      <c r="T110" s="3"/>
      <c r="U110" s="3"/>
    </row>
    <row r="111" spans="1:21" hidden="1" x14ac:dyDescent="0.15">
      <c r="A111" s="32">
        <v>2407041</v>
      </c>
      <c r="B111" s="30" t="str">
        <f>VLOOKUP(T_学生別進路[[#This Row],[学籍番号]],進路状況入力シート!A:B,2,FALSE)</f>
        <v>2-6</v>
      </c>
      <c r="C111" s="30" t="str">
        <f>VLOOKUP(T_学生別進路[[#This Row],[学籍番号]],進路状況入力シート!A:C,3,FALSE)</f>
        <v>MIA MD SABUZ</v>
      </c>
      <c r="D111" s="30" t="str">
        <f>IF(AND(T_学生別進路[[#This Row],[進路確定]]="○",T_学生別進路[[#This Row],[進学希望フラグ]]=1),"○","")</f>
        <v>○</v>
      </c>
      <c r="E111" s="30" t="str">
        <f>_xlfn.IFNA(RIGHT(VLOOKUP(T_学生別進路[[#This Row],[学籍番号]]&amp;"○",進路状況入力シート!K:K,1,FALSE),1),"")</f>
        <v>○</v>
      </c>
      <c r="F111" s="30">
        <f>IF(T_学生別進路[[#This Row],[進学希望フラグ]]=0,"",IF(T_学生別進路[[#This Row],[進路確定]]="○",1,0))</f>
        <v>1</v>
      </c>
      <c r="G11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1" s="30" t="str">
        <f>_xlfn.XLOOKUP(T_学生別進路[[#This Row],[学籍番号]]&amp;"○",進路状況入力シート!K:K,進路状況入力シート!D:D,"",0,1)</f>
        <v>東京工科自動車大学校</v>
      </c>
      <c r="I111" s="30"/>
      <c r="J111" s="31">
        <v>45962</v>
      </c>
      <c r="K111" s="30">
        <f>IF(T_学生別進路[[#This Row],[合格時期]]="",0,IF(T_学生別進路[[#This Row],[合格時期]]&lt;K$5,1,0))</f>
        <v>1</v>
      </c>
      <c r="L111" s="30">
        <f>IF(T_学生別進路[[#This Row],[合格時期]]="",0,IF(T_学生別進路[[#This Row],[合格時期]]&lt;L$5,1,0))</f>
        <v>1</v>
      </c>
      <c r="M111" s="30">
        <f>IF(T_学生別進路[[#This Row],[合格時期]]="",0,IF(T_学生別進路[[#This Row],[合格時期]]&lt;M$5,1,0))</f>
        <v>1</v>
      </c>
      <c r="N111" s="30">
        <f>IF(T_学生別進路[[#This Row],[合格時期]]="",0,IF(T_学生別進路[[#This Row],[合格時期]]&lt;N$5,1,0))</f>
        <v>1</v>
      </c>
      <c r="O111" s="30">
        <f>IF(T_学生別進路[[#This Row],[合格時期]]="",0,IF(T_学生別進路[[#This Row],[合格時期]]&lt;O$5,1,0))</f>
        <v>1</v>
      </c>
      <c r="P111" s="30"/>
      <c r="Q111" s="3"/>
      <c r="R111" s="3"/>
      <c r="S111" s="3"/>
      <c r="T111" s="3"/>
      <c r="U111" s="3"/>
    </row>
    <row r="112" spans="1:21" hidden="1" x14ac:dyDescent="0.15">
      <c r="A112" s="32">
        <v>2407042</v>
      </c>
      <c r="B112" s="30" t="str">
        <f>VLOOKUP(T_学生別進路[[#This Row],[学籍番号]],進路状況入力シート!A:B,2,FALSE)</f>
        <v>2-6</v>
      </c>
      <c r="C112" s="30" t="str">
        <f>VLOOKUP(T_学生別進路[[#This Row],[学籍番号]],進路状況入力シート!A:C,3,FALSE)</f>
        <v>ABDULLAH K M</v>
      </c>
      <c r="D112" s="30" t="str">
        <f>IF(AND(T_学生別進路[[#This Row],[進路確定]]="○",T_学生別進路[[#This Row],[進学希望フラグ]]=1),"○","")</f>
        <v>○</v>
      </c>
      <c r="E112" s="30" t="str">
        <f>_xlfn.IFNA(RIGHT(VLOOKUP(T_学生別進路[[#This Row],[学籍番号]]&amp;"○",進路状況入力シート!K:K,1,FALSE),1),"")</f>
        <v>○</v>
      </c>
      <c r="F112" s="30">
        <f>IF(T_学生別進路[[#This Row],[進学希望フラグ]]=0,"",IF(T_学生別進路[[#This Row],[進路確定]]="○",1,0))</f>
        <v>1</v>
      </c>
      <c r="G11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2" s="30" t="str">
        <f>_xlfn.XLOOKUP(T_学生別進路[[#This Row],[学籍番号]]&amp;"○",進路状況入力シート!K:K,進路状況入力シート!D:D,"",0,1)</f>
        <v>ICT専門学校</v>
      </c>
      <c r="I112" s="30"/>
      <c r="J112" s="31">
        <v>45962</v>
      </c>
      <c r="K112" s="30">
        <f>IF(T_学生別進路[[#This Row],[合格時期]]="",0,IF(T_学生別進路[[#This Row],[合格時期]]&lt;K$5,1,0))</f>
        <v>1</v>
      </c>
      <c r="L112" s="30">
        <f>IF(T_学生別進路[[#This Row],[合格時期]]="",0,IF(T_学生別進路[[#This Row],[合格時期]]&lt;L$5,1,0))</f>
        <v>1</v>
      </c>
      <c r="M112" s="30">
        <f>IF(T_学生別進路[[#This Row],[合格時期]]="",0,IF(T_学生別進路[[#This Row],[合格時期]]&lt;M$5,1,0))</f>
        <v>1</v>
      </c>
      <c r="N112" s="30">
        <f>IF(T_学生別進路[[#This Row],[合格時期]]="",0,IF(T_学生別進路[[#This Row],[合格時期]]&lt;N$5,1,0))</f>
        <v>1</v>
      </c>
      <c r="O112" s="30">
        <f>IF(T_学生別進路[[#This Row],[合格時期]]="",0,IF(T_学生別進路[[#This Row],[合格時期]]&lt;O$5,1,0))</f>
        <v>1</v>
      </c>
      <c r="P112" s="30"/>
      <c r="Q112" s="3"/>
      <c r="R112" s="3"/>
      <c r="S112" s="3"/>
      <c r="T112" s="3"/>
      <c r="U112" s="3"/>
    </row>
    <row r="113" spans="1:21" hidden="1" x14ac:dyDescent="0.15">
      <c r="A113" s="32">
        <v>2407067</v>
      </c>
      <c r="B113" s="30" t="str">
        <f>VLOOKUP(T_学生別進路[[#This Row],[学籍番号]],進路状況入力シート!A:B,2,FALSE)</f>
        <v>2-6</v>
      </c>
      <c r="C113" s="30" t="str">
        <f>VLOOKUP(T_学生別進路[[#This Row],[学籍番号]],進路状況入力シート!A:C,3,FALSE)</f>
        <v>BALAMI RACHINA</v>
      </c>
      <c r="D113" s="30" t="str">
        <f>IF(AND(T_学生別進路[[#This Row],[進路確定]]="○",T_学生別進路[[#This Row],[進学希望フラグ]]=1),"○","")</f>
        <v>○</v>
      </c>
      <c r="E113" s="30" t="str">
        <f>_xlfn.IFNA(RIGHT(VLOOKUP(T_学生別進路[[#This Row],[学籍番号]]&amp;"○",進路状況入力シート!K:K,1,FALSE),1),"")</f>
        <v>○</v>
      </c>
      <c r="F113" s="30">
        <f>IF(T_学生別進路[[#This Row],[進学希望フラグ]]=0,"",IF(T_学生別進路[[#This Row],[進路確定]]="○",1,0))</f>
        <v>1</v>
      </c>
      <c r="G11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3" s="30" t="str">
        <f>_xlfn.XLOOKUP(T_学生別進路[[#This Row],[学籍番号]]&amp;"○",進路状況入力シート!K:K,進路状況入力シート!D:D,"",0,1)</f>
        <v>大阪観光ビジネス学院</v>
      </c>
      <c r="I113" s="30"/>
      <c r="J113" s="31">
        <v>45962</v>
      </c>
      <c r="K113" s="30">
        <f>IF(T_学生別進路[[#This Row],[合格時期]]="",0,IF(T_学生別進路[[#This Row],[合格時期]]&lt;K$5,1,0))</f>
        <v>1</v>
      </c>
      <c r="L113" s="30">
        <f>IF(T_学生別進路[[#This Row],[合格時期]]="",0,IF(T_学生別進路[[#This Row],[合格時期]]&lt;L$5,1,0))</f>
        <v>1</v>
      </c>
      <c r="M113" s="30">
        <f>IF(T_学生別進路[[#This Row],[合格時期]]="",0,IF(T_学生別進路[[#This Row],[合格時期]]&lt;M$5,1,0))</f>
        <v>1</v>
      </c>
      <c r="N113" s="30">
        <f>IF(T_学生別進路[[#This Row],[合格時期]]="",0,IF(T_学生別進路[[#This Row],[合格時期]]&lt;N$5,1,0))</f>
        <v>1</v>
      </c>
      <c r="O113" s="30">
        <f>IF(T_学生別進路[[#This Row],[合格時期]]="",0,IF(T_学生別進路[[#This Row],[合格時期]]&lt;O$5,1,0))</f>
        <v>1</v>
      </c>
      <c r="P113" s="30"/>
      <c r="Q113" s="3"/>
      <c r="R113" s="3"/>
      <c r="S113" s="3"/>
      <c r="T113" s="3"/>
      <c r="U113" s="3"/>
    </row>
    <row r="114" spans="1:21" hidden="1" x14ac:dyDescent="0.15">
      <c r="A114" s="32">
        <v>2407075</v>
      </c>
      <c r="B114" s="30" t="str">
        <f>VLOOKUP(T_学生別進路[[#This Row],[学籍番号]],進路状況入力シート!A:B,2,FALSE)</f>
        <v>2-6</v>
      </c>
      <c r="C114" s="30" t="str">
        <f>VLOOKUP(T_学生別進路[[#This Row],[学籍番号]],進路状況入力シート!A:C,3,FALSE)</f>
        <v>DONG TAMANG USHA KUMARI</v>
      </c>
      <c r="D114" s="30" t="str">
        <f>IF(AND(T_学生別進路[[#This Row],[進路確定]]="○",T_学生別進路[[#This Row],[進学希望フラグ]]=1),"○","")</f>
        <v>○</v>
      </c>
      <c r="E114" s="30" t="str">
        <f>_xlfn.IFNA(RIGHT(VLOOKUP(T_学生別進路[[#This Row],[学籍番号]]&amp;"○",進路状況入力シート!K:K,1,FALSE),1),"")</f>
        <v>○</v>
      </c>
      <c r="F114" s="30">
        <f>IF(T_学生別進路[[#This Row],[進学希望フラグ]]=0,"",IF(T_学生別進路[[#This Row],[進路確定]]="○",1,0))</f>
        <v>1</v>
      </c>
      <c r="G11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4" s="30" t="str">
        <f>_xlfn.XLOOKUP(T_学生別進路[[#This Row],[学籍番号]]&amp;"○",進路状況入力シート!K:K,進路状況入力シート!D:D,"",0,1)</f>
        <v>東亜経理専門学校</v>
      </c>
      <c r="I114" s="30"/>
      <c r="J114" s="31">
        <v>45962</v>
      </c>
      <c r="K114" s="30">
        <f>IF(T_学生別進路[[#This Row],[合格時期]]="",0,IF(T_学生別進路[[#This Row],[合格時期]]&lt;K$5,1,0))</f>
        <v>1</v>
      </c>
      <c r="L114" s="30">
        <f>IF(T_学生別進路[[#This Row],[合格時期]]="",0,IF(T_学生別進路[[#This Row],[合格時期]]&lt;L$5,1,0))</f>
        <v>1</v>
      </c>
      <c r="M114" s="30">
        <f>IF(T_学生別進路[[#This Row],[合格時期]]="",0,IF(T_学生別進路[[#This Row],[合格時期]]&lt;M$5,1,0))</f>
        <v>1</v>
      </c>
      <c r="N114" s="30">
        <f>IF(T_学生別進路[[#This Row],[合格時期]]="",0,IF(T_学生別進路[[#This Row],[合格時期]]&lt;N$5,1,0))</f>
        <v>1</v>
      </c>
      <c r="O114" s="30">
        <f>IF(T_学生別進路[[#This Row],[合格時期]]="",0,IF(T_学生別進路[[#This Row],[合格時期]]&lt;O$5,1,0))</f>
        <v>1</v>
      </c>
      <c r="P114" s="30"/>
      <c r="Q114" s="3"/>
      <c r="R114" s="3"/>
      <c r="S114" s="3"/>
      <c r="T114" s="3"/>
      <c r="U114" s="3"/>
    </row>
    <row r="115" spans="1:21" hidden="1" x14ac:dyDescent="0.15">
      <c r="A115" s="32">
        <v>2404061</v>
      </c>
      <c r="B115" s="30" t="str">
        <f>VLOOKUP(T_学生別進路[[#This Row],[学籍番号]],進路状況入力シート!A:B,2,FALSE)</f>
        <v>2-7</v>
      </c>
      <c r="C115" s="30" t="str">
        <f>VLOOKUP(T_学生別進路[[#This Row],[学籍番号]],進路状況入力シート!A:C,3,FALSE)</f>
        <v>KABIR MD HOSSAIN</v>
      </c>
      <c r="D115" s="30" t="str">
        <f>IF(AND(T_学生別進路[[#This Row],[進路確定]]="○",T_学生別進路[[#This Row],[進学希望フラグ]]=1),"○","")</f>
        <v>○</v>
      </c>
      <c r="E115" s="30" t="str">
        <f>_xlfn.IFNA(RIGHT(VLOOKUP(T_学生別進路[[#This Row],[学籍番号]]&amp;"○",進路状況入力シート!K:K,1,FALSE),1),"")</f>
        <v>○</v>
      </c>
      <c r="F115" s="30">
        <f>IF(T_学生別進路[[#This Row],[進学希望フラグ]]=0,"",IF(T_学生別進路[[#This Row],[進路確定]]="○",1,0))</f>
        <v>1</v>
      </c>
      <c r="G11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5" s="30" t="str">
        <f>_xlfn.XLOOKUP(T_学生別進路[[#This Row],[学籍番号]]&amp;"○",進路状況入力シート!K:K,進路状況入力シート!D:D,"",0,1)</f>
        <v>プロスペラ学院ビジネス専門学校</v>
      </c>
      <c r="I115" s="39" t="s">
        <v>630</v>
      </c>
      <c r="J115" s="31">
        <v>46023</v>
      </c>
      <c r="K115" s="30">
        <f>IF(T_学生別進路[[#This Row],[合格時期]]="",0,IF(T_学生別進路[[#This Row],[合格時期]]&lt;K$5,1,0))</f>
        <v>0</v>
      </c>
      <c r="L115" s="30">
        <f>IF(T_学生別進路[[#This Row],[合格時期]]="",0,IF(T_学生別進路[[#This Row],[合格時期]]&lt;L$5,1,0))</f>
        <v>0</v>
      </c>
      <c r="M115" s="30">
        <f>IF(T_学生別進路[[#This Row],[合格時期]]="",0,IF(T_学生別進路[[#This Row],[合格時期]]&lt;M$5,1,0))</f>
        <v>1</v>
      </c>
      <c r="N115" s="30">
        <f>IF(T_学生別進路[[#This Row],[合格時期]]="",0,IF(T_学生別進路[[#This Row],[合格時期]]&lt;N$5,1,0))</f>
        <v>1</v>
      </c>
      <c r="O115" s="30">
        <f>IF(T_学生別進路[[#This Row],[合格時期]]="",0,IF(T_学生別進路[[#This Row],[合格時期]]&lt;O$5,1,0))</f>
        <v>1</v>
      </c>
      <c r="P115" s="30"/>
      <c r="Q115" s="3"/>
      <c r="R115" s="3"/>
      <c r="S115" s="3"/>
      <c r="T115" s="3"/>
      <c r="U115" s="3"/>
    </row>
    <row r="116" spans="1:21" hidden="1" x14ac:dyDescent="0.15">
      <c r="A116" s="32">
        <v>2404063</v>
      </c>
      <c r="B116" s="30" t="str">
        <f>VLOOKUP(T_学生別進路[[#This Row],[学籍番号]],進路状況入力シート!A:B,2,FALSE)</f>
        <v>2-7</v>
      </c>
      <c r="C116" s="30" t="str">
        <f>VLOOKUP(T_学生別進路[[#This Row],[学籍番号]],進路状況入力シート!A:C,3,FALSE)</f>
        <v>FOYSAL MD ATIK</v>
      </c>
      <c r="D116" s="30" t="str">
        <f>IF(AND(T_学生別進路[[#This Row],[進路確定]]="○",T_学生別進路[[#This Row],[進学希望フラグ]]=1),"○","")</f>
        <v>○</v>
      </c>
      <c r="E116" s="30" t="str">
        <f>_xlfn.IFNA(RIGHT(VLOOKUP(T_学生別進路[[#This Row],[学籍番号]]&amp;"○",進路状況入力シート!K:K,1,FALSE),1),"")</f>
        <v>○</v>
      </c>
      <c r="F116" s="30">
        <f>IF(T_学生別進路[[#This Row],[進学希望フラグ]]=0,"",IF(T_学生別進路[[#This Row],[進路確定]]="○",1,0))</f>
        <v>1</v>
      </c>
      <c r="G11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6" s="30" t="str">
        <f>_xlfn.XLOOKUP(T_学生別進路[[#This Row],[学籍番号]]&amp;"○",進路状況入力シート!K:K,進路状況入力シート!D:D,"",0,1)</f>
        <v>流通科学大学</v>
      </c>
      <c r="I116" s="30"/>
      <c r="J116" s="31">
        <v>45992</v>
      </c>
      <c r="K116" s="30">
        <f>IF(T_学生別進路[[#This Row],[合格時期]]="",0,IF(T_学生別進路[[#This Row],[合格時期]]&lt;K$5,1,0))</f>
        <v>0</v>
      </c>
      <c r="L116" s="30">
        <f>IF(T_学生別進路[[#This Row],[合格時期]]="",0,IF(T_学生別進路[[#This Row],[合格時期]]&lt;L$5,1,0))</f>
        <v>1</v>
      </c>
      <c r="M116" s="30">
        <f>IF(T_学生別進路[[#This Row],[合格時期]]="",0,IF(T_学生別進路[[#This Row],[合格時期]]&lt;M$5,1,0))</f>
        <v>1</v>
      </c>
      <c r="N116" s="30">
        <f>IF(T_学生別進路[[#This Row],[合格時期]]="",0,IF(T_学生別進路[[#This Row],[合格時期]]&lt;N$5,1,0))</f>
        <v>1</v>
      </c>
      <c r="O116" s="30">
        <f>IF(T_学生別進路[[#This Row],[合格時期]]="",0,IF(T_学生別進路[[#This Row],[合格時期]]&lt;O$5,1,0))</f>
        <v>1</v>
      </c>
      <c r="P116" s="30"/>
      <c r="Q116" s="3"/>
      <c r="R116" s="3"/>
      <c r="S116" s="3"/>
      <c r="T116" s="3"/>
      <c r="U116" s="3"/>
    </row>
    <row r="117" spans="1:21" hidden="1" x14ac:dyDescent="0.15">
      <c r="A117" s="32">
        <v>2404065</v>
      </c>
      <c r="B117" s="30" t="str">
        <f>VLOOKUP(T_学生別進路[[#This Row],[学籍番号]],進路状況入力シート!A:B,2,FALSE)</f>
        <v>2-7</v>
      </c>
      <c r="C117" s="30" t="str">
        <f>VLOOKUP(T_学生別進路[[#This Row],[学籍番号]],進路状況入力シート!A:C,3,FALSE)</f>
        <v>SHUVO MD</v>
      </c>
      <c r="D117" s="30" t="str">
        <f>IF(AND(T_学生別進路[[#This Row],[進路確定]]="○",T_学生別進路[[#This Row],[進学希望フラグ]]=1),"○","")</f>
        <v>○</v>
      </c>
      <c r="E117" s="30" t="str">
        <f>_xlfn.IFNA(RIGHT(VLOOKUP(T_学生別進路[[#This Row],[学籍番号]]&amp;"○",進路状況入力シート!K:K,1,FALSE),1),"")</f>
        <v>○</v>
      </c>
      <c r="F117" s="30">
        <f>IF(T_学生別進路[[#This Row],[進学希望フラグ]]=0,"",IF(T_学生別進路[[#This Row],[進路確定]]="○",1,0))</f>
        <v>1</v>
      </c>
      <c r="G11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7" s="30" t="str">
        <f>_xlfn.XLOOKUP(T_学生別進路[[#This Row],[学籍番号]]&amp;"○",進路状況入力シート!K:K,進路状況入力シート!D:D,"",0,1)</f>
        <v>ICT専門学校高砂校</v>
      </c>
      <c r="I117" s="30"/>
      <c r="J117" s="31">
        <v>45992</v>
      </c>
      <c r="K117" s="30">
        <f>IF(T_学生別進路[[#This Row],[合格時期]]="",0,IF(T_学生別進路[[#This Row],[合格時期]]&lt;K$5,1,0))</f>
        <v>0</v>
      </c>
      <c r="L117" s="30">
        <f>IF(T_学生別進路[[#This Row],[合格時期]]="",0,IF(T_学生別進路[[#This Row],[合格時期]]&lt;L$5,1,0))</f>
        <v>1</v>
      </c>
      <c r="M117" s="30">
        <f>IF(T_学生別進路[[#This Row],[合格時期]]="",0,IF(T_学生別進路[[#This Row],[合格時期]]&lt;M$5,1,0))</f>
        <v>1</v>
      </c>
      <c r="N117" s="30">
        <f>IF(T_学生別進路[[#This Row],[合格時期]]="",0,IF(T_学生別進路[[#This Row],[合格時期]]&lt;N$5,1,0))</f>
        <v>1</v>
      </c>
      <c r="O117" s="30">
        <f>IF(T_学生別進路[[#This Row],[合格時期]]="",0,IF(T_学生別進路[[#This Row],[合格時期]]&lt;O$5,1,0))</f>
        <v>1</v>
      </c>
      <c r="P117" s="30"/>
      <c r="Q117" s="3"/>
      <c r="R117" s="3"/>
      <c r="S117" s="3"/>
      <c r="T117" s="3"/>
      <c r="U117" s="3"/>
    </row>
    <row r="118" spans="1:21" hidden="1" x14ac:dyDescent="0.15">
      <c r="A118" s="32">
        <v>2404078</v>
      </c>
      <c r="B118" s="30" t="str">
        <f>VLOOKUP(T_学生別進路[[#This Row],[学籍番号]],進路状況入力シート!A:B,2,FALSE)</f>
        <v>2-7</v>
      </c>
      <c r="C118" s="30" t="str">
        <f>VLOOKUP(T_学生別進路[[#This Row],[学籍番号]],進路状況入力シート!A:C,3,FALSE)</f>
        <v>MD. HASIBUL HASAN</v>
      </c>
      <c r="D118" s="30" t="str">
        <f>IF(AND(T_学生別進路[[#This Row],[進路確定]]="○",T_学生別進路[[#This Row],[進学希望フラグ]]=1),"○","")</f>
        <v>○</v>
      </c>
      <c r="E118" s="30" t="str">
        <f>_xlfn.IFNA(RIGHT(VLOOKUP(T_学生別進路[[#This Row],[学籍番号]]&amp;"○",進路状況入力シート!K:K,1,FALSE),1),"")</f>
        <v>○</v>
      </c>
      <c r="F118" s="30">
        <f>IF(T_学生別進路[[#This Row],[進学希望フラグ]]=0,"",IF(T_学生別進路[[#This Row],[進路確定]]="○",1,0))</f>
        <v>1</v>
      </c>
      <c r="G11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8" s="30" t="str">
        <f>_xlfn.XLOOKUP(T_学生別進路[[#This Row],[学籍番号]]&amp;"○",進路状況入力シート!K:K,進路状況入力シート!D:D,"",0,1)</f>
        <v>中央美術学園</v>
      </c>
      <c r="I118" s="30"/>
      <c r="J118" s="31">
        <v>45992</v>
      </c>
      <c r="K118" s="30">
        <f>IF(T_学生別進路[[#This Row],[合格時期]]="",0,IF(T_学生別進路[[#This Row],[合格時期]]&lt;K$5,1,0))</f>
        <v>0</v>
      </c>
      <c r="L118" s="30">
        <f>IF(T_学生別進路[[#This Row],[合格時期]]="",0,IF(T_学生別進路[[#This Row],[合格時期]]&lt;L$5,1,0))</f>
        <v>1</v>
      </c>
      <c r="M118" s="30">
        <f>IF(T_学生別進路[[#This Row],[合格時期]]="",0,IF(T_学生別進路[[#This Row],[合格時期]]&lt;M$5,1,0))</f>
        <v>1</v>
      </c>
      <c r="N118" s="30">
        <f>IF(T_学生別進路[[#This Row],[合格時期]]="",0,IF(T_学生別進路[[#This Row],[合格時期]]&lt;N$5,1,0))</f>
        <v>1</v>
      </c>
      <c r="O118" s="30">
        <f>IF(T_学生別進路[[#This Row],[合格時期]]="",0,IF(T_学生別進路[[#This Row],[合格時期]]&lt;O$5,1,0))</f>
        <v>1</v>
      </c>
      <c r="P118" s="30"/>
      <c r="Q118" s="3"/>
      <c r="R118" s="3"/>
      <c r="S118" s="3"/>
      <c r="T118" s="3"/>
      <c r="U118" s="3"/>
    </row>
    <row r="119" spans="1:21" hidden="1" x14ac:dyDescent="0.15">
      <c r="A119" s="32">
        <v>2404090</v>
      </c>
      <c r="B119" s="30" t="str">
        <f>VLOOKUP(T_学生別進路[[#This Row],[学籍番号]],進路状況入力シート!A:B,2,FALSE)</f>
        <v>2-7</v>
      </c>
      <c r="C119" s="30" t="str">
        <f>VLOOKUP(T_学生別進路[[#This Row],[学籍番号]],進路状況入力シート!A:C,3,FALSE)</f>
        <v>EMON MD</v>
      </c>
      <c r="D119" s="30" t="str">
        <f>IF(AND(T_学生別進路[[#This Row],[進路確定]]="○",T_学生別進路[[#This Row],[進学希望フラグ]]=1),"○","")</f>
        <v>○</v>
      </c>
      <c r="E119" s="30" t="str">
        <f>_xlfn.IFNA(RIGHT(VLOOKUP(T_学生別進路[[#This Row],[学籍番号]]&amp;"○",進路状況入力シート!K:K,1,FALSE),1),"")</f>
        <v>○</v>
      </c>
      <c r="F119" s="30">
        <f>IF(T_学生別進路[[#This Row],[進学希望フラグ]]=0,"",IF(T_学生別進路[[#This Row],[進路確定]]="○",1,0))</f>
        <v>1</v>
      </c>
      <c r="G11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19" s="30" t="str">
        <f>_xlfn.XLOOKUP(T_学生別進路[[#This Row],[学籍番号]]&amp;"○",進路状況入力シート!K:K,進路状況入力シート!D:D,"",0,1)</f>
        <v>ICT専門学校</v>
      </c>
      <c r="I119" s="30"/>
      <c r="J119" s="31">
        <v>45901</v>
      </c>
      <c r="K119" s="30">
        <f>IF(T_学生別進路[[#This Row],[合格時期]]="",0,IF(T_学生別進路[[#This Row],[合格時期]]&lt;K$5,1,0))</f>
        <v>1</v>
      </c>
      <c r="L119" s="30">
        <f>IF(T_学生別進路[[#This Row],[合格時期]]="",0,IF(T_学生別進路[[#This Row],[合格時期]]&lt;L$5,1,0))</f>
        <v>1</v>
      </c>
      <c r="M119" s="30">
        <f>IF(T_学生別進路[[#This Row],[合格時期]]="",0,IF(T_学生別進路[[#This Row],[合格時期]]&lt;M$5,1,0))</f>
        <v>1</v>
      </c>
      <c r="N119" s="30">
        <f>IF(T_学生別進路[[#This Row],[合格時期]]="",0,IF(T_学生別進路[[#This Row],[合格時期]]&lt;N$5,1,0))</f>
        <v>1</v>
      </c>
      <c r="O119" s="30">
        <f>IF(T_学生別進路[[#This Row],[合格時期]]="",0,IF(T_学生別進路[[#This Row],[合格時期]]&lt;O$5,1,0))</f>
        <v>1</v>
      </c>
      <c r="P119" s="30"/>
      <c r="Q119" s="3"/>
      <c r="R119" s="3"/>
      <c r="S119" s="3"/>
      <c r="T119" s="3"/>
      <c r="U119" s="3"/>
    </row>
    <row r="120" spans="1:21" hidden="1" x14ac:dyDescent="0.15">
      <c r="A120" s="32">
        <v>2404116</v>
      </c>
      <c r="B120" s="30" t="str">
        <f>VLOOKUP(T_学生別進路[[#This Row],[学籍番号]],進路状況入力シート!A:B,2,FALSE)</f>
        <v>2-7</v>
      </c>
      <c r="C120" s="30" t="str">
        <f>VLOOKUP(T_学生別進路[[#This Row],[学籍番号]],進路状況入力シート!A:C,3,FALSE)</f>
        <v>MD. ARIFUL ISLAM</v>
      </c>
      <c r="D120" s="30" t="str">
        <f>IF(AND(T_学生別進路[[#This Row],[進路確定]]="○",T_学生別進路[[#This Row],[進学希望フラグ]]=1),"○","")</f>
        <v>○</v>
      </c>
      <c r="E120" s="30" t="str">
        <f>_xlfn.IFNA(RIGHT(VLOOKUP(T_学生別進路[[#This Row],[学籍番号]]&amp;"○",進路状況入力シート!K:K,1,FALSE),1),"")</f>
        <v>○</v>
      </c>
      <c r="F120" s="30">
        <f>IF(T_学生別進路[[#This Row],[進学希望フラグ]]=0,"",IF(T_学生別進路[[#This Row],[進路確定]]="○",1,0))</f>
        <v>1</v>
      </c>
      <c r="G12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0" s="30" t="str">
        <f>_xlfn.XLOOKUP(T_学生別進路[[#This Row],[学籍番号]]&amp;"○",進路状況入力シート!K:K,進路状況入力シート!D:D,"",0,1)</f>
        <v>ICT専門学校</v>
      </c>
      <c r="I120" s="30"/>
      <c r="J120" s="31">
        <v>45901</v>
      </c>
      <c r="K120" s="30">
        <f>IF(T_学生別進路[[#This Row],[合格時期]]="",0,IF(T_学生別進路[[#This Row],[合格時期]]&lt;K$5,1,0))</f>
        <v>1</v>
      </c>
      <c r="L120" s="30">
        <f>IF(T_学生別進路[[#This Row],[合格時期]]="",0,IF(T_学生別進路[[#This Row],[合格時期]]&lt;L$5,1,0))</f>
        <v>1</v>
      </c>
      <c r="M120" s="30">
        <f>IF(T_学生別進路[[#This Row],[合格時期]]="",0,IF(T_学生別進路[[#This Row],[合格時期]]&lt;M$5,1,0))</f>
        <v>1</v>
      </c>
      <c r="N120" s="30">
        <f>IF(T_学生別進路[[#This Row],[合格時期]]="",0,IF(T_学生別進路[[#This Row],[合格時期]]&lt;N$5,1,0))</f>
        <v>1</v>
      </c>
      <c r="O120" s="30">
        <f>IF(T_学生別進路[[#This Row],[合格時期]]="",0,IF(T_学生別進路[[#This Row],[合格時期]]&lt;O$5,1,0))</f>
        <v>1</v>
      </c>
      <c r="P120" s="30"/>
      <c r="Q120" s="3"/>
      <c r="R120" s="3"/>
      <c r="S120" s="3"/>
      <c r="T120" s="3"/>
      <c r="U120" s="3"/>
    </row>
    <row r="121" spans="1:21" hidden="1" x14ac:dyDescent="0.15">
      <c r="A121" s="32">
        <v>2404128</v>
      </c>
      <c r="B121" s="30" t="str">
        <f>VLOOKUP(T_学生別進路[[#This Row],[学籍番号]],進路状況入力シート!A:B,2,FALSE)</f>
        <v>2-7</v>
      </c>
      <c r="C121" s="30" t="str">
        <f>VLOOKUP(T_学生別進路[[#This Row],[学籍番号]],進路状況入力シート!A:C,3,FALSE)</f>
        <v>RAHMAN MD ANISOR</v>
      </c>
      <c r="D121" s="30" t="str">
        <f>IF(AND(T_学生別進路[[#This Row],[進路確定]]="○",T_学生別進路[[#This Row],[進学希望フラグ]]=1),"○","")</f>
        <v>○</v>
      </c>
      <c r="E121" s="30" t="str">
        <f>_xlfn.IFNA(RIGHT(VLOOKUP(T_学生別進路[[#This Row],[学籍番号]]&amp;"○",進路状況入力シート!K:K,1,FALSE),1),"")</f>
        <v>○</v>
      </c>
      <c r="F121" s="30">
        <f>IF(T_学生別進路[[#This Row],[進学希望フラグ]]=0,"",IF(T_学生別進路[[#This Row],[進路確定]]="○",1,0))</f>
        <v>1</v>
      </c>
      <c r="G12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1" s="30" t="str">
        <f>_xlfn.XLOOKUP(T_学生別進路[[#This Row],[学籍番号]]&amp;"○",進路状況入力シート!K:K,進路状況入力シート!D:D,"",0,1)</f>
        <v>ICT専門学校</v>
      </c>
      <c r="I121" s="30"/>
      <c r="J121" s="31">
        <v>45962</v>
      </c>
      <c r="K121" s="30">
        <f>IF(T_学生別進路[[#This Row],[合格時期]]="",0,IF(T_学生別進路[[#This Row],[合格時期]]&lt;K$5,1,0))</f>
        <v>1</v>
      </c>
      <c r="L121" s="30">
        <f>IF(T_学生別進路[[#This Row],[合格時期]]="",0,IF(T_学生別進路[[#This Row],[合格時期]]&lt;L$5,1,0))</f>
        <v>1</v>
      </c>
      <c r="M121" s="30">
        <f>IF(T_学生別進路[[#This Row],[合格時期]]="",0,IF(T_学生別進路[[#This Row],[合格時期]]&lt;M$5,1,0))</f>
        <v>1</v>
      </c>
      <c r="N121" s="30">
        <f>IF(T_学生別進路[[#This Row],[合格時期]]="",0,IF(T_学生別進路[[#This Row],[合格時期]]&lt;N$5,1,0))</f>
        <v>1</v>
      </c>
      <c r="O121" s="30">
        <f>IF(T_学生別進路[[#This Row],[合格時期]]="",0,IF(T_学生別進路[[#This Row],[合格時期]]&lt;O$5,1,0))</f>
        <v>1</v>
      </c>
      <c r="P121" s="30"/>
      <c r="Q121" s="3"/>
      <c r="R121" s="3"/>
      <c r="S121" s="3"/>
      <c r="T121" s="3"/>
      <c r="U121" s="3"/>
    </row>
    <row r="122" spans="1:21" hidden="1" x14ac:dyDescent="0.15">
      <c r="A122" s="32">
        <v>2407005</v>
      </c>
      <c r="B122" s="30" t="str">
        <f>VLOOKUP(T_学生別進路[[#This Row],[学籍番号]],進路状況入力シート!A:B,2,FALSE)</f>
        <v>2-7</v>
      </c>
      <c r="C122" s="30" t="str">
        <f>VLOOKUP(T_学生別進路[[#This Row],[学籍番号]],進路状況入力シート!A:C,3,FALSE)</f>
        <v>AILIFEILA AIKEBAIER</v>
      </c>
      <c r="D122" s="30" t="str">
        <f>IF(AND(T_学生別進路[[#This Row],[進路確定]]="○",T_学生別進路[[#This Row],[進学希望フラグ]]=1),"○","")</f>
        <v>○</v>
      </c>
      <c r="E122" s="30" t="str">
        <f>_xlfn.IFNA(RIGHT(VLOOKUP(T_学生別進路[[#This Row],[学籍番号]]&amp;"○",進路状況入力シート!K:K,1,FALSE),1),"")</f>
        <v>○</v>
      </c>
      <c r="F122" s="30">
        <f>IF(T_学生別進路[[#This Row],[進学希望フラグ]]=0,"",IF(T_学生別進路[[#This Row],[進路確定]]="○",1,0))</f>
        <v>1</v>
      </c>
      <c r="G12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2" s="30" t="str">
        <f>_xlfn.XLOOKUP(T_学生別進路[[#This Row],[学籍番号]]&amp;"○",進路状況入力シート!K:K,進路状況入力シート!D:D,"",0,1)</f>
        <v>千葉大学研究生</v>
      </c>
      <c r="I122" s="39" t="s">
        <v>626</v>
      </c>
      <c r="J122" s="31">
        <v>46054</v>
      </c>
      <c r="K122" s="30">
        <f>IF(T_学生別進路[[#This Row],[合格時期]]="",0,IF(T_学生別進路[[#This Row],[合格時期]]&lt;K$5,1,0))</f>
        <v>0</v>
      </c>
      <c r="L122" s="30">
        <f>IF(T_学生別進路[[#This Row],[合格時期]]="",0,IF(T_学生別進路[[#This Row],[合格時期]]&lt;L$5,1,0))</f>
        <v>0</v>
      </c>
      <c r="M122" s="30">
        <f>IF(T_学生別進路[[#This Row],[合格時期]]="",0,IF(T_学生別進路[[#This Row],[合格時期]]&lt;M$5,1,0))</f>
        <v>0</v>
      </c>
      <c r="N122" s="30">
        <f>IF(T_学生別進路[[#This Row],[合格時期]]="",0,IF(T_学生別進路[[#This Row],[合格時期]]&lt;N$5,1,0))</f>
        <v>1</v>
      </c>
      <c r="O122" s="30">
        <f>IF(T_学生別進路[[#This Row],[合格時期]]="",0,IF(T_学生別進路[[#This Row],[合格時期]]&lt;O$5,1,0))</f>
        <v>1</v>
      </c>
      <c r="P122" s="30"/>
      <c r="Q122" s="3"/>
      <c r="R122" s="3"/>
      <c r="S122" s="3"/>
      <c r="T122" s="3"/>
      <c r="U122" s="3"/>
    </row>
    <row r="123" spans="1:21" hidden="1" x14ac:dyDescent="0.15">
      <c r="A123" s="32">
        <v>2407030</v>
      </c>
      <c r="B123" s="30" t="str">
        <f>VLOOKUP(T_学生別進路[[#This Row],[学籍番号]],進路状況入力シート!A:B,2,FALSE)</f>
        <v>2-7</v>
      </c>
      <c r="C123" s="30" t="str">
        <f>VLOOKUP(T_学生別進路[[#This Row],[学籍番号]],進路状況入力シート!A:C,3,FALSE)</f>
        <v>KAY KHING LIN</v>
      </c>
      <c r="D123" s="30" t="str">
        <f>IF(AND(T_学生別進路[[#This Row],[進路確定]]="○",T_学生別進路[[#This Row],[進学希望フラグ]]=1),"○","")</f>
        <v>○</v>
      </c>
      <c r="E123" s="30" t="str">
        <f>_xlfn.IFNA(RIGHT(VLOOKUP(T_学生別進路[[#This Row],[学籍番号]]&amp;"○",進路状況入力シート!K:K,1,FALSE),1),"")</f>
        <v>○</v>
      </c>
      <c r="F123" s="30">
        <f>IF(T_学生別進路[[#This Row],[進学希望フラグ]]=0,"",IF(T_学生別進路[[#This Row],[進路確定]]="○",1,0))</f>
        <v>1</v>
      </c>
      <c r="G12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3" s="30" t="str">
        <f>_xlfn.XLOOKUP(T_学生別進路[[#This Row],[学籍番号]]&amp;"○",進路状況入力シート!K:K,進路状況入力シート!D:D,"",0,1)</f>
        <v>ECC国際外語専門学校</v>
      </c>
      <c r="I123" s="30"/>
      <c r="J123" s="31">
        <v>45931</v>
      </c>
      <c r="K123" s="30">
        <f>IF(T_学生別進路[[#This Row],[合格時期]]="",0,IF(T_学生別進路[[#This Row],[合格時期]]&lt;K$5,1,0))</f>
        <v>1</v>
      </c>
      <c r="L123" s="30">
        <f>IF(T_学生別進路[[#This Row],[合格時期]]="",0,IF(T_学生別進路[[#This Row],[合格時期]]&lt;L$5,1,0))</f>
        <v>1</v>
      </c>
      <c r="M123" s="30">
        <f>IF(T_学生別進路[[#This Row],[合格時期]]="",0,IF(T_学生別進路[[#This Row],[合格時期]]&lt;M$5,1,0))</f>
        <v>1</v>
      </c>
      <c r="N123" s="30">
        <f>IF(T_学生別進路[[#This Row],[合格時期]]="",0,IF(T_学生別進路[[#This Row],[合格時期]]&lt;N$5,1,0))</f>
        <v>1</v>
      </c>
      <c r="O123" s="30">
        <f>IF(T_学生別進路[[#This Row],[合格時期]]="",0,IF(T_学生別進路[[#This Row],[合格時期]]&lt;O$5,1,0))</f>
        <v>1</v>
      </c>
      <c r="P123" s="30"/>
      <c r="Q123" s="3"/>
      <c r="R123" s="3"/>
      <c r="S123" s="3"/>
      <c r="T123" s="3"/>
      <c r="U123" s="3"/>
    </row>
    <row r="124" spans="1:21" hidden="1" x14ac:dyDescent="0.15">
      <c r="A124" s="32">
        <v>2407040</v>
      </c>
      <c r="B124" s="30" t="str">
        <f>VLOOKUP(T_学生別進路[[#This Row],[学籍番号]],進路状況入力シート!A:B,2,FALSE)</f>
        <v>2-7</v>
      </c>
      <c r="C124" s="30" t="str">
        <f>VLOOKUP(T_学生別進路[[#This Row],[学籍番号]],進路状況入力シート!A:C,3,FALSE)</f>
        <v>AKTER MST SAMIA</v>
      </c>
      <c r="D124" s="30" t="str">
        <f>IF(AND(T_学生別進路[[#This Row],[進路確定]]="○",T_学生別進路[[#This Row],[進学希望フラグ]]=1),"○","")</f>
        <v>○</v>
      </c>
      <c r="E124" s="30" t="str">
        <f>_xlfn.IFNA(RIGHT(VLOOKUP(T_学生別進路[[#This Row],[学籍番号]]&amp;"○",進路状況入力シート!K:K,1,FALSE),1),"")</f>
        <v>○</v>
      </c>
      <c r="F124" s="30">
        <f>IF(T_学生別進路[[#This Row],[進学希望フラグ]]=0,"",IF(T_学生別進路[[#This Row],[進路確定]]="○",1,0))</f>
        <v>1</v>
      </c>
      <c r="G12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4" s="30" t="str">
        <f>_xlfn.XLOOKUP(T_学生別進路[[#This Row],[学籍番号]]&amp;"○",進路状況入力シート!K:K,進路状況入力シート!D:D,"",0,1)</f>
        <v>関西国際旅行・ホテル専門学校</v>
      </c>
      <c r="I124" s="30"/>
      <c r="J124" s="31">
        <v>45931</v>
      </c>
      <c r="K124" s="30">
        <f>IF(T_学生別進路[[#This Row],[合格時期]]="",0,IF(T_学生別進路[[#This Row],[合格時期]]&lt;K$5,1,0))</f>
        <v>1</v>
      </c>
      <c r="L124" s="30">
        <f>IF(T_学生別進路[[#This Row],[合格時期]]="",0,IF(T_学生別進路[[#This Row],[合格時期]]&lt;L$5,1,0))</f>
        <v>1</v>
      </c>
      <c r="M124" s="30">
        <f>IF(T_学生別進路[[#This Row],[合格時期]]="",0,IF(T_学生別進路[[#This Row],[合格時期]]&lt;M$5,1,0))</f>
        <v>1</v>
      </c>
      <c r="N124" s="30">
        <f>IF(T_学生別進路[[#This Row],[合格時期]]="",0,IF(T_学生別進路[[#This Row],[合格時期]]&lt;N$5,1,0))</f>
        <v>1</v>
      </c>
      <c r="O124" s="30">
        <f>IF(T_学生別進路[[#This Row],[合格時期]]="",0,IF(T_学生別進路[[#This Row],[合格時期]]&lt;O$5,1,0))</f>
        <v>1</v>
      </c>
      <c r="P124" s="30"/>
      <c r="Q124" s="3"/>
      <c r="R124" s="3"/>
      <c r="S124" s="3"/>
      <c r="T124" s="3"/>
      <c r="U124" s="3"/>
    </row>
    <row r="125" spans="1:21" hidden="1" x14ac:dyDescent="0.15">
      <c r="A125" s="32">
        <v>2407047</v>
      </c>
      <c r="B125" s="30" t="str">
        <f>VLOOKUP(T_学生別進路[[#This Row],[学籍番号]],進路状況入力シート!A:B,2,FALSE)</f>
        <v>2-7</v>
      </c>
      <c r="C125" s="30" t="str">
        <f>VLOOKUP(T_学生別進路[[#This Row],[学籍番号]],進路状況入力シート!A:C,3,FALSE)</f>
        <v>SAHA SARAN</v>
      </c>
      <c r="D125" s="30" t="str">
        <f>IF(AND(T_学生別進路[[#This Row],[進路確定]]="○",T_学生別進路[[#This Row],[進学希望フラグ]]=1),"○","")</f>
        <v>○</v>
      </c>
      <c r="E125" s="30" t="str">
        <f>_xlfn.IFNA(RIGHT(VLOOKUP(T_学生別進路[[#This Row],[学籍番号]]&amp;"○",進路状況入力シート!K:K,1,FALSE),1),"")</f>
        <v>○</v>
      </c>
      <c r="F125" s="30">
        <f>IF(T_学生別進路[[#This Row],[進学希望フラグ]]=0,"",IF(T_学生別進路[[#This Row],[進路確定]]="○",1,0))</f>
        <v>1</v>
      </c>
      <c r="G12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5" s="30" t="str">
        <f>_xlfn.XLOOKUP(T_学生別進路[[#This Row],[学籍番号]]&amp;"○",進路状況入力シート!K:K,進路状況入力シート!D:D,"",0,1)</f>
        <v>神戸国際大学</v>
      </c>
      <c r="I125" s="39" t="s">
        <v>626</v>
      </c>
      <c r="J125" s="31">
        <v>45992</v>
      </c>
      <c r="K125" s="30">
        <f>IF(T_学生別進路[[#This Row],[合格時期]]="",0,IF(T_学生別進路[[#This Row],[合格時期]]&lt;K$5,1,0))</f>
        <v>0</v>
      </c>
      <c r="L125" s="30">
        <f>IF(T_学生別進路[[#This Row],[合格時期]]="",0,IF(T_学生別進路[[#This Row],[合格時期]]&lt;L$5,1,0))</f>
        <v>1</v>
      </c>
      <c r="M125" s="30">
        <f>IF(T_学生別進路[[#This Row],[合格時期]]="",0,IF(T_学生別進路[[#This Row],[合格時期]]&lt;M$5,1,0))</f>
        <v>1</v>
      </c>
      <c r="N125" s="30">
        <f>IF(T_学生別進路[[#This Row],[合格時期]]="",0,IF(T_学生別進路[[#This Row],[合格時期]]&lt;N$5,1,0))</f>
        <v>1</v>
      </c>
      <c r="O125" s="30">
        <f>IF(T_学生別進路[[#This Row],[合格時期]]="",0,IF(T_学生別進路[[#This Row],[合格時期]]&lt;O$5,1,0))</f>
        <v>1</v>
      </c>
      <c r="P125" s="30"/>
      <c r="Q125" s="3"/>
      <c r="R125" s="3"/>
      <c r="S125" s="3"/>
      <c r="T125" s="3"/>
      <c r="U125" s="3"/>
    </row>
    <row r="126" spans="1:21" hidden="1" x14ac:dyDescent="0.15">
      <c r="A126" s="32">
        <v>2407048</v>
      </c>
      <c r="B126" s="30" t="str">
        <f>VLOOKUP(T_学生別進路[[#This Row],[学籍番号]],進路状況入力シート!A:B,2,FALSE)</f>
        <v>2-7</v>
      </c>
      <c r="C126" s="30" t="str">
        <f>VLOOKUP(T_学生別進路[[#This Row],[学籍番号]],進路状況入力シート!A:C,3,FALSE)</f>
        <v>HASAN MD RAKIBUL</v>
      </c>
      <c r="D126" s="30" t="str">
        <f>IF(AND(T_学生別進路[[#This Row],[進路確定]]="○",T_学生別進路[[#This Row],[進学希望フラグ]]=1),"○","")</f>
        <v>○</v>
      </c>
      <c r="E126" s="30" t="str">
        <f>_xlfn.IFNA(RIGHT(VLOOKUP(T_学生別進路[[#This Row],[学籍番号]]&amp;"○",進路状況入力シート!K:K,1,FALSE),1),"")</f>
        <v>○</v>
      </c>
      <c r="F126" s="30">
        <f>IF(T_学生別進路[[#This Row],[進学希望フラグ]]=0,"",IF(T_学生別進路[[#This Row],[進路確定]]="○",1,0))</f>
        <v>1</v>
      </c>
      <c r="G12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6" s="30" t="str">
        <f>_xlfn.XLOOKUP(T_学生別進路[[#This Row],[学籍番号]]&amp;"○",進路状況入力シート!K:K,進路状況入力シート!D:D,"",0,1)</f>
        <v>流通科学大学</v>
      </c>
      <c r="I126" s="30"/>
      <c r="J126" s="31">
        <v>45962</v>
      </c>
      <c r="K126" s="30">
        <f>IF(T_学生別進路[[#This Row],[合格時期]]="",0,IF(T_学生別進路[[#This Row],[合格時期]]&lt;K$5,1,0))</f>
        <v>1</v>
      </c>
      <c r="L126" s="30">
        <f>IF(T_学生別進路[[#This Row],[合格時期]]="",0,IF(T_学生別進路[[#This Row],[合格時期]]&lt;L$5,1,0))</f>
        <v>1</v>
      </c>
      <c r="M126" s="30">
        <f>IF(T_学生別進路[[#This Row],[合格時期]]="",0,IF(T_学生別進路[[#This Row],[合格時期]]&lt;M$5,1,0))</f>
        <v>1</v>
      </c>
      <c r="N126" s="30">
        <f>IF(T_学生別進路[[#This Row],[合格時期]]="",0,IF(T_学生別進路[[#This Row],[合格時期]]&lt;N$5,1,0))</f>
        <v>1</v>
      </c>
      <c r="O126" s="30">
        <f>IF(T_学生別進路[[#This Row],[合格時期]]="",0,IF(T_学生別進路[[#This Row],[合格時期]]&lt;O$5,1,0))</f>
        <v>1</v>
      </c>
      <c r="P126" s="30"/>
      <c r="Q126" s="3"/>
      <c r="R126" s="3"/>
      <c r="S126" s="3"/>
      <c r="T126" s="3"/>
      <c r="U126" s="3"/>
    </row>
    <row r="127" spans="1:21" hidden="1" x14ac:dyDescent="0.15">
      <c r="A127" s="32">
        <v>2407052</v>
      </c>
      <c r="B127" s="30" t="str">
        <f>VLOOKUP(T_学生別進路[[#This Row],[学籍番号]],進路状況入力シート!A:B,2,FALSE)</f>
        <v>2-7</v>
      </c>
      <c r="C127" s="30" t="str">
        <f>VLOOKUP(T_学生別進路[[#This Row],[学籍番号]],進路状況入力シート!A:C,3,FALSE)</f>
        <v>HAQUE MD ISMAIL</v>
      </c>
      <c r="D127" s="30" t="str">
        <f>IF(AND(T_学生別進路[[#This Row],[進路確定]]="○",T_学生別進路[[#This Row],[進学希望フラグ]]=1),"○","")</f>
        <v>○</v>
      </c>
      <c r="E127" s="30" t="str">
        <f>_xlfn.IFNA(RIGHT(VLOOKUP(T_学生別進路[[#This Row],[学籍番号]]&amp;"○",進路状況入力シート!K:K,1,FALSE),1),"")</f>
        <v>○</v>
      </c>
      <c r="F127" s="30">
        <f>IF(T_学生別進路[[#This Row],[進学希望フラグ]]=0,"",IF(T_学生別進路[[#This Row],[進路確定]]="○",1,0))</f>
        <v>1</v>
      </c>
      <c r="G12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7" s="30" t="str">
        <f>_xlfn.XLOOKUP(T_学生別進路[[#This Row],[学籍番号]]&amp;"○",進路状況入力シート!K:K,進路状況入力シート!D:D,"",0,1)</f>
        <v>九州ビジネス専門学校</v>
      </c>
      <c r="I127" s="39" t="s">
        <v>626</v>
      </c>
      <c r="J127" s="31">
        <v>45992</v>
      </c>
      <c r="K127" s="30">
        <f>IF(T_学生別進路[[#This Row],[合格時期]]="",0,IF(T_学生別進路[[#This Row],[合格時期]]&lt;K$5,1,0))</f>
        <v>0</v>
      </c>
      <c r="L127" s="30">
        <f>IF(T_学生別進路[[#This Row],[合格時期]]="",0,IF(T_学生別進路[[#This Row],[合格時期]]&lt;L$5,1,0))</f>
        <v>1</v>
      </c>
      <c r="M127" s="30">
        <f>IF(T_学生別進路[[#This Row],[合格時期]]="",0,IF(T_学生別進路[[#This Row],[合格時期]]&lt;M$5,1,0))</f>
        <v>1</v>
      </c>
      <c r="N127" s="30">
        <f>IF(T_学生別進路[[#This Row],[合格時期]]="",0,IF(T_学生別進路[[#This Row],[合格時期]]&lt;N$5,1,0))</f>
        <v>1</v>
      </c>
      <c r="O127" s="30">
        <f>IF(T_学生別進路[[#This Row],[合格時期]]="",0,IF(T_学生別進路[[#This Row],[合格時期]]&lt;O$5,1,0))</f>
        <v>1</v>
      </c>
      <c r="P127" s="30"/>
      <c r="Q127" s="3"/>
      <c r="R127" s="3"/>
      <c r="S127" s="3"/>
      <c r="T127" s="3"/>
      <c r="U127" s="3"/>
    </row>
    <row r="128" spans="1:21" hidden="1" x14ac:dyDescent="0.15">
      <c r="A128" s="32">
        <v>2407053</v>
      </c>
      <c r="B128" s="30" t="str">
        <f>VLOOKUP(T_学生別進路[[#This Row],[学籍番号]],進路状況入力シート!A:B,2,FALSE)</f>
        <v>2-7</v>
      </c>
      <c r="C128" s="30" t="str">
        <f>VLOOKUP(T_学生別進路[[#This Row],[学籍番号]],進路状況入力シート!A:C,3,FALSE)</f>
        <v>ALI MD ABBAS</v>
      </c>
      <c r="D128" s="30" t="str">
        <f>IF(AND(T_学生別進路[[#This Row],[進路確定]]="○",T_学生別進路[[#This Row],[進学希望フラグ]]=1),"○","")</f>
        <v>○</v>
      </c>
      <c r="E128" s="30" t="str">
        <f>_xlfn.IFNA(RIGHT(VLOOKUP(T_学生別進路[[#This Row],[学籍番号]]&amp;"○",進路状況入力シート!K:K,1,FALSE),1),"")</f>
        <v>○</v>
      </c>
      <c r="F128" s="30">
        <f>IF(T_学生別進路[[#This Row],[進学希望フラグ]]=0,"",IF(T_学生別進路[[#This Row],[進路確定]]="○",1,0))</f>
        <v>1</v>
      </c>
      <c r="G12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28" s="30" t="str">
        <f>_xlfn.XLOOKUP(T_学生別進路[[#This Row],[学籍番号]]&amp;"○",進路状況入力シート!K:K,進路状況入力シート!D:D,"",0,1)</f>
        <v>九州ビジネス専門学校</v>
      </c>
      <c r="I128" s="39" t="s">
        <v>627</v>
      </c>
      <c r="J128" s="31">
        <v>46023</v>
      </c>
      <c r="K128" s="30">
        <f>IF(T_学生別進路[[#This Row],[合格時期]]="",0,IF(T_学生別進路[[#This Row],[合格時期]]&lt;K$5,1,0))</f>
        <v>0</v>
      </c>
      <c r="L128" s="30">
        <f>IF(T_学生別進路[[#This Row],[合格時期]]="",0,IF(T_学生別進路[[#This Row],[合格時期]]&lt;L$5,1,0))</f>
        <v>0</v>
      </c>
      <c r="M128" s="30">
        <f>IF(T_学生別進路[[#This Row],[合格時期]]="",0,IF(T_学生別進路[[#This Row],[合格時期]]&lt;M$5,1,0))</f>
        <v>1</v>
      </c>
      <c r="N128" s="30">
        <f>IF(T_学生別進路[[#This Row],[合格時期]]="",0,IF(T_学生別進路[[#This Row],[合格時期]]&lt;N$5,1,0))</f>
        <v>1</v>
      </c>
      <c r="O128" s="30">
        <f>IF(T_学生別進路[[#This Row],[合格時期]]="",0,IF(T_学生別進路[[#This Row],[合格時期]]&lt;O$5,1,0))</f>
        <v>1</v>
      </c>
      <c r="P128" s="30"/>
      <c r="Q128" s="3"/>
      <c r="R128" s="3"/>
      <c r="S128" s="3"/>
      <c r="T128" s="3"/>
      <c r="U128" s="3"/>
    </row>
    <row r="129" spans="1:21" x14ac:dyDescent="0.15">
      <c r="A129" s="32">
        <v>2407055</v>
      </c>
      <c r="B129" s="30" t="str">
        <f>VLOOKUP(T_学生別進路[[#This Row],[学籍番号]],進路状況入力シート!A:B,2,FALSE)</f>
        <v>2-7</v>
      </c>
      <c r="C129" s="49" t="str">
        <f>VLOOKUP(T_学生別進路[[#This Row],[学籍番号]],進路状況入力シート!A:C,3,FALSE)</f>
        <v>ALI MD SAGOR</v>
      </c>
      <c r="D129" s="30" t="str">
        <f>IF(AND(T_学生別進路[[#This Row],[進路確定]]="○",T_学生別進路[[#This Row],[進学希望フラグ]]=1),"○","")</f>
        <v/>
      </c>
      <c r="E129" s="30" t="str">
        <f>_xlfn.IFNA(RIGHT(VLOOKUP(T_学生別進路[[#This Row],[学籍番号]]&amp;"○",進路状況入力シート!K:K,1,FALSE),1),"")</f>
        <v/>
      </c>
      <c r="F129" s="30" t="str">
        <f>IF(T_学生別進路[[#This Row],[進学希望フラグ]]=0,"",IF(T_学生別進路[[#This Row],[進路確定]]="○",1,0))</f>
        <v/>
      </c>
      <c r="G12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129" s="30" t="str">
        <f>_xlfn.XLOOKUP(T_学生別進路[[#This Row],[学籍番号]]&amp;"○",進路状況入力シート!K:K,進路状況入力シート!D:D,"",0,1)</f>
        <v/>
      </c>
      <c r="I129" s="39" t="s">
        <v>626</v>
      </c>
      <c r="J129" s="31">
        <v>45992</v>
      </c>
      <c r="K129" s="30">
        <f>IF(T_学生別進路[[#This Row],[合格時期]]="",0,IF(T_学生別進路[[#This Row],[合格時期]]&lt;K$5,1,0))</f>
        <v>0</v>
      </c>
      <c r="L129" s="30">
        <f>IF(T_学生別進路[[#This Row],[合格時期]]="",0,IF(T_学生別進路[[#This Row],[合格時期]]&lt;L$5,1,0))</f>
        <v>1</v>
      </c>
      <c r="M129" s="30">
        <f>IF(T_学生別進路[[#This Row],[合格時期]]="",0,IF(T_学生別進路[[#This Row],[合格時期]]&lt;M$5,1,0))</f>
        <v>1</v>
      </c>
      <c r="N129" s="30">
        <f>IF(T_学生別進路[[#This Row],[合格時期]]="",0,IF(T_学生別進路[[#This Row],[合格時期]]&lt;N$5,1,0))</f>
        <v>1</v>
      </c>
      <c r="O129" s="30">
        <f>IF(T_学生別進路[[#This Row],[合格時期]]="",0,IF(T_学生別進路[[#This Row],[合格時期]]&lt;O$5,1,0))</f>
        <v>1</v>
      </c>
      <c r="P129" s="30"/>
      <c r="Q129" s="3"/>
      <c r="R129" s="3"/>
      <c r="S129" s="3"/>
      <c r="T129" s="3"/>
      <c r="U129" s="3"/>
    </row>
    <row r="130" spans="1:21" hidden="1" x14ac:dyDescent="0.15">
      <c r="A130" s="32">
        <v>2407056</v>
      </c>
      <c r="B130" s="30" t="str">
        <f>VLOOKUP(T_学生別進路[[#This Row],[学籍番号]],進路状況入力シート!A:B,2,FALSE)</f>
        <v>2-7</v>
      </c>
      <c r="C130" s="30" t="str">
        <f>VLOOKUP(T_学生別進路[[#This Row],[学籍番号]],進路状況入力シート!A:C,3,FALSE)</f>
        <v>MIYAJI JABED HOSEN SHISHIR</v>
      </c>
      <c r="D130" s="30" t="str">
        <f>IF(AND(T_学生別進路[[#This Row],[進路確定]]="○",T_学生別進路[[#This Row],[進学希望フラグ]]=1),"○","")</f>
        <v>○</v>
      </c>
      <c r="E130" s="30" t="str">
        <f>_xlfn.IFNA(RIGHT(VLOOKUP(T_学生別進路[[#This Row],[学籍番号]]&amp;"○",進路状況入力シート!K:K,1,FALSE),1),"")</f>
        <v>○</v>
      </c>
      <c r="F130" s="30">
        <f>IF(T_学生別進路[[#This Row],[進学希望フラグ]]=0,"",IF(T_学生別進路[[#This Row],[進路確定]]="○",1,0))</f>
        <v>1</v>
      </c>
      <c r="G13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0" s="30" t="str">
        <f>_xlfn.XLOOKUP(T_学生別進路[[#This Row],[学籍番号]]&amp;"○",進路状況入力シート!K:K,進路状況入力シート!D:D,"",0,1)</f>
        <v>東京工科自動車大学校中野校</v>
      </c>
      <c r="I130" s="30"/>
      <c r="J130" s="31">
        <v>45870</v>
      </c>
      <c r="K130" s="30">
        <f>IF(T_学生別進路[[#This Row],[合格時期]]="",0,IF(T_学生別進路[[#This Row],[合格時期]]&lt;K$5,1,0))</f>
        <v>1</v>
      </c>
      <c r="L130" s="30">
        <f>IF(T_学生別進路[[#This Row],[合格時期]]="",0,IF(T_学生別進路[[#This Row],[合格時期]]&lt;L$5,1,0))</f>
        <v>1</v>
      </c>
      <c r="M130" s="30">
        <f>IF(T_学生別進路[[#This Row],[合格時期]]="",0,IF(T_学生別進路[[#This Row],[合格時期]]&lt;M$5,1,0))</f>
        <v>1</v>
      </c>
      <c r="N130" s="30">
        <f>IF(T_学生別進路[[#This Row],[合格時期]]="",0,IF(T_学生別進路[[#This Row],[合格時期]]&lt;N$5,1,0))</f>
        <v>1</v>
      </c>
      <c r="O130" s="30">
        <f>IF(T_学生別進路[[#This Row],[合格時期]]="",0,IF(T_学生別進路[[#This Row],[合格時期]]&lt;O$5,1,0))</f>
        <v>1</v>
      </c>
      <c r="P130" s="30"/>
      <c r="Q130" s="3"/>
      <c r="R130" s="3"/>
      <c r="S130" s="3"/>
      <c r="T130" s="3"/>
      <c r="U130" s="3"/>
    </row>
    <row r="131" spans="1:21" hidden="1" x14ac:dyDescent="0.15">
      <c r="A131" s="32">
        <v>2407062</v>
      </c>
      <c r="B131" s="30" t="str">
        <f>VLOOKUP(T_学生別進路[[#This Row],[学籍番号]],進路状況入力シート!A:B,2,FALSE)</f>
        <v>2-7</v>
      </c>
      <c r="C131" s="30" t="str">
        <f>VLOOKUP(T_学生別進路[[#This Row],[学籍番号]],進路状況入力シート!A:C,3,FALSE)</f>
        <v>CHAUDHARY SIRANJAN PRASAD</v>
      </c>
      <c r="D131" s="30" t="str">
        <f>IF(AND(T_学生別進路[[#This Row],[進路確定]]="○",T_学生別進路[[#This Row],[進学希望フラグ]]=1),"○","")</f>
        <v>○</v>
      </c>
      <c r="E131" s="30" t="str">
        <f>_xlfn.IFNA(RIGHT(VLOOKUP(T_学生別進路[[#This Row],[学籍番号]]&amp;"○",進路状況入力シート!K:K,1,FALSE),1),"")</f>
        <v>○</v>
      </c>
      <c r="F131" s="30">
        <f>IF(T_学生別進路[[#This Row],[進学希望フラグ]]=0,"",IF(T_学生別進路[[#This Row],[進路確定]]="○",1,0))</f>
        <v>1</v>
      </c>
      <c r="G13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1" s="30" t="str">
        <f>_xlfn.XLOOKUP(T_学生別進路[[#This Row],[学籍番号]]&amp;"○",進路状況入力シート!K:K,進路状況入力シート!D:D,"",0,1)</f>
        <v>愛甲学院専門学校</v>
      </c>
      <c r="I131" s="30"/>
      <c r="J131" s="31">
        <v>45992</v>
      </c>
      <c r="K131" s="30">
        <f>IF(T_学生別進路[[#This Row],[合格時期]]="",0,IF(T_学生別進路[[#This Row],[合格時期]]&lt;K$5,1,0))</f>
        <v>0</v>
      </c>
      <c r="L131" s="30">
        <f>IF(T_学生別進路[[#This Row],[合格時期]]="",0,IF(T_学生別進路[[#This Row],[合格時期]]&lt;L$5,1,0))</f>
        <v>1</v>
      </c>
      <c r="M131" s="30">
        <f>IF(T_学生別進路[[#This Row],[合格時期]]="",0,IF(T_学生別進路[[#This Row],[合格時期]]&lt;M$5,1,0))</f>
        <v>1</v>
      </c>
      <c r="N131" s="30">
        <f>IF(T_学生別進路[[#This Row],[合格時期]]="",0,IF(T_学生別進路[[#This Row],[合格時期]]&lt;N$5,1,0))</f>
        <v>1</v>
      </c>
      <c r="O131" s="30">
        <f>IF(T_学生別進路[[#This Row],[合格時期]]="",0,IF(T_学生別進路[[#This Row],[合格時期]]&lt;O$5,1,0))</f>
        <v>1</v>
      </c>
      <c r="P131" s="30"/>
      <c r="Q131" s="3"/>
      <c r="R131" s="3"/>
      <c r="S131" s="3"/>
      <c r="T131" s="3"/>
      <c r="U131" s="3"/>
    </row>
    <row r="132" spans="1:21" hidden="1" x14ac:dyDescent="0.15">
      <c r="A132" s="32">
        <v>2407066</v>
      </c>
      <c r="B132" s="30" t="str">
        <f>VLOOKUP(T_学生別進路[[#This Row],[学籍番号]],進路状況入力シート!A:B,2,FALSE)</f>
        <v>2-7</v>
      </c>
      <c r="C132" s="30" t="str">
        <f>VLOOKUP(T_学生別進路[[#This Row],[学籍番号]],進路状況入力シート!A:C,3,FALSE)</f>
        <v>RAWAL RADHA</v>
      </c>
      <c r="D132" s="30" t="str">
        <f>IF(AND(T_学生別進路[[#This Row],[進路確定]]="○",T_学生別進路[[#This Row],[進学希望フラグ]]=1),"○","")</f>
        <v>○</v>
      </c>
      <c r="E132" s="30" t="str">
        <f>_xlfn.IFNA(RIGHT(VLOOKUP(T_学生別進路[[#This Row],[学籍番号]]&amp;"○",進路状況入力シート!K:K,1,FALSE),1),"")</f>
        <v>○</v>
      </c>
      <c r="F132" s="30">
        <f>IF(T_学生別進路[[#This Row],[進学希望フラグ]]=0,"",IF(T_学生別進路[[#This Row],[進路確定]]="○",1,0))</f>
        <v>1</v>
      </c>
      <c r="G13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2" s="30" t="str">
        <f>_xlfn.XLOOKUP(T_学生別進路[[#This Row],[学籍番号]]&amp;"○",進路状況入力シート!K:K,進路状況入力シート!D:D,"",0,1)</f>
        <v>日本ウェルネスAIIT保育専門学校</v>
      </c>
      <c r="I132" s="30"/>
      <c r="J132" s="31">
        <v>45870</v>
      </c>
      <c r="K132" s="30">
        <f>IF(T_学生別進路[[#This Row],[合格時期]]="",0,IF(T_学生別進路[[#This Row],[合格時期]]&lt;K$5,1,0))</f>
        <v>1</v>
      </c>
      <c r="L132" s="30">
        <f>IF(T_学生別進路[[#This Row],[合格時期]]="",0,IF(T_学生別進路[[#This Row],[合格時期]]&lt;L$5,1,0))</f>
        <v>1</v>
      </c>
      <c r="M132" s="30">
        <f>IF(T_学生別進路[[#This Row],[合格時期]]="",0,IF(T_学生別進路[[#This Row],[合格時期]]&lt;M$5,1,0))</f>
        <v>1</v>
      </c>
      <c r="N132" s="30">
        <f>IF(T_学生別進路[[#This Row],[合格時期]]="",0,IF(T_学生別進路[[#This Row],[合格時期]]&lt;N$5,1,0))</f>
        <v>1</v>
      </c>
      <c r="O132" s="30">
        <f>IF(T_学生別進路[[#This Row],[合格時期]]="",0,IF(T_学生別進路[[#This Row],[合格時期]]&lt;O$5,1,0))</f>
        <v>1</v>
      </c>
      <c r="P132" s="30"/>
      <c r="Q132" s="3"/>
      <c r="R132" s="3"/>
      <c r="S132" s="3"/>
      <c r="T132" s="3"/>
      <c r="U132" s="3"/>
    </row>
    <row r="133" spans="1:21" hidden="1" x14ac:dyDescent="0.15">
      <c r="A133" s="32">
        <v>2410005</v>
      </c>
      <c r="B133" s="30" t="str">
        <f>VLOOKUP(T_学生別進路[[#This Row],[学籍番号]],進路状況入力シート!A:B,2,FALSE)</f>
        <v>2-7</v>
      </c>
      <c r="C133" s="30" t="str">
        <f>VLOOKUP(T_学生別進路[[#This Row],[学籍番号]],進路状況入力シート!A:C,3,FALSE)</f>
        <v>張 春輝</v>
      </c>
      <c r="D133" s="30" t="str">
        <f>IF(AND(T_学生別進路[[#This Row],[進路確定]]="○",T_学生別進路[[#This Row],[進学希望フラグ]]=1),"○","")</f>
        <v>○</v>
      </c>
      <c r="E133" s="30" t="str">
        <f>_xlfn.IFNA(RIGHT(VLOOKUP(T_学生別進路[[#This Row],[学籍番号]]&amp;"○",進路状況入力シート!K:K,1,FALSE),1),"")</f>
        <v>○</v>
      </c>
      <c r="F133" s="30">
        <f>IF(T_学生別進路[[#This Row],[進学希望フラグ]]=0,"",IF(T_学生別進路[[#This Row],[進路確定]]="○",1,0))</f>
        <v>1</v>
      </c>
      <c r="G13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3" s="30" t="str">
        <f>_xlfn.XLOOKUP(T_学生別進路[[#This Row],[学籍番号]]&amp;"○",進路状況入力シート!K:K,進路状況入力シート!D:D,"",0,1)</f>
        <v>日本経済大学</v>
      </c>
      <c r="I133" s="30"/>
      <c r="J133" s="31">
        <v>45992</v>
      </c>
      <c r="K133" s="30">
        <f>IF(T_学生別進路[[#This Row],[合格時期]]="",0,IF(T_学生別進路[[#This Row],[合格時期]]&lt;K$5,1,0))</f>
        <v>0</v>
      </c>
      <c r="L133" s="30">
        <f>IF(T_学生別進路[[#This Row],[合格時期]]="",0,IF(T_学生別進路[[#This Row],[合格時期]]&lt;L$5,1,0))</f>
        <v>1</v>
      </c>
      <c r="M133" s="30">
        <f>IF(T_学生別進路[[#This Row],[合格時期]]="",0,IF(T_学生別進路[[#This Row],[合格時期]]&lt;M$5,1,0))</f>
        <v>1</v>
      </c>
      <c r="N133" s="30">
        <f>IF(T_学生別進路[[#This Row],[合格時期]]="",0,IF(T_学生別進路[[#This Row],[合格時期]]&lt;N$5,1,0))</f>
        <v>1</v>
      </c>
      <c r="O133" s="30">
        <f>IF(T_学生別進路[[#This Row],[合格時期]]="",0,IF(T_学生別進路[[#This Row],[合格時期]]&lt;O$5,1,0))</f>
        <v>1</v>
      </c>
      <c r="P133" s="30"/>
      <c r="Q133" s="3"/>
      <c r="R133" s="3"/>
      <c r="S133" s="3"/>
      <c r="T133" s="3"/>
      <c r="U133" s="3"/>
    </row>
    <row r="134" spans="1:21" hidden="1" x14ac:dyDescent="0.15">
      <c r="A134" s="32">
        <v>2410006</v>
      </c>
      <c r="B134" s="30" t="str">
        <f>VLOOKUP(T_学生別進路[[#This Row],[学籍番号]],進路状況入力シート!A:B,2,FALSE)</f>
        <v>2-7</v>
      </c>
      <c r="C134" s="30" t="str">
        <f>VLOOKUP(T_学生別進路[[#This Row],[学籍番号]],進路状況入力シート!A:C,3,FALSE)</f>
        <v>徐 張帥</v>
      </c>
      <c r="D134" s="30" t="str">
        <f>IF(AND(T_学生別進路[[#This Row],[進路確定]]="○",T_学生別進路[[#This Row],[進学希望フラグ]]=1),"○","")</f>
        <v>○</v>
      </c>
      <c r="E134" s="30" t="str">
        <f>_xlfn.IFNA(RIGHT(VLOOKUP(T_学生別進路[[#This Row],[学籍番号]]&amp;"○",進路状況入力シート!K:K,1,FALSE),1),"")</f>
        <v>○</v>
      </c>
      <c r="F134" s="30">
        <f>IF(T_学生別進路[[#This Row],[進学希望フラグ]]=0,"",IF(T_学生別進路[[#This Row],[進路確定]]="○",1,0))</f>
        <v>1</v>
      </c>
      <c r="G13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4" s="30" t="str">
        <f>_xlfn.XLOOKUP(T_学生別進路[[#This Row],[学籍番号]]&amp;"○",進路状況入力シート!K:K,進路状況入力シート!D:D,"",0,1)</f>
        <v>流通科学大学</v>
      </c>
      <c r="I134" s="39" t="s">
        <v>630</v>
      </c>
      <c r="J134" s="31">
        <v>46023</v>
      </c>
      <c r="K134" s="30">
        <f>IF(T_学生別進路[[#This Row],[合格時期]]="",0,IF(T_学生別進路[[#This Row],[合格時期]]&lt;K$5,1,0))</f>
        <v>0</v>
      </c>
      <c r="L134" s="30">
        <f>IF(T_学生別進路[[#This Row],[合格時期]]="",0,IF(T_学生別進路[[#This Row],[合格時期]]&lt;L$5,1,0))</f>
        <v>0</v>
      </c>
      <c r="M134" s="30">
        <f>IF(T_学生別進路[[#This Row],[合格時期]]="",0,IF(T_学生別進路[[#This Row],[合格時期]]&lt;M$5,1,0))</f>
        <v>1</v>
      </c>
      <c r="N134" s="30">
        <f>IF(T_学生別進路[[#This Row],[合格時期]]="",0,IF(T_学生別進路[[#This Row],[合格時期]]&lt;N$5,1,0))</f>
        <v>1</v>
      </c>
      <c r="O134" s="30">
        <f>IF(T_学生別進路[[#This Row],[合格時期]]="",0,IF(T_学生別進路[[#This Row],[合格時期]]&lt;O$5,1,0))</f>
        <v>1</v>
      </c>
      <c r="P134" s="30"/>
      <c r="Q134" s="3"/>
      <c r="R134" s="3"/>
      <c r="S134" s="3"/>
      <c r="T134" s="3"/>
      <c r="U134" s="3"/>
    </row>
    <row r="135" spans="1:21" x14ac:dyDescent="0.15">
      <c r="A135" s="32">
        <v>2404028</v>
      </c>
      <c r="B135" s="30" t="str">
        <f>VLOOKUP(T_学生別進路[[#This Row],[学籍番号]],進路状況入力シート!A:B,2,FALSE)</f>
        <v>2-8</v>
      </c>
      <c r="C135" s="49" t="str">
        <f>VLOOKUP(T_学生別進路[[#This Row],[学籍番号]],進路状況入力シート!A:C,3,FALSE)</f>
        <v>THET WAI KYAW</v>
      </c>
      <c r="D135" s="30" t="str">
        <f>IF(AND(T_学生別進路[[#This Row],[進路確定]]="○",T_学生別進路[[#This Row],[進学希望フラグ]]=1),"○","")</f>
        <v/>
      </c>
      <c r="E135" s="30" t="str">
        <f>_xlfn.IFNA(RIGHT(VLOOKUP(T_学生別進路[[#This Row],[学籍番号]]&amp;"○",進路状況入力シート!K:K,1,FALSE),1),"")</f>
        <v/>
      </c>
      <c r="F135" s="30" t="str">
        <f>IF(T_学生別進路[[#This Row],[進学希望フラグ]]=0,"",IF(T_学生別進路[[#This Row],[進路確定]]="○",1,0))</f>
        <v/>
      </c>
      <c r="G13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135" s="30" t="str">
        <f>_xlfn.XLOOKUP(T_学生別進路[[#This Row],[学籍番号]]&amp;"○",進路状況入力シート!K:K,進路状況入力シート!D:D,"",0,1)</f>
        <v/>
      </c>
      <c r="I135" s="39"/>
      <c r="J135" s="31"/>
      <c r="K135" s="30">
        <f>IF(T_学生別進路[[#This Row],[合格時期]]="",0,IF(T_学生別進路[[#This Row],[合格時期]]&lt;K$5,1,0))</f>
        <v>0</v>
      </c>
      <c r="L135" s="30">
        <f>IF(T_学生別進路[[#This Row],[合格時期]]="",0,IF(T_学生別進路[[#This Row],[合格時期]]&lt;L$5,1,0))</f>
        <v>0</v>
      </c>
      <c r="M135" s="30">
        <f>IF(T_学生別進路[[#This Row],[合格時期]]="",0,IF(T_学生別進路[[#This Row],[合格時期]]&lt;M$5,1,0))</f>
        <v>0</v>
      </c>
      <c r="N135" s="30">
        <f>IF(T_学生別進路[[#This Row],[合格時期]]="",0,IF(T_学生別進路[[#This Row],[合格時期]]&lt;N$5,1,0))</f>
        <v>0</v>
      </c>
      <c r="O135" s="30">
        <f>IF(T_学生別進路[[#This Row],[合格時期]]="",0,IF(T_学生別進路[[#This Row],[合格時期]]&lt;O$5,1,0))</f>
        <v>0</v>
      </c>
      <c r="P135" s="30" t="s">
        <v>741</v>
      </c>
      <c r="Q135" s="3"/>
      <c r="R135" s="3"/>
      <c r="S135" s="3"/>
      <c r="T135" s="3"/>
      <c r="U135" s="3"/>
    </row>
    <row r="136" spans="1:21" hidden="1" x14ac:dyDescent="0.15">
      <c r="A136" s="32">
        <v>2404032</v>
      </c>
      <c r="B136" s="30" t="str">
        <f>VLOOKUP(T_学生別進路[[#This Row],[学籍番号]],進路状況入力シート!A:B,2,FALSE)</f>
        <v>2-8</v>
      </c>
      <c r="C136" s="30" t="str">
        <f>VLOOKUP(T_学生別進路[[#This Row],[学籍番号]],進路状況入力シート!A:C,3,FALSE)</f>
        <v>THU THU NYEIN</v>
      </c>
      <c r="D136" s="30" t="str">
        <f>IF(AND(T_学生別進路[[#This Row],[進路確定]]="○",T_学生別進路[[#This Row],[進学希望フラグ]]=1),"○","")</f>
        <v>○</v>
      </c>
      <c r="E136" s="30" t="str">
        <f>_xlfn.IFNA(RIGHT(VLOOKUP(T_学生別進路[[#This Row],[学籍番号]]&amp;"○",進路状況入力シート!K:K,1,FALSE),1),"")</f>
        <v>○</v>
      </c>
      <c r="F136" s="30">
        <f>IF(T_学生別進路[[#This Row],[進学希望フラグ]]=0,"",IF(T_学生別進路[[#This Row],[進路確定]]="○",1,0))</f>
        <v>1</v>
      </c>
      <c r="G13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6" s="30" t="str">
        <f>_xlfn.XLOOKUP(T_学生別進路[[#This Row],[学籍番号]]&amp;"○",進路状況入力シート!K:K,進路状況入力シート!D:D,"",0,1)</f>
        <v>関西国際大学</v>
      </c>
      <c r="I136" s="39" t="s">
        <v>626</v>
      </c>
      <c r="J136" s="31">
        <v>45992</v>
      </c>
      <c r="K136" s="30">
        <f>IF(T_学生別進路[[#This Row],[合格時期]]="",0,IF(T_学生別進路[[#This Row],[合格時期]]&lt;K$5,1,0))</f>
        <v>0</v>
      </c>
      <c r="L136" s="30">
        <f>IF(T_学生別進路[[#This Row],[合格時期]]="",0,IF(T_学生別進路[[#This Row],[合格時期]]&lt;L$5,1,0))</f>
        <v>1</v>
      </c>
      <c r="M136" s="30">
        <f>IF(T_学生別進路[[#This Row],[合格時期]]="",0,IF(T_学生別進路[[#This Row],[合格時期]]&lt;M$5,1,0))</f>
        <v>1</v>
      </c>
      <c r="N136" s="30">
        <f>IF(T_学生別進路[[#This Row],[合格時期]]="",0,IF(T_学生別進路[[#This Row],[合格時期]]&lt;N$5,1,0))</f>
        <v>1</v>
      </c>
      <c r="O136" s="30">
        <f>IF(T_学生別進路[[#This Row],[合格時期]]="",0,IF(T_学生別進路[[#This Row],[合格時期]]&lt;O$5,1,0))</f>
        <v>1</v>
      </c>
      <c r="P136" s="30"/>
      <c r="Q136" s="3"/>
      <c r="R136" s="3"/>
      <c r="S136" s="3"/>
      <c r="T136" s="3"/>
      <c r="U136" s="3"/>
    </row>
    <row r="137" spans="1:21" hidden="1" x14ac:dyDescent="0.15">
      <c r="A137" s="32">
        <v>2404039</v>
      </c>
      <c r="B137" s="30" t="str">
        <f>VLOOKUP(T_学生別進路[[#This Row],[学籍番号]],進路状況入力シート!A:B,2,FALSE)</f>
        <v>2-8</v>
      </c>
      <c r="C137" s="30" t="str">
        <f>VLOOKUP(T_学生別進路[[#This Row],[学籍番号]],進路状況入力シート!A:C,3,FALSE)</f>
        <v>THURA PHYO</v>
      </c>
      <c r="D137" s="30" t="str">
        <f>IF(AND(T_学生別進路[[#This Row],[進路確定]]="○",T_学生別進路[[#This Row],[進学希望フラグ]]=1),"○","")</f>
        <v>○</v>
      </c>
      <c r="E137" s="30" t="str">
        <f>_xlfn.IFNA(RIGHT(VLOOKUP(T_学生別進路[[#This Row],[学籍番号]]&amp;"○",進路状況入力シート!K:K,1,FALSE),1),"")</f>
        <v>○</v>
      </c>
      <c r="F137" s="30">
        <f>IF(T_学生別進路[[#This Row],[進学希望フラグ]]=0,"",IF(T_学生別進路[[#This Row],[進路確定]]="○",1,0))</f>
        <v>1</v>
      </c>
      <c r="G13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7" s="30" t="str">
        <f>_xlfn.XLOOKUP(T_学生別進路[[#This Row],[学籍番号]]&amp;"○",進路状況入力シート!K:K,進路状況入力シート!D:D,"",0,1)</f>
        <v>神戸国際大学</v>
      </c>
      <c r="I137" s="39" t="s">
        <v>626</v>
      </c>
      <c r="J137" s="31">
        <v>46023</v>
      </c>
      <c r="K137" s="30">
        <f>IF(T_学生別進路[[#This Row],[合格時期]]="",0,IF(T_学生別進路[[#This Row],[合格時期]]&lt;K$5,1,0))</f>
        <v>0</v>
      </c>
      <c r="L137" s="30">
        <f>IF(T_学生別進路[[#This Row],[合格時期]]="",0,IF(T_学生別進路[[#This Row],[合格時期]]&lt;L$5,1,0))</f>
        <v>0</v>
      </c>
      <c r="M137" s="30">
        <f>IF(T_学生別進路[[#This Row],[合格時期]]="",0,IF(T_学生別進路[[#This Row],[合格時期]]&lt;M$5,1,0))</f>
        <v>1</v>
      </c>
      <c r="N137" s="30">
        <f>IF(T_学生別進路[[#This Row],[合格時期]]="",0,IF(T_学生別進路[[#This Row],[合格時期]]&lt;N$5,1,0))</f>
        <v>1</v>
      </c>
      <c r="O137" s="30">
        <f>IF(T_学生別進路[[#This Row],[合格時期]]="",0,IF(T_学生別進路[[#This Row],[合格時期]]&lt;O$5,1,0))</f>
        <v>1</v>
      </c>
      <c r="P137" s="30"/>
      <c r="Q137" s="3"/>
      <c r="R137" s="3"/>
      <c r="S137" s="3"/>
      <c r="T137" s="3"/>
      <c r="U137" s="3"/>
    </row>
    <row r="138" spans="1:21" hidden="1" x14ac:dyDescent="0.15">
      <c r="A138" s="32">
        <v>2404052</v>
      </c>
      <c r="B138" s="30" t="str">
        <f>VLOOKUP(T_学生別進路[[#This Row],[学籍番号]],進路状況入力シート!A:B,2,FALSE)</f>
        <v>2-8</v>
      </c>
      <c r="C138" s="30" t="str">
        <f>VLOOKUP(T_学生別進路[[#This Row],[学籍番号]],進路状況入力シート!A:C,3,FALSE)</f>
        <v>SAW YU HNIN</v>
      </c>
      <c r="D138" s="30" t="str">
        <f>IF(AND(T_学生別進路[[#This Row],[進路確定]]="○",T_学生別進路[[#This Row],[進学希望フラグ]]=1),"○","")</f>
        <v>○</v>
      </c>
      <c r="E138" s="30" t="str">
        <f>_xlfn.IFNA(RIGHT(VLOOKUP(T_学生別進路[[#This Row],[学籍番号]]&amp;"○",進路状況入力シート!K:K,1,FALSE),1),"")</f>
        <v>○</v>
      </c>
      <c r="F138" s="30">
        <f>IF(T_学生別進路[[#This Row],[進学希望フラグ]]=0,"",IF(T_学生別進路[[#This Row],[進路確定]]="○",1,0))</f>
        <v>1</v>
      </c>
      <c r="G13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8" s="30" t="str">
        <f>_xlfn.XLOOKUP(T_学生別進路[[#This Row],[学籍番号]]&amp;"○",進路状況入力シート!K:K,進路状況入力シート!D:D,"",0,1)</f>
        <v>流通科学大学</v>
      </c>
      <c r="I138" s="39" t="s">
        <v>626</v>
      </c>
      <c r="J138" s="31">
        <v>45992</v>
      </c>
      <c r="K138" s="30">
        <f>IF(T_学生別進路[[#This Row],[合格時期]]="",0,IF(T_学生別進路[[#This Row],[合格時期]]&lt;K$5,1,0))</f>
        <v>0</v>
      </c>
      <c r="L138" s="30">
        <f>IF(T_学生別進路[[#This Row],[合格時期]]="",0,IF(T_学生別進路[[#This Row],[合格時期]]&lt;L$5,1,0))</f>
        <v>1</v>
      </c>
      <c r="M138" s="30">
        <f>IF(T_学生別進路[[#This Row],[合格時期]]="",0,IF(T_学生別進路[[#This Row],[合格時期]]&lt;M$5,1,0))</f>
        <v>1</v>
      </c>
      <c r="N138" s="30">
        <f>IF(T_学生別進路[[#This Row],[合格時期]]="",0,IF(T_学生別進路[[#This Row],[合格時期]]&lt;N$5,1,0))</f>
        <v>1</v>
      </c>
      <c r="O138" s="30">
        <f>IF(T_学生別進路[[#This Row],[合格時期]]="",0,IF(T_学生別進路[[#This Row],[合格時期]]&lt;O$5,1,0))</f>
        <v>1</v>
      </c>
      <c r="P138" s="30"/>
      <c r="Q138" s="3"/>
      <c r="R138" s="3"/>
      <c r="S138" s="3"/>
      <c r="T138" s="3"/>
      <c r="U138" s="3"/>
    </row>
    <row r="139" spans="1:21" hidden="1" x14ac:dyDescent="0.15">
      <c r="A139" s="32">
        <v>2404053</v>
      </c>
      <c r="B139" s="30" t="str">
        <f>VLOOKUP(T_学生別進路[[#This Row],[学籍番号]],進路状況入力シート!A:B,2,FALSE)</f>
        <v>2-8</v>
      </c>
      <c r="C139" s="30" t="str">
        <f>VLOOKUP(T_学生別進路[[#This Row],[学籍番号]],進路状況入力シート!A:C,3,FALSE)</f>
        <v>HAN HAN HTWE</v>
      </c>
      <c r="D139" s="30" t="str">
        <f>IF(AND(T_学生別進路[[#This Row],[進路確定]]="○",T_学生別進路[[#This Row],[進学希望フラグ]]=1),"○","")</f>
        <v>○</v>
      </c>
      <c r="E139" s="30" t="str">
        <f>_xlfn.IFNA(RIGHT(VLOOKUP(T_学生別進路[[#This Row],[学籍番号]]&amp;"○",進路状況入力シート!K:K,1,FALSE),1),"")</f>
        <v>○</v>
      </c>
      <c r="F139" s="30">
        <f>IF(T_学生別進路[[#This Row],[進学希望フラグ]]=0,"",IF(T_学生別進路[[#This Row],[進路確定]]="○",1,0))</f>
        <v>1</v>
      </c>
      <c r="G13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39" s="30" t="str">
        <f>_xlfn.XLOOKUP(T_学生別進路[[#This Row],[学籍番号]]&amp;"○",進路状況入力シート!K:K,進路状況入力シート!D:D,"",0,1)</f>
        <v>神戸電子専門学校</v>
      </c>
      <c r="I139" s="39" t="s">
        <v>626</v>
      </c>
      <c r="J139" s="31">
        <v>45992</v>
      </c>
      <c r="K139" s="30">
        <f>IF(T_学生別進路[[#This Row],[合格時期]]="",0,IF(T_学生別進路[[#This Row],[合格時期]]&lt;K$5,1,0))</f>
        <v>0</v>
      </c>
      <c r="L139" s="30">
        <f>IF(T_学生別進路[[#This Row],[合格時期]]="",0,IF(T_学生別進路[[#This Row],[合格時期]]&lt;L$5,1,0))</f>
        <v>1</v>
      </c>
      <c r="M139" s="30">
        <f>IF(T_学生別進路[[#This Row],[合格時期]]="",0,IF(T_学生別進路[[#This Row],[合格時期]]&lt;M$5,1,0))</f>
        <v>1</v>
      </c>
      <c r="N139" s="30">
        <f>IF(T_学生別進路[[#This Row],[合格時期]]="",0,IF(T_学生別進路[[#This Row],[合格時期]]&lt;N$5,1,0))</f>
        <v>1</v>
      </c>
      <c r="O139" s="30">
        <f>IF(T_学生別進路[[#This Row],[合格時期]]="",0,IF(T_学生別進路[[#This Row],[合格時期]]&lt;O$5,1,0))</f>
        <v>1</v>
      </c>
      <c r="P139" s="30"/>
      <c r="Q139" s="3"/>
      <c r="R139" s="3"/>
      <c r="S139" s="3"/>
      <c r="T139" s="3"/>
      <c r="U139" s="3"/>
    </row>
    <row r="140" spans="1:21" hidden="1" x14ac:dyDescent="0.15">
      <c r="A140" s="32">
        <v>2404083</v>
      </c>
      <c r="B140" s="30" t="str">
        <f>VLOOKUP(T_学生別進路[[#This Row],[学籍番号]],進路状況入力シート!A:B,2,FALSE)</f>
        <v>2-8</v>
      </c>
      <c r="C140" s="30" t="str">
        <f>VLOOKUP(T_学生別進路[[#This Row],[学籍番号]],進路状況入力シート!A:C,3,FALSE)</f>
        <v>RAGIB SHAHRIAR TUSAR</v>
      </c>
      <c r="D140" s="30" t="str">
        <f>IF(AND(T_学生別進路[[#This Row],[進路確定]]="○",T_学生別進路[[#This Row],[進学希望フラグ]]=1),"○","")</f>
        <v>○</v>
      </c>
      <c r="E140" s="30" t="str">
        <f>_xlfn.IFNA(RIGHT(VLOOKUP(T_学生別進路[[#This Row],[学籍番号]]&amp;"○",進路状況入力シート!K:K,1,FALSE),1),"")</f>
        <v>○</v>
      </c>
      <c r="F140" s="30">
        <f>IF(T_学生別進路[[#This Row],[進学希望フラグ]]=0,"",IF(T_学生別進路[[#This Row],[進路確定]]="○",1,0))</f>
        <v>1</v>
      </c>
      <c r="G14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0" s="30" t="str">
        <f>_xlfn.XLOOKUP(T_学生別進路[[#This Row],[学籍番号]]&amp;"○",進路状況入力シート!K:K,進路状況入力シート!D:D,"",0,1)</f>
        <v>流通科学大学</v>
      </c>
      <c r="I140" s="30"/>
      <c r="J140" s="31">
        <v>45962</v>
      </c>
      <c r="K140" s="30">
        <f>IF(T_学生別進路[[#This Row],[合格時期]]="",0,IF(T_学生別進路[[#This Row],[合格時期]]&lt;K$5,1,0))</f>
        <v>1</v>
      </c>
      <c r="L140" s="30">
        <f>IF(T_学生別進路[[#This Row],[合格時期]]="",0,IF(T_学生別進路[[#This Row],[合格時期]]&lt;L$5,1,0))</f>
        <v>1</v>
      </c>
      <c r="M140" s="30">
        <f>IF(T_学生別進路[[#This Row],[合格時期]]="",0,IF(T_学生別進路[[#This Row],[合格時期]]&lt;M$5,1,0))</f>
        <v>1</v>
      </c>
      <c r="N140" s="30">
        <f>IF(T_学生別進路[[#This Row],[合格時期]]="",0,IF(T_学生別進路[[#This Row],[合格時期]]&lt;N$5,1,0))</f>
        <v>1</v>
      </c>
      <c r="O140" s="30">
        <f>IF(T_学生別進路[[#This Row],[合格時期]]="",0,IF(T_学生別進路[[#This Row],[合格時期]]&lt;O$5,1,0))</f>
        <v>1</v>
      </c>
      <c r="P140" s="30"/>
      <c r="Q140" s="3"/>
      <c r="R140" s="3"/>
      <c r="S140" s="3"/>
      <c r="T140" s="3"/>
      <c r="U140" s="3"/>
    </row>
    <row r="141" spans="1:21" hidden="1" x14ac:dyDescent="0.15">
      <c r="A141" s="32">
        <v>2404098</v>
      </c>
      <c r="B141" s="30" t="str">
        <f>VLOOKUP(T_学生別進路[[#This Row],[学籍番号]],進路状況入力シート!A:B,2,FALSE)</f>
        <v>2-8</v>
      </c>
      <c r="C141" s="30" t="str">
        <f>VLOOKUP(T_学生別進路[[#This Row],[学籍番号]],進路状況入力シート!A:C,3,FALSE)</f>
        <v>LIMON MD SAKIBUL HAQ</v>
      </c>
      <c r="D141" s="30" t="str">
        <f>IF(AND(T_学生別進路[[#This Row],[進路確定]]="○",T_学生別進路[[#This Row],[進学希望フラグ]]=1),"○","")</f>
        <v>○</v>
      </c>
      <c r="E141" s="30" t="str">
        <f>_xlfn.IFNA(RIGHT(VLOOKUP(T_学生別進路[[#This Row],[学籍番号]]&amp;"○",進路状況入力シート!K:K,1,FALSE),1),"")</f>
        <v>○</v>
      </c>
      <c r="F141" s="30">
        <f>IF(T_学生別進路[[#This Row],[進学希望フラグ]]=0,"",IF(T_学生別進路[[#This Row],[進路確定]]="○",1,0))</f>
        <v>1</v>
      </c>
      <c r="G14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1" s="30" t="str">
        <f>_xlfn.XLOOKUP(T_学生別進路[[#This Row],[学籍番号]]&amp;"○",進路状況入力シート!K:K,進路状況入力シート!D:D,"",0,1)</f>
        <v>神戸電子専門学校</v>
      </c>
      <c r="I141" s="30"/>
      <c r="J141" s="31">
        <v>45962</v>
      </c>
      <c r="K141" s="30">
        <f>IF(T_学生別進路[[#This Row],[合格時期]]="",0,IF(T_学生別進路[[#This Row],[合格時期]]&lt;K$5,1,0))</f>
        <v>1</v>
      </c>
      <c r="L141" s="30">
        <f>IF(T_学生別進路[[#This Row],[合格時期]]="",0,IF(T_学生別進路[[#This Row],[合格時期]]&lt;L$5,1,0))</f>
        <v>1</v>
      </c>
      <c r="M141" s="30">
        <f>IF(T_学生別進路[[#This Row],[合格時期]]="",0,IF(T_学生別進路[[#This Row],[合格時期]]&lt;M$5,1,0))</f>
        <v>1</v>
      </c>
      <c r="N141" s="30">
        <f>IF(T_学生別進路[[#This Row],[合格時期]]="",0,IF(T_学生別進路[[#This Row],[合格時期]]&lt;N$5,1,0))</f>
        <v>1</v>
      </c>
      <c r="O141" s="30">
        <f>IF(T_学生別進路[[#This Row],[合格時期]]="",0,IF(T_学生別進路[[#This Row],[合格時期]]&lt;O$5,1,0))</f>
        <v>1</v>
      </c>
      <c r="P141" s="30"/>
      <c r="Q141" s="3"/>
      <c r="R141" s="3"/>
      <c r="S141" s="3"/>
      <c r="T141" s="3"/>
      <c r="U141" s="3"/>
    </row>
    <row r="142" spans="1:21" hidden="1" x14ac:dyDescent="0.15">
      <c r="A142" s="32">
        <v>2404100</v>
      </c>
      <c r="B142" s="30" t="str">
        <f>VLOOKUP(T_学生別進路[[#This Row],[学籍番号]],進路状況入力シート!A:B,2,FALSE)</f>
        <v>2-8</v>
      </c>
      <c r="C142" s="30" t="str">
        <f>VLOOKUP(T_学生別進路[[#This Row],[学籍番号]],進路状況入力シート!A:C,3,FALSE)</f>
        <v>HOSSAIN MD RAHIM</v>
      </c>
      <c r="D142" s="30" t="str">
        <f>IF(AND(T_学生別進路[[#This Row],[進路確定]]="○",T_学生別進路[[#This Row],[進学希望フラグ]]=1),"○","")</f>
        <v>○</v>
      </c>
      <c r="E142" s="30" t="str">
        <f>_xlfn.IFNA(RIGHT(VLOOKUP(T_学生別進路[[#This Row],[学籍番号]]&amp;"○",進路状況入力シート!K:K,1,FALSE),1),"")</f>
        <v>○</v>
      </c>
      <c r="F142" s="30">
        <f>IF(T_学生別進路[[#This Row],[進学希望フラグ]]=0,"",IF(T_学生別進路[[#This Row],[進路確定]]="○",1,0))</f>
        <v>1</v>
      </c>
      <c r="G14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2" s="30" t="str">
        <f>_xlfn.XLOOKUP(T_学生別進路[[#This Row],[学籍番号]]&amp;"○",進路状況入力シート!K:K,進路状況入力シート!D:D,"",0,1)</f>
        <v>関西国際旅行・ホテル専門学校</v>
      </c>
      <c r="I142" s="30"/>
      <c r="J142" s="31">
        <v>45931</v>
      </c>
      <c r="K142" s="30">
        <f>IF(T_学生別進路[[#This Row],[合格時期]]="",0,IF(T_学生別進路[[#This Row],[合格時期]]&lt;K$5,1,0))</f>
        <v>1</v>
      </c>
      <c r="L142" s="30">
        <f>IF(T_学生別進路[[#This Row],[合格時期]]="",0,IF(T_学生別進路[[#This Row],[合格時期]]&lt;L$5,1,0))</f>
        <v>1</v>
      </c>
      <c r="M142" s="30">
        <f>IF(T_学生別進路[[#This Row],[合格時期]]="",0,IF(T_学生別進路[[#This Row],[合格時期]]&lt;M$5,1,0))</f>
        <v>1</v>
      </c>
      <c r="N142" s="30">
        <f>IF(T_学生別進路[[#This Row],[合格時期]]="",0,IF(T_学生別進路[[#This Row],[合格時期]]&lt;N$5,1,0))</f>
        <v>1</v>
      </c>
      <c r="O142" s="30">
        <f>IF(T_学生別進路[[#This Row],[合格時期]]="",0,IF(T_学生別進路[[#This Row],[合格時期]]&lt;O$5,1,0))</f>
        <v>1</v>
      </c>
      <c r="P142" s="30"/>
      <c r="Q142" s="3"/>
      <c r="R142" s="3"/>
      <c r="S142" s="3"/>
      <c r="T142" s="3"/>
      <c r="U142" s="3"/>
    </row>
    <row r="143" spans="1:21" hidden="1" x14ac:dyDescent="0.15">
      <c r="A143" s="32">
        <v>2404103</v>
      </c>
      <c r="B143" s="30" t="str">
        <f>VLOOKUP(T_学生別進路[[#This Row],[学籍番号]],進路状況入力シート!A:B,2,FALSE)</f>
        <v>2-8</v>
      </c>
      <c r="C143" s="30" t="str">
        <f>VLOOKUP(T_学生別進路[[#This Row],[学籍番号]],進路状況入力シート!A:C,3,FALSE)</f>
        <v>AKHAND MD RAJBIR</v>
      </c>
      <c r="D143" s="30" t="str">
        <f>IF(AND(T_学生別進路[[#This Row],[進路確定]]="○",T_学生別進路[[#This Row],[進学希望フラグ]]=1),"○","")</f>
        <v>○</v>
      </c>
      <c r="E143" s="30" t="str">
        <f>_xlfn.IFNA(RIGHT(VLOOKUP(T_学生別進路[[#This Row],[学籍番号]]&amp;"○",進路状況入力シート!K:K,1,FALSE),1),"")</f>
        <v>○</v>
      </c>
      <c r="F143" s="30">
        <f>IF(T_学生別進路[[#This Row],[進学希望フラグ]]=0,"",IF(T_学生別進路[[#This Row],[進路確定]]="○",1,0))</f>
        <v>1</v>
      </c>
      <c r="G14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3" s="30" t="str">
        <f>_xlfn.XLOOKUP(T_学生別進路[[#This Row],[学籍番号]]&amp;"○",進路状況入力シート!K:K,進路状況入力シート!D:D,"",0,1)</f>
        <v>流通科学大学</v>
      </c>
      <c r="I143" s="30"/>
      <c r="J143" s="31">
        <v>45962</v>
      </c>
      <c r="K143" s="30">
        <f>IF(T_学生別進路[[#This Row],[合格時期]]="",0,IF(T_学生別進路[[#This Row],[合格時期]]&lt;K$5,1,0))</f>
        <v>1</v>
      </c>
      <c r="L143" s="30">
        <f>IF(T_学生別進路[[#This Row],[合格時期]]="",0,IF(T_学生別進路[[#This Row],[合格時期]]&lt;L$5,1,0))</f>
        <v>1</v>
      </c>
      <c r="M143" s="30">
        <f>IF(T_学生別進路[[#This Row],[合格時期]]="",0,IF(T_学生別進路[[#This Row],[合格時期]]&lt;M$5,1,0))</f>
        <v>1</v>
      </c>
      <c r="N143" s="30">
        <f>IF(T_学生別進路[[#This Row],[合格時期]]="",0,IF(T_学生別進路[[#This Row],[合格時期]]&lt;N$5,1,0))</f>
        <v>1</v>
      </c>
      <c r="O143" s="30">
        <f>IF(T_学生別進路[[#This Row],[合格時期]]="",0,IF(T_学生別進路[[#This Row],[合格時期]]&lt;O$5,1,0))</f>
        <v>1</v>
      </c>
      <c r="P143" s="30"/>
      <c r="Q143" s="3"/>
      <c r="R143" s="3"/>
      <c r="S143" s="3"/>
      <c r="T143" s="3"/>
      <c r="U143" s="3"/>
    </row>
    <row r="144" spans="1:21" hidden="1" x14ac:dyDescent="0.15">
      <c r="A144" s="32">
        <v>2404136</v>
      </c>
      <c r="B144" s="30" t="str">
        <f>VLOOKUP(T_学生別進路[[#This Row],[学籍番号]],進路状況入力シート!A:B,2,FALSE)</f>
        <v>2-8</v>
      </c>
      <c r="C144" s="30" t="str">
        <f>VLOOKUP(T_学生別進路[[#This Row],[学籍番号]],進路状況入力シート!A:C,3,FALSE)</f>
        <v>PYAKUREL ANKIT</v>
      </c>
      <c r="D144" s="30" t="str">
        <f>IF(AND(T_学生別進路[[#This Row],[進路確定]]="○",T_学生別進路[[#This Row],[進学希望フラグ]]=1),"○","")</f>
        <v>○</v>
      </c>
      <c r="E144" s="30" t="str">
        <f>_xlfn.IFNA(RIGHT(VLOOKUP(T_学生別進路[[#This Row],[学籍番号]]&amp;"○",進路状況入力シート!K:K,1,FALSE),1),"")</f>
        <v>○</v>
      </c>
      <c r="F144" s="30">
        <f>IF(T_学生別進路[[#This Row],[進学希望フラグ]]=0,"",IF(T_学生別進路[[#This Row],[進路確定]]="○",1,0))</f>
        <v>1</v>
      </c>
      <c r="G14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4" s="30" t="str">
        <f>_xlfn.XLOOKUP(T_学生別進路[[#This Row],[学籍番号]]&amp;"○",進路状況入力シート!K:K,進路状況入力シート!D:D,"",0,1)</f>
        <v>関西国際旅行・ホテル専門学校</v>
      </c>
      <c r="I144" s="30"/>
      <c r="J144" s="31">
        <v>45870</v>
      </c>
      <c r="K144" s="30">
        <f>IF(T_学生別進路[[#This Row],[合格時期]]="",0,IF(T_学生別進路[[#This Row],[合格時期]]&lt;K$5,1,0))</f>
        <v>1</v>
      </c>
      <c r="L144" s="30">
        <f>IF(T_学生別進路[[#This Row],[合格時期]]="",0,IF(T_学生別進路[[#This Row],[合格時期]]&lt;L$5,1,0))</f>
        <v>1</v>
      </c>
      <c r="M144" s="30">
        <f>IF(T_学生別進路[[#This Row],[合格時期]]="",0,IF(T_学生別進路[[#This Row],[合格時期]]&lt;M$5,1,0))</f>
        <v>1</v>
      </c>
      <c r="N144" s="30">
        <f>IF(T_学生別進路[[#This Row],[合格時期]]="",0,IF(T_学生別進路[[#This Row],[合格時期]]&lt;N$5,1,0))</f>
        <v>1</v>
      </c>
      <c r="O144" s="30">
        <f>IF(T_学生別進路[[#This Row],[合格時期]]="",0,IF(T_学生別進路[[#This Row],[合格時期]]&lt;O$5,1,0))</f>
        <v>1</v>
      </c>
      <c r="P144" s="30"/>
      <c r="Q144" s="3"/>
      <c r="R144" s="3"/>
      <c r="S144" s="3"/>
      <c r="T144" s="3"/>
      <c r="U144" s="3"/>
    </row>
    <row r="145" spans="1:21" hidden="1" x14ac:dyDescent="0.15">
      <c r="A145" s="32">
        <v>2404141</v>
      </c>
      <c r="B145" s="30" t="str">
        <f>VLOOKUP(T_学生別進路[[#This Row],[学籍番号]],進路状況入力シート!A:B,2,FALSE)</f>
        <v>2-8</v>
      </c>
      <c r="C145" s="30" t="str">
        <f>VLOOKUP(T_学生別進路[[#This Row],[学籍番号]],進路状況入力シート!A:C,3,FALSE)</f>
        <v>BISHAL TAMANG</v>
      </c>
      <c r="D145" s="30" t="str">
        <f>IF(AND(T_学生別進路[[#This Row],[進路確定]]="○",T_学生別進路[[#This Row],[進学希望フラグ]]=1),"○","")</f>
        <v>○</v>
      </c>
      <c r="E145" s="30" t="str">
        <f>_xlfn.IFNA(RIGHT(VLOOKUP(T_学生別進路[[#This Row],[学籍番号]]&amp;"○",進路状況入力シート!K:K,1,FALSE),1),"")</f>
        <v>○</v>
      </c>
      <c r="F145" s="30">
        <f>IF(T_学生別進路[[#This Row],[進学希望フラグ]]=0,"",IF(T_学生別進路[[#This Row],[進路確定]]="○",1,0))</f>
        <v>1</v>
      </c>
      <c r="G14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5" s="30" t="str">
        <f>_xlfn.XLOOKUP(T_学生別進路[[#This Row],[学籍番号]]&amp;"○",進路状況入力シート!K:K,進路状況入力シート!D:D,"",0,1)</f>
        <v>神戸電子専門学校</v>
      </c>
      <c r="I145" s="39"/>
      <c r="J145" s="31">
        <v>45992</v>
      </c>
      <c r="K145" s="30">
        <f>IF(T_学生別進路[[#This Row],[合格時期]]="",0,IF(T_学生別進路[[#This Row],[合格時期]]&lt;K$5,1,0))</f>
        <v>0</v>
      </c>
      <c r="L145" s="30">
        <f>IF(T_学生別進路[[#This Row],[合格時期]]="",0,IF(T_学生別進路[[#This Row],[合格時期]]&lt;L$5,1,0))</f>
        <v>1</v>
      </c>
      <c r="M145" s="30">
        <f>IF(T_学生別進路[[#This Row],[合格時期]]="",0,IF(T_学生別進路[[#This Row],[合格時期]]&lt;M$5,1,0))</f>
        <v>1</v>
      </c>
      <c r="N145" s="30">
        <f>IF(T_学生別進路[[#This Row],[合格時期]]="",0,IF(T_学生別進路[[#This Row],[合格時期]]&lt;N$5,1,0))</f>
        <v>1</v>
      </c>
      <c r="O145" s="30">
        <f>IF(T_学生別進路[[#This Row],[合格時期]]="",0,IF(T_学生別進路[[#This Row],[合格時期]]&lt;O$5,1,0))</f>
        <v>1</v>
      </c>
      <c r="P145" s="30"/>
      <c r="Q145" s="3"/>
      <c r="R145" s="3"/>
      <c r="S145" s="3"/>
      <c r="T145" s="3"/>
      <c r="U145" s="3"/>
    </row>
    <row r="146" spans="1:21" hidden="1" x14ac:dyDescent="0.15">
      <c r="A146" s="32">
        <v>2404143</v>
      </c>
      <c r="B146" s="30" t="str">
        <f>VLOOKUP(T_学生別進路[[#This Row],[学籍番号]],進路状況入力シート!A:B,2,FALSE)</f>
        <v>2-8</v>
      </c>
      <c r="C146" s="30" t="str">
        <f>VLOOKUP(T_学生別進路[[#This Row],[学籍番号]],進路状況入力シート!A:C,3,FALSE)</f>
        <v>GHARTI MAGAR ESTHER</v>
      </c>
      <c r="D146" s="30" t="str">
        <f>IF(AND(T_学生別進路[[#This Row],[進路確定]]="○",T_学生別進路[[#This Row],[進学希望フラグ]]=1),"○","")</f>
        <v>○</v>
      </c>
      <c r="E146" s="30" t="str">
        <f>_xlfn.IFNA(RIGHT(VLOOKUP(T_学生別進路[[#This Row],[学籍番号]]&amp;"○",進路状況入力シート!K:K,1,FALSE),1),"")</f>
        <v>○</v>
      </c>
      <c r="F146" s="30">
        <f>IF(T_学生別進路[[#This Row],[進学希望フラグ]]=0,"",IF(T_学生別進路[[#This Row],[進路確定]]="○",1,0))</f>
        <v>1</v>
      </c>
      <c r="G14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6" s="30" t="str">
        <f>_xlfn.XLOOKUP(T_学生別進路[[#This Row],[学籍番号]]&amp;"○",進路状況入力シート!K:K,進路状況入力シート!D:D,"",0,1)</f>
        <v>流通科学大学</v>
      </c>
      <c r="I146" s="30"/>
      <c r="J146" s="31">
        <v>45962</v>
      </c>
      <c r="K146" s="30">
        <f>IF(T_学生別進路[[#This Row],[合格時期]]="",0,IF(T_学生別進路[[#This Row],[合格時期]]&lt;K$5,1,0))</f>
        <v>1</v>
      </c>
      <c r="L146" s="30">
        <f>IF(T_学生別進路[[#This Row],[合格時期]]="",0,IF(T_学生別進路[[#This Row],[合格時期]]&lt;L$5,1,0))</f>
        <v>1</v>
      </c>
      <c r="M146" s="30">
        <f>IF(T_学生別進路[[#This Row],[合格時期]]="",0,IF(T_学生別進路[[#This Row],[合格時期]]&lt;M$5,1,0))</f>
        <v>1</v>
      </c>
      <c r="N146" s="30">
        <f>IF(T_学生別進路[[#This Row],[合格時期]]="",0,IF(T_学生別進路[[#This Row],[合格時期]]&lt;N$5,1,0))</f>
        <v>1</v>
      </c>
      <c r="O146" s="30">
        <f>IF(T_学生別進路[[#This Row],[合格時期]]="",0,IF(T_学生別進路[[#This Row],[合格時期]]&lt;O$5,1,0))</f>
        <v>1</v>
      </c>
      <c r="P146" s="30"/>
      <c r="Q146" s="3"/>
      <c r="R146" s="3"/>
      <c r="S146" s="3"/>
      <c r="T146" s="3"/>
      <c r="U146" s="3"/>
    </row>
    <row r="147" spans="1:21" hidden="1" x14ac:dyDescent="0.15">
      <c r="A147" s="32">
        <v>2404162</v>
      </c>
      <c r="B147" s="30" t="str">
        <f>VLOOKUP(T_学生別進路[[#This Row],[学籍番号]],進路状況入力シート!A:B,2,FALSE)</f>
        <v>2-8</v>
      </c>
      <c r="C147" s="30" t="str">
        <f>VLOOKUP(T_学生別進路[[#This Row],[学籍番号]],進路状況入力シート!A:C,3,FALSE)</f>
        <v>DHENGA DEB BAHADUR</v>
      </c>
      <c r="D147" s="30" t="str">
        <f>IF(AND(T_学生別進路[[#This Row],[進路確定]]="○",T_学生別進路[[#This Row],[進学希望フラグ]]=1),"○","")</f>
        <v>○</v>
      </c>
      <c r="E147" s="30" t="str">
        <f>_xlfn.IFNA(RIGHT(VLOOKUP(T_学生別進路[[#This Row],[学籍番号]]&amp;"○",進路状況入力シート!K:K,1,FALSE),1),"")</f>
        <v>○</v>
      </c>
      <c r="F147" s="30">
        <f>IF(T_学生別進路[[#This Row],[進学希望フラグ]]=0,"",IF(T_学生別進路[[#This Row],[進路確定]]="○",1,0))</f>
        <v>1</v>
      </c>
      <c r="G14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7" s="30" t="str">
        <f>_xlfn.XLOOKUP(T_学生別進路[[#This Row],[学籍番号]]&amp;"○",進路状況入力シート!K:K,進路状況入力シート!D:D,"",0,1)</f>
        <v>日本工科大学校</v>
      </c>
      <c r="I147" s="30"/>
      <c r="J147" s="31">
        <v>45809</v>
      </c>
      <c r="K147" s="30">
        <f>IF(T_学生別進路[[#This Row],[合格時期]]="",0,IF(T_学生別進路[[#This Row],[合格時期]]&lt;K$5,1,0))</f>
        <v>1</v>
      </c>
      <c r="L147" s="30">
        <f>IF(T_学生別進路[[#This Row],[合格時期]]="",0,IF(T_学生別進路[[#This Row],[合格時期]]&lt;L$5,1,0))</f>
        <v>1</v>
      </c>
      <c r="M147" s="30">
        <f>IF(T_学生別進路[[#This Row],[合格時期]]="",0,IF(T_学生別進路[[#This Row],[合格時期]]&lt;M$5,1,0))</f>
        <v>1</v>
      </c>
      <c r="N147" s="30">
        <f>IF(T_学生別進路[[#This Row],[合格時期]]="",0,IF(T_学生別進路[[#This Row],[合格時期]]&lt;N$5,1,0))</f>
        <v>1</v>
      </c>
      <c r="O147" s="30">
        <f>IF(T_学生別進路[[#This Row],[合格時期]]="",0,IF(T_学生別進路[[#This Row],[合格時期]]&lt;O$5,1,0))</f>
        <v>1</v>
      </c>
      <c r="P147" s="30"/>
      <c r="Q147" s="3"/>
      <c r="R147" s="3"/>
      <c r="S147" s="3"/>
      <c r="T147" s="3"/>
      <c r="U147" s="3"/>
    </row>
    <row r="148" spans="1:21" hidden="1" x14ac:dyDescent="0.15">
      <c r="A148" s="32">
        <v>2404173</v>
      </c>
      <c r="B148" s="30" t="str">
        <f>VLOOKUP(T_学生別進路[[#This Row],[学籍番号]],進路状況入力シート!A:B,2,FALSE)</f>
        <v>2-8</v>
      </c>
      <c r="C148" s="30" t="str">
        <f>VLOOKUP(T_学生別進路[[#This Row],[学籍番号]],進路状況入力シート!A:C,3,FALSE)</f>
        <v>DIPESH TAMANG</v>
      </c>
      <c r="D148" s="30" t="str">
        <f>IF(AND(T_学生別進路[[#This Row],[進路確定]]="○",T_学生別進路[[#This Row],[進学希望フラグ]]=1),"○","")</f>
        <v>○</v>
      </c>
      <c r="E148" s="30" t="str">
        <f>_xlfn.IFNA(RIGHT(VLOOKUP(T_学生別進路[[#This Row],[学籍番号]]&amp;"○",進路状況入力シート!K:K,1,FALSE),1),"")</f>
        <v>○</v>
      </c>
      <c r="F148" s="30">
        <f>IF(T_学生別進路[[#This Row],[進学希望フラグ]]=0,"",IF(T_学生別進路[[#This Row],[進路確定]]="○",1,0))</f>
        <v>1</v>
      </c>
      <c r="G14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8" s="30" t="str">
        <f>_xlfn.XLOOKUP(T_学生別進路[[#This Row],[学籍番号]]&amp;"○",進路状況入力シート!K:K,進路状況入力シート!D:D,"",0,1)</f>
        <v>愛甲学院専門学校</v>
      </c>
      <c r="I148" s="30"/>
      <c r="J148" s="31">
        <v>45962</v>
      </c>
      <c r="K148" s="30">
        <f>IF(T_学生別進路[[#This Row],[合格時期]]="",0,IF(T_学生別進路[[#This Row],[合格時期]]&lt;K$5,1,0))</f>
        <v>1</v>
      </c>
      <c r="L148" s="30">
        <f>IF(T_学生別進路[[#This Row],[合格時期]]="",0,IF(T_学生別進路[[#This Row],[合格時期]]&lt;L$5,1,0))</f>
        <v>1</v>
      </c>
      <c r="M148" s="30">
        <f>IF(T_学生別進路[[#This Row],[合格時期]]="",0,IF(T_学生別進路[[#This Row],[合格時期]]&lt;M$5,1,0))</f>
        <v>1</v>
      </c>
      <c r="N148" s="30">
        <f>IF(T_学生別進路[[#This Row],[合格時期]]="",0,IF(T_学生別進路[[#This Row],[合格時期]]&lt;N$5,1,0))</f>
        <v>1</v>
      </c>
      <c r="O148" s="30">
        <f>IF(T_学生別進路[[#This Row],[合格時期]]="",0,IF(T_学生別進路[[#This Row],[合格時期]]&lt;O$5,1,0))</f>
        <v>1</v>
      </c>
      <c r="P148" s="30"/>
      <c r="Q148" s="3"/>
      <c r="R148" s="3"/>
      <c r="S148" s="3"/>
      <c r="T148" s="3"/>
      <c r="U148" s="3"/>
    </row>
    <row r="149" spans="1:21" hidden="1" x14ac:dyDescent="0.15">
      <c r="A149" s="32">
        <v>2404174</v>
      </c>
      <c r="B149" s="30" t="str">
        <f>VLOOKUP(T_学生別進路[[#This Row],[学籍番号]],進路状況入力シート!A:B,2,FALSE)</f>
        <v>2-8</v>
      </c>
      <c r="C149" s="30" t="str">
        <f>VLOOKUP(T_学生別進路[[#This Row],[学籍番号]],進路状況入力シート!A:C,3,FALSE)</f>
        <v>SANJOG SHAH</v>
      </c>
      <c r="D149" s="30" t="str">
        <f>IF(AND(T_学生別進路[[#This Row],[進路確定]]="○",T_学生別進路[[#This Row],[進学希望フラグ]]=1),"○","")</f>
        <v>○</v>
      </c>
      <c r="E149" s="30" t="str">
        <f>_xlfn.IFNA(RIGHT(VLOOKUP(T_学生別進路[[#This Row],[学籍番号]]&amp;"○",進路状況入力シート!K:K,1,FALSE),1),"")</f>
        <v>○</v>
      </c>
      <c r="F149" s="30">
        <f>IF(T_学生別進路[[#This Row],[進学希望フラグ]]=0,"",IF(T_学生別進路[[#This Row],[進路確定]]="○",1,0))</f>
        <v>1</v>
      </c>
      <c r="G14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49" s="30" t="str">
        <f>_xlfn.XLOOKUP(T_学生別進路[[#This Row],[学籍番号]]&amp;"○",進路状況入力シート!K:K,進路状況入力シート!D:D,"",0,1)</f>
        <v>関西国際大学</v>
      </c>
      <c r="I149" s="30"/>
      <c r="J149" s="31">
        <v>45992</v>
      </c>
      <c r="K149" s="30">
        <f>IF(T_学生別進路[[#This Row],[合格時期]]="",0,IF(T_学生別進路[[#This Row],[合格時期]]&lt;K$5,1,0))</f>
        <v>0</v>
      </c>
      <c r="L149" s="30">
        <f>IF(T_学生別進路[[#This Row],[合格時期]]="",0,IF(T_学生別進路[[#This Row],[合格時期]]&lt;L$5,1,0))</f>
        <v>1</v>
      </c>
      <c r="M149" s="30">
        <f>IF(T_学生別進路[[#This Row],[合格時期]]="",0,IF(T_学生別進路[[#This Row],[合格時期]]&lt;M$5,1,0))</f>
        <v>1</v>
      </c>
      <c r="N149" s="30">
        <f>IF(T_学生別進路[[#This Row],[合格時期]]="",0,IF(T_学生別進路[[#This Row],[合格時期]]&lt;N$5,1,0))</f>
        <v>1</v>
      </c>
      <c r="O149" s="30">
        <f>IF(T_学生別進路[[#This Row],[合格時期]]="",0,IF(T_学生別進路[[#This Row],[合格時期]]&lt;O$5,1,0))</f>
        <v>1</v>
      </c>
      <c r="P149" s="30"/>
      <c r="Q149" s="3"/>
      <c r="R149" s="3"/>
      <c r="S149" s="3"/>
      <c r="T149" s="3"/>
      <c r="U149" s="3"/>
    </row>
    <row r="150" spans="1:21" hidden="1" x14ac:dyDescent="0.15">
      <c r="A150" s="32">
        <v>2404180</v>
      </c>
      <c r="B150" s="30" t="str">
        <f>VLOOKUP(T_学生別進路[[#This Row],[学籍番号]],進路状況入力シート!A:B,2,FALSE)</f>
        <v>2-8</v>
      </c>
      <c r="C150" s="30" t="str">
        <f>VLOOKUP(T_学生別進路[[#This Row],[学籍番号]],進路状況入力シート!A:C,3,FALSE)</f>
        <v>SITA PUDASAINI</v>
      </c>
      <c r="D150" s="30" t="str">
        <f>IF(AND(T_学生別進路[[#This Row],[進路確定]]="○",T_学生別進路[[#This Row],[進学希望フラグ]]=1),"○","")</f>
        <v>○</v>
      </c>
      <c r="E150" s="30" t="str">
        <f>_xlfn.IFNA(RIGHT(VLOOKUP(T_学生別進路[[#This Row],[学籍番号]]&amp;"○",進路状況入力シート!K:K,1,FALSE),1),"")</f>
        <v>○</v>
      </c>
      <c r="F150" s="30">
        <f>IF(T_学生別進路[[#This Row],[進学希望フラグ]]=0,"",IF(T_学生別進路[[#This Row],[進路確定]]="○",1,0))</f>
        <v>1</v>
      </c>
      <c r="G15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0" s="30" t="str">
        <f>_xlfn.XLOOKUP(T_学生別進路[[#This Row],[学籍番号]]&amp;"○",進路状況入力シート!K:K,進路状況入力シート!D:D,"",0,1)</f>
        <v>福岡外語専門学校</v>
      </c>
      <c r="I150" s="30"/>
      <c r="J150" s="31">
        <v>45870</v>
      </c>
      <c r="K150" s="30">
        <f>IF(T_学生別進路[[#This Row],[合格時期]]="",0,IF(T_学生別進路[[#This Row],[合格時期]]&lt;K$5,1,0))</f>
        <v>1</v>
      </c>
      <c r="L150" s="30">
        <f>IF(T_学生別進路[[#This Row],[合格時期]]="",0,IF(T_学生別進路[[#This Row],[合格時期]]&lt;L$5,1,0))</f>
        <v>1</v>
      </c>
      <c r="M150" s="30">
        <f>IF(T_学生別進路[[#This Row],[合格時期]]="",0,IF(T_学生別進路[[#This Row],[合格時期]]&lt;M$5,1,0))</f>
        <v>1</v>
      </c>
      <c r="N150" s="30">
        <f>IF(T_学生別進路[[#This Row],[合格時期]]="",0,IF(T_学生別進路[[#This Row],[合格時期]]&lt;N$5,1,0))</f>
        <v>1</v>
      </c>
      <c r="O150" s="30">
        <f>IF(T_学生別進路[[#This Row],[合格時期]]="",0,IF(T_学生別進路[[#This Row],[合格時期]]&lt;O$5,1,0))</f>
        <v>1</v>
      </c>
      <c r="P150" s="30"/>
      <c r="Q150" s="3"/>
      <c r="R150" s="3"/>
      <c r="S150" s="3"/>
      <c r="T150" s="3"/>
      <c r="U150" s="3"/>
    </row>
    <row r="151" spans="1:21" hidden="1" x14ac:dyDescent="0.15">
      <c r="A151" s="32">
        <v>2407012</v>
      </c>
      <c r="B151" s="30" t="str">
        <f>VLOOKUP(T_学生別進路[[#This Row],[学籍番号]],進路状況入力シート!A:B,2,FALSE)</f>
        <v>2-8</v>
      </c>
      <c r="C151" s="30" t="str">
        <f>VLOOKUP(T_学生別進路[[#This Row],[学籍番号]],進路状況入力シート!A:C,3,FALSE)</f>
        <v>KYAL SIN NYEIN</v>
      </c>
      <c r="D151" s="30" t="str">
        <f>IF(AND(T_学生別進路[[#This Row],[進路確定]]="○",T_学生別進路[[#This Row],[進学希望フラグ]]=1),"○","")</f>
        <v>○</v>
      </c>
      <c r="E151" s="30" t="str">
        <f>_xlfn.IFNA(RIGHT(VLOOKUP(T_学生別進路[[#This Row],[学籍番号]]&amp;"○",進路状況入力シート!K:K,1,FALSE),1),"")</f>
        <v>○</v>
      </c>
      <c r="F151" s="30">
        <f>IF(T_学生別進路[[#This Row],[進学希望フラグ]]=0,"",IF(T_学生別進路[[#This Row],[進路確定]]="○",1,0))</f>
        <v>1</v>
      </c>
      <c r="G15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1" s="30" t="str">
        <f>_xlfn.XLOOKUP(T_学生別進路[[#This Row],[学籍番号]]&amp;"○",進路状況入力シート!K:K,進路状況入力シート!D:D,"",0,1)</f>
        <v>関西国際旅行・ホテル専門学校</v>
      </c>
      <c r="I151" s="30"/>
      <c r="J151" s="31">
        <v>45992</v>
      </c>
      <c r="K151" s="30">
        <f>IF(T_学生別進路[[#This Row],[合格時期]]="",0,IF(T_学生別進路[[#This Row],[合格時期]]&lt;K$5,1,0))</f>
        <v>0</v>
      </c>
      <c r="L151" s="30">
        <f>IF(T_学生別進路[[#This Row],[合格時期]]="",0,IF(T_学生別進路[[#This Row],[合格時期]]&lt;L$5,1,0))</f>
        <v>1</v>
      </c>
      <c r="M151" s="30">
        <f>IF(T_学生別進路[[#This Row],[合格時期]]="",0,IF(T_学生別進路[[#This Row],[合格時期]]&lt;M$5,1,0))</f>
        <v>1</v>
      </c>
      <c r="N151" s="30">
        <f>IF(T_学生別進路[[#This Row],[合格時期]]="",0,IF(T_学生別進路[[#This Row],[合格時期]]&lt;N$5,1,0))</f>
        <v>1</v>
      </c>
      <c r="O151" s="30">
        <f>IF(T_学生別進路[[#This Row],[合格時期]]="",0,IF(T_学生別進路[[#This Row],[合格時期]]&lt;O$5,1,0))</f>
        <v>1</v>
      </c>
      <c r="P151" s="30"/>
      <c r="Q151" s="3"/>
      <c r="R151" s="3"/>
      <c r="S151" s="3"/>
      <c r="T151" s="3"/>
      <c r="U151" s="3"/>
    </row>
    <row r="152" spans="1:21" hidden="1" x14ac:dyDescent="0.15">
      <c r="A152" s="32">
        <v>2407027</v>
      </c>
      <c r="B152" s="30" t="str">
        <f>VLOOKUP(T_学生別進路[[#This Row],[学籍番号]],進路状況入力シート!A:B,2,FALSE)</f>
        <v>2-8</v>
      </c>
      <c r="C152" s="30" t="str">
        <f>VLOOKUP(T_学生別進路[[#This Row],[学籍番号]],進路状況入力シート!A:C,3,FALSE)</f>
        <v>MI MI ZIN</v>
      </c>
      <c r="D152" s="30" t="str">
        <f>IF(AND(T_学生別進路[[#This Row],[進路確定]]="○",T_学生別進路[[#This Row],[進学希望フラグ]]=1),"○","")</f>
        <v>○</v>
      </c>
      <c r="E152" s="30" t="str">
        <f>_xlfn.IFNA(RIGHT(VLOOKUP(T_学生別進路[[#This Row],[学籍番号]]&amp;"○",進路状況入力シート!K:K,1,FALSE),1),"")</f>
        <v>○</v>
      </c>
      <c r="F152" s="30">
        <f>IF(T_学生別進路[[#This Row],[進学希望フラグ]]=0,"",IF(T_学生別進路[[#This Row],[進路確定]]="○",1,0))</f>
        <v>1</v>
      </c>
      <c r="G15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2" s="30" t="str">
        <f>_xlfn.XLOOKUP(T_学生別進路[[#This Row],[学籍番号]]&amp;"○",進路状況入力シート!K:K,進路状況入力シート!D:D,"",0,1)</f>
        <v>修成建設専門学校</v>
      </c>
      <c r="I152" s="30"/>
      <c r="J152" s="31">
        <v>45992</v>
      </c>
      <c r="K152" s="30">
        <f>IF(T_学生別進路[[#This Row],[合格時期]]="",0,IF(T_学生別進路[[#This Row],[合格時期]]&lt;K$5,1,0))</f>
        <v>0</v>
      </c>
      <c r="L152" s="30">
        <f>IF(T_学生別進路[[#This Row],[合格時期]]="",0,IF(T_学生別進路[[#This Row],[合格時期]]&lt;L$5,1,0))</f>
        <v>1</v>
      </c>
      <c r="M152" s="30">
        <f>IF(T_学生別進路[[#This Row],[合格時期]]="",0,IF(T_学生別進路[[#This Row],[合格時期]]&lt;M$5,1,0))</f>
        <v>1</v>
      </c>
      <c r="N152" s="30">
        <f>IF(T_学生別進路[[#This Row],[合格時期]]="",0,IF(T_学生別進路[[#This Row],[合格時期]]&lt;N$5,1,0))</f>
        <v>1</v>
      </c>
      <c r="O152" s="30">
        <f>IF(T_学生別進路[[#This Row],[合格時期]]="",0,IF(T_学生別進路[[#This Row],[合格時期]]&lt;O$5,1,0))</f>
        <v>1</v>
      </c>
      <c r="P152" s="30"/>
      <c r="Q152" s="3"/>
      <c r="R152" s="3"/>
      <c r="S152" s="3"/>
      <c r="T152" s="3"/>
      <c r="U152" s="3"/>
    </row>
    <row r="153" spans="1:21" hidden="1" x14ac:dyDescent="0.15">
      <c r="A153" s="32">
        <v>2407061</v>
      </c>
      <c r="B153" s="30" t="str">
        <f>VLOOKUP(T_学生別進路[[#This Row],[学籍番号]],進路状況入力シート!A:B,2,FALSE)</f>
        <v>2-8</v>
      </c>
      <c r="C153" s="30" t="str">
        <f>VLOOKUP(T_学生別進路[[#This Row],[学籍番号]],進路状況入力シート!A:C,3,FALSE)</f>
        <v>HASAN MEHEDI</v>
      </c>
      <c r="D153" s="30" t="str">
        <f>IF(AND(T_学生別進路[[#This Row],[進路確定]]="○",T_学生別進路[[#This Row],[進学希望フラグ]]=1),"○","")</f>
        <v>○</v>
      </c>
      <c r="E153" s="30" t="str">
        <f>_xlfn.IFNA(RIGHT(VLOOKUP(T_学生別進路[[#This Row],[学籍番号]]&amp;"○",進路状況入力シート!K:K,1,FALSE),1),"")</f>
        <v>○</v>
      </c>
      <c r="F153" s="30">
        <f>IF(T_学生別進路[[#This Row],[進学希望フラグ]]=0,"",IF(T_学生別進路[[#This Row],[進路確定]]="○",1,0))</f>
        <v>1</v>
      </c>
      <c r="G15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3" s="30" t="str">
        <f>_xlfn.XLOOKUP(T_学生別進路[[#This Row],[学籍番号]]&amp;"○",進路状況入力シート!K:K,進路状況入力シート!D:D,"",0,1)</f>
        <v>大和大学</v>
      </c>
      <c r="I153" s="39" t="s">
        <v>626</v>
      </c>
      <c r="J153" s="31">
        <v>46023</v>
      </c>
      <c r="K153" s="30">
        <f>IF(T_学生別進路[[#This Row],[合格時期]]="",0,IF(T_学生別進路[[#This Row],[合格時期]]&lt;K$5,1,0))</f>
        <v>0</v>
      </c>
      <c r="L153" s="30">
        <f>IF(T_学生別進路[[#This Row],[合格時期]]="",0,IF(T_学生別進路[[#This Row],[合格時期]]&lt;L$5,1,0))</f>
        <v>0</v>
      </c>
      <c r="M153" s="30">
        <f>IF(T_学生別進路[[#This Row],[合格時期]]="",0,IF(T_学生別進路[[#This Row],[合格時期]]&lt;M$5,1,0))</f>
        <v>1</v>
      </c>
      <c r="N153" s="30">
        <f>IF(T_学生別進路[[#This Row],[合格時期]]="",0,IF(T_学生別進路[[#This Row],[合格時期]]&lt;N$5,1,0))</f>
        <v>1</v>
      </c>
      <c r="O153" s="30">
        <f>IF(T_学生別進路[[#This Row],[合格時期]]="",0,IF(T_学生別進路[[#This Row],[合格時期]]&lt;O$5,1,0))</f>
        <v>1</v>
      </c>
      <c r="P153" s="30"/>
      <c r="Q153" s="3"/>
      <c r="R153" s="3"/>
      <c r="S153" s="3"/>
      <c r="T153" s="3"/>
      <c r="U153" s="3"/>
    </row>
    <row r="154" spans="1:21" hidden="1" x14ac:dyDescent="0.15">
      <c r="A154" s="32">
        <v>2404007</v>
      </c>
      <c r="B154" s="30" t="str">
        <f>VLOOKUP(T_学生別進路[[#This Row],[学籍番号]],進路状況入力シート!A:B,2,FALSE)</f>
        <v>2-9</v>
      </c>
      <c r="C154" s="30" t="str">
        <f>VLOOKUP(T_学生別進路[[#This Row],[学籍番号]],進路状況入力シート!A:C,3,FALSE)</f>
        <v>于 国坤</v>
      </c>
      <c r="D154" s="30" t="str">
        <f>IF(AND(T_学生別進路[[#This Row],[進路確定]]="○",T_学生別進路[[#This Row],[進学希望フラグ]]=1),"○","")</f>
        <v>○</v>
      </c>
      <c r="E154" s="30" t="str">
        <f>_xlfn.IFNA(RIGHT(VLOOKUP(T_学生別進路[[#This Row],[学籍番号]]&amp;"○",進路状況入力シート!K:K,1,FALSE),1),"")</f>
        <v>○</v>
      </c>
      <c r="F154" s="30">
        <f>IF(T_学生別進路[[#This Row],[進学希望フラグ]]=0,"",IF(T_学生別進路[[#This Row],[進路確定]]="○",1,0))</f>
        <v>1</v>
      </c>
      <c r="G15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4" s="30" t="str">
        <f>_xlfn.XLOOKUP(T_学生別進路[[#This Row],[学籍番号]]&amp;"○",進路状況入力シート!K:K,進路状況入力シート!D:D,"",0,1)</f>
        <v>神戸親和大学</v>
      </c>
      <c r="I154" s="39" t="s">
        <v>626</v>
      </c>
      <c r="J154" s="31">
        <v>45992</v>
      </c>
      <c r="K154" s="30">
        <f>IF(T_学生別進路[[#This Row],[合格時期]]="",0,IF(T_学生別進路[[#This Row],[合格時期]]&lt;K$5,1,0))</f>
        <v>0</v>
      </c>
      <c r="L154" s="30">
        <f>IF(T_学生別進路[[#This Row],[合格時期]]="",0,IF(T_学生別進路[[#This Row],[合格時期]]&lt;L$5,1,0))</f>
        <v>1</v>
      </c>
      <c r="M154" s="30">
        <f>IF(T_学生別進路[[#This Row],[合格時期]]="",0,IF(T_学生別進路[[#This Row],[合格時期]]&lt;M$5,1,0))</f>
        <v>1</v>
      </c>
      <c r="N154" s="30">
        <f>IF(T_学生別進路[[#This Row],[合格時期]]="",0,IF(T_学生別進路[[#This Row],[合格時期]]&lt;N$5,1,0))</f>
        <v>1</v>
      </c>
      <c r="O154" s="30">
        <f>IF(T_学生別進路[[#This Row],[合格時期]]="",0,IF(T_学生別進路[[#This Row],[合格時期]]&lt;O$5,1,0))</f>
        <v>1</v>
      </c>
      <c r="P154" s="30"/>
      <c r="Q154" s="3"/>
      <c r="R154" s="3"/>
      <c r="S154" s="3"/>
      <c r="T154" s="3"/>
      <c r="U154" s="3"/>
    </row>
    <row r="155" spans="1:21" hidden="1" x14ac:dyDescent="0.15">
      <c r="A155" s="32">
        <v>2404033</v>
      </c>
      <c r="B155" s="30" t="str">
        <f>VLOOKUP(T_学生別進路[[#This Row],[学籍番号]],進路状況入力シート!A:B,2,FALSE)</f>
        <v>2-9</v>
      </c>
      <c r="C155" s="30" t="str">
        <f>VLOOKUP(T_学生別進路[[#This Row],[学籍番号]],進路状況入力シート!A:C,3,FALSE)</f>
        <v>AUNG SATT PAING</v>
      </c>
      <c r="D155" s="30" t="str">
        <f>IF(AND(T_学生別進路[[#This Row],[進路確定]]="○",T_学生別進路[[#This Row],[進学希望フラグ]]=1),"○","")</f>
        <v>○</v>
      </c>
      <c r="E155" s="30" t="str">
        <f>_xlfn.IFNA(RIGHT(VLOOKUP(T_学生別進路[[#This Row],[学籍番号]]&amp;"○",進路状況入力シート!K:K,1,FALSE),1),"")</f>
        <v>○</v>
      </c>
      <c r="F155" s="30">
        <f>IF(T_学生別進路[[#This Row],[進学希望フラグ]]=0,"",IF(T_学生別進路[[#This Row],[進路確定]]="○",1,0))</f>
        <v>1</v>
      </c>
      <c r="G15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5" s="30" t="str">
        <f>_xlfn.XLOOKUP(T_学生別進路[[#This Row],[学籍番号]]&amp;"○",進路状況入力シート!K:K,進路状況入力シート!D:D,"",0,1)</f>
        <v>関西国際旅行・ホテル専門学校</v>
      </c>
      <c r="I155" s="39" t="s">
        <v>627</v>
      </c>
      <c r="J155" s="31">
        <v>45962</v>
      </c>
      <c r="K155" s="30">
        <f>IF(T_学生別進路[[#This Row],[合格時期]]="",0,IF(T_学生別進路[[#This Row],[合格時期]]&lt;K$5,1,0))</f>
        <v>1</v>
      </c>
      <c r="L155" s="30">
        <f>IF(T_学生別進路[[#This Row],[合格時期]]="",0,IF(T_学生別進路[[#This Row],[合格時期]]&lt;L$5,1,0))</f>
        <v>1</v>
      </c>
      <c r="M155" s="30">
        <f>IF(T_学生別進路[[#This Row],[合格時期]]="",0,IF(T_学生別進路[[#This Row],[合格時期]]&lt;M$5,1,0))</f>
        <v>1</v>
      </c>
      <c r="N155" s="30">
        <f>IF(T_学生別進路[[#This Row],[合格時期]]="",0,IF(T_学生別進路[[#This Row],[合格時期]]&lt;N$5,1,0))</f>
        <v>1</v>
      </c>
      <c r="O155" s="30">
        <f>IF(T_学生別進路[[#This Row],[合格時期]]="",0,IF(T_学生別進路[[#This Row],[合格時期]]&lt;O$5,1,0))</f>
        <v>1</v>
      </c>
      <c r="P155" s="30"/>
      <c r="Q155" s="3"/>
      <c r="R155" s="3"/>
      <c r="S155" s="3"/>
      <c r="T155" s="3"/>
      <c r="U155" s="3"/>
    </row>
    <row r="156" spans="1:21" hidden="1" x14ac:dyDescent="0.15">
      <c r="A156" s="32">
        <v>2404034</v>
      </c>
      <c r="B156" s="30" t="str">
        <f>VLOOKUP(T_学生別進路[[#This Row],[学籍番号]],進路状況入力シート!A:B,2,FALSE)</f>
        <v>2-9</v>
      </c>
      <c r="C156" s="30" t="str">
        <f>VLOOKUP(T_学生別進路[[#This Row],[学籍番号]],進路状況入力シート!A:C,3,FALSE)</f>
        <v>SOE LIN TUN</v>
      </c>
      <c r="D156" s="30" t="str">
        <f>IF(AND(T_学生別進路[[#This Row],[進路確定]]="○",T_学生別進路[[#This Row],[進学希望フラグ]]=1),"○","")</f>
        <v>○</v>
      </c>
      <c r="E156" s="30" t="str">
        <f>_xlfn.IFNA(RIGHT(VLOOKUP(T_学生別進路[[#This Row],[学籍番号]]&amp;"○",進路状況入力シート!K:K,1,FALSE),1),"")</f>
        <v>○</v>
      </c>
      <c r="F156" s="30">
        <f>IF(T_学生別進路[[#This Row],[進学希望フラグ]]=0,"",IF(T_学生別進路[[#This Row],[進路確定]]="○",1,0))</f>
        <v>1</v>
      </c>
      <c r="G15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6" s="30" t="str">
        <f>_xlfn.XLOOKUP(T_学生別進路[[#This Row],[学籍番号]]&amp;"○",進路状況入力シート!K:K,進路状況入力シート!D:D,"",0,1)</f>
        <v>専門学校広島国際ビジネスカレッジ</v>
      </c>
      <c r="I156" s="39" t="s">
        <v>630</v>
      </c>
      <c r="J156" s="31">
        <v>45962</v>
      </c>
      <c r="K156" s="30">
        <f>IF(T_学生別進路[[#This Row],[合格時期]]="",0,IF(T_学生別進路[[#This Row],[合格時期]]&lt;K$5,1,0))</f>
        <v>1</v>
      </c>
      <c r="L156" s="30">
        <f>IF(T_学生別進路[[#This Row],[合格時期]]="",0,IF(T_学生別進路[[#This Row],[合格時期]]&lt;L$5,1,0))</f>
        <v>1</v>
      </c>
      <c r="M156" s="30">
        <f>IF(T_学生別進路[[#This Row],[合格時期]]="",0,IF(T_学生別進路[[#This Row],[合格時期]]&lt;M$5,1,0))</f>
        <v>1</v>
      </c>
      <c r="N156" s="30">
        <f>IF(T_学生別進路[[#This Row],[合格時期]]="",0,IF(T_学生別進路[[#This Row],[合格時期]]&lt;N$5,1,0))</f>
        <v>1</v>
      </c>
      <c r="O156" s="30">
        <f>IF(T_学生別進路[[#This Row],[合格時期]]="",0,IF(T_学生別進路[[#This Row],[合格時期]]&lt;O$5,1,0))</f>
        <v>1</v>
      </c>
      <c r="P156" s="30"/>
      <c r="Q156" s="3"/>
      <c r="R156" s="3"/>
      <c r="S156" s="3"/>
      <c r="T156" s="3"/>
      <c r="U156" s="3"/>
    </row>
    <row r="157" spans="1:21" hidden="1" x14ac:dyDescent="0.15">
      <c r="A157" s="32">
        <v>2404037</v>
      </c>
      <c r="B157" s="30" t="str">
        <f>VLOOKUP(T_学生別進路[[#This Row],[学籍番号]],進路状況入力シート!A:B,2,FALSE)</f>
        <v>2-9</v>
      </c>
      <c r="C157" s="30" t="str">
        <f>VLOOKUP(T_学生別進路[[#This Row],[学籍番号]],進路状況入力シート!A:C,3,FALSE)</f>
        <v>MAUNG PHYU</v>
      </c>
      <c r="D157" s="30" t="str">
        <f>IF(AND(T_学生別進路[[#This Row],[進路確定]]="○",T_学生別進路[[#This Row],[進学希望フラグ]]=1),"○","")</f>
        <v>○</v>
      </c>
      <c r="E157" s="30" t="str">
        <f>_xlfn.IFNA(RIGHT(VLOOKUP(T_学生別進路[[#This Row],[学籍番号]]&amp;"○",進路状況入力シート!K:K,1,FALSE),1),"")</f>
        <v>○</v>
      </c>
      <c r="F157" s="30">
        <f>IF(T_学生別進路[[#This Row],[進学希望フラグ]]=0,"",IF(T_学生別進路[[#This Row],[進路確定]]="○",1,0))</f>
        <v>1</v>
      </c>
      <c r="G15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7" s="30" t="str">
        <f>_xlfn.XLOOKUP(T_学生別進路[[#This Row],[学籍番号]]&amp;"○",進路状況入力シート!K:K,進路状況入力シート!D:D,"",0,1)</f>
        <v>専門学校広島国際ビジネスカレッジ</v>
      </c>
      <c r="I157" s="39" t="s">
        <v>630</v>
      </c>
      <c r="J157" s="31">
        <v>45962</v>
      </c>
      <c r="K157" s="30">
        <f>IF(T_学生別進路[[#This Row],[合格時期]]="",0,IF(T_学生別進路[[#This Row],[合格時期]]&lt;K$5,1,0))</f>
        <v>1</v>
      </c>
      <c r="L157" s="30">
        <f>IF(T_学生別進路[[#This Row],[合格時期]]="",0,IF(T_学生別進路[[#This Row],[合格時期]]&lt;L$5,1,0))</f>
        <v>1</v>
      </c>
      <c r="M157" s="30">
        <f>IF(T_学生別進路[[#This Row],[合格時期]]="",0,IF(T_学生別進路[[#This Row],[合格時期]]&lt;M$5,1,0))</f>
        <v>1</v>
      </c>
      <c r="N157" s="30">
        <f>IF(T_学生別進路[[#This Row],[合格時期]]="",0,IF(T_学生別進路[[#This Row],[合格時期]]&lt;N$5,1,0))</f>
        <v>1</v>
      </c>
      <c r="O157" s="30">
        <f>IF(T_学生別進路[[#This Row],[合格時期]]="",0,IF(T_学生別進路[[#This Row],[合格時期]]&lt;O$5,1,0))</f>
        <v>1</v>
      </c>
      <c r="P157" s="30"/>
      <c r="Q157" s="3"/>
      <c r="R157" s="3"/>
      <c r="S157" s="3"/>
      <c r="T157" s="3"/>
      <c r="U157" s="3"/>
    </row>
    <row r="158" spans="1:21" hidden="1" x14ac:dyDescent="0.15">
      <c r="A158" s="32">
        <v>2404082</v>
      </c>
      <c r="B158" s="30" t="str">
        <f>VLOOKUP(T_学生別進路[[#This Row],[学籍番号]],進路状況入力シート!A:B,2,FALSE)</f>
        <v>2-9</v>
      </c>
      <c r="C158" s="30" t="str">
        <f>VLOOKUP(T_学生別進路[[#This Row],[学籍番号]],進路状況入力シート!A:C,3,FALSE)</f>
        <v>SHAHIN AHOMMED</v>
      </c>
      <c r="D158" s="30" t="str">
        <f>IF(AND(T_学生別進路[[#This Row],[進路確定]]="○",T_学生別進路[[#This Row],[進学希望フラグ]]=1),"○","")</f>
        <v>○</v>
      </c>
      <c r="E158" s="30" t="str">
        <f>_xlfn.IFNA(RIGHT(VLOOKUP(T_学生別進路[[#This Row],[学籍番号]]&amp;"○",進路状況入力シート!K:K,1,FALSE),1),"")</f>
        <v>○</v>
      </c>
      <c r="F158" s="30">
        <f>IF(T_学生別進路[[#This Row],[進学希望フラグ]]=0,"",IF(T_学生別進路[[#This Row],[進路確定]]="○",1,0))</f>
        <v>1</v>
      </c>
      <c r="G15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8" s="30" t="str">
        <f>_xlfn.XLOOKUP(T_学生別進路[[#This Row],[学籍番号]]&amp;"○",進路状況入力シート!K:K,進路状況入力シート!D:D,"",0,1)</f>
        <v>関西国際旅行・ホテル専門学校</v>
      </c>
      <c r="I158" s="30"/>
      <c r="J158" s="31">
        <v>45901</v>
      </c>
      <c r="K158" s="30">
        <f>IF(T_学生別進路[[#This Row],[合格時期]]="",0,IF(T_学生別進路[[#This Row],[合格時期]]&lt;K$5,1,0))</f>
        <v>1</v>
      </c>
      <c r="L158" s="30">
        <f>IF(T_学生別進路[[#This Row],[合格時期]]="",0,IF(T_学生別進路[[#This Row],[合格時期]]&lt;L$5,1,0))</f>
        <v>1</v>
      </c>
      <c r="M158" s="30">
        <f>IF(T_学生別進路[[#This Row],[合格時期]]="",0,IF(T_学生別進路[[#This Row],[合格時期]]&lt;M$5,1,0))</f>
        <v>1</v>
      </c>
      <c r="N158" s="30">
        <f>IF(T_学生別進路[[#This Row],[合格時期]]="",0,IF(T_学生別進路[[#This Row],[合格時期]]&lt;N$5,1,0))</f>
        <v>1</v>
      </c>
      <c r="O158" s="30">
        <f>IF(T_学生別進路[[#This Row],[合格時期]]="",0,IF(T_学生別進路[[#This Row],[合格時期]]&lt;O$5,1,0))</f>
        <v>1</v>
      </c>
      <c r="P158" s="30"/>
      <c r="Q158" s="3"/>
      <c r="R158" s="3"/>
      <c r="S158" s="3"/>
      <c r="T158" s="3"/>
      <c r="U158" s="3"/>
    </row>
    <row r="159" spans="1:21" hidden="1" x14ac:dyDescent="0.15">
      <c r="A159" s="32">
        <v>2404095</v>
      </c>
      <c r="B159" s="30" t="str">
        <f>VLOOKUP(T_学生別進路[[#This Row],[学籍番号]],進路状況入力シート!A:B,2,FALSE)</f>
        <v>2-9</v>
      </c>
      <c r="C159" s="30" t="str">
        <f>VLOOKUP(T_学生別進路[[#This Row],[学籍番号]],進路状況入力シート!A:C,3,FALSE)</f>
        <v>TANZIM AHMED AKASH</v>
      </c>
      <c r="D159" s="30" t="str">
        <f>IF(AND(T_学生別進路[[#This Row],[進路確定]]="○",T_学生別進路[[#This Row],[進学希望フラグ]]=1),"○","")</f>
        <v>○</v>
      </c>
      <c r="E159" s="30" t="str">
        <f>_xlfn.IFNA(RIGHT(VLOOKUP(T_学生別進路[[#This Row],[学籍番号]]&amp;"○",進路状況入力シート!K:K,1,FALSE),1),"")</f>
        <v>○</v>
      </c>
      <c r="F159" s="30">
        <f>IF(T_学生別進路[[#This Row],[進学希望フラグ]]=0,"",IF(T_学生別進路[[#This Row],[進路確定]]="○",1,0))</f>
        <v>1</v>
      </c>
      <c r="G15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59" s="30" t="str">
        <f>_xlfn.XLOOKUP(T_学生別進路[[#This Row],[学籍番号]]&amp;"○",進路状況入力シート!K:K,進路状況入力シート!D:D,"",0,1)</f>
        <v>国際アニメーション専門学校</v>
      </c>
      <c r="I159" s="39" t="s">
        <v>630</v>
      </c>
      <c r="J159" s="31">
        <v>45962</v>
      </c>
      <c r="K159" s="30">
        <f>IF(T_学生別進路[[#This Row],[合格時期]]="",0,IF(T_学生別進路[[#This Row],[合格時期]]&lt;K$5,1,0))</f>
        <v>1</v>
      </c>
      <c r="L159" s="30">
        <f>IF(T_学生別進路[[#This Row],[合格時期]]="",0,IF(T_学生別進路[[#This Row],[合格時期]]&lt;L$5,1,0))</f>
        <v>1</v>
      </c>
      <c r="M159" s="30">
        <f>IF(T_学生別進路[[#This Row],[合格時期]]="",0,IF(T_学生別進路[[#This Row],[合格時期]]&lt;M$5,1,0))</f>
        <v>1</v>
      </c>
      <c r="N159" s="30">
        <f>IF(T_学生別進路[[#This Row],[合格時期]]="",0,IF(T_学生別進路[[#This Row],[合格時期]]&lt;N$5,1,0))</f>
        <v>1</v>
      </c>
      <c r="O159" s="30">
        <f>IF(T_学生別進路[[#This Row],[合格時期]]="",0,IF(T_学生別進路[[#This Row],[合格時期]]&lt;O$5,1,0))</f>
        <v>1</v>
      </c>
      <c r="P159" s="30"/>
      <c r="Q159" s="3"/>
      <c r="R159" s="3"/>
      <c r="S159" s="3"/>
      <c r="T159" s="3"/>
      <c r="U159" s="3"/>
    </row>
    <row r="160" spans="1:21" hidden="1" x14ac:dyDescent="0.15">
      <c r="A160" s="32">
        <v>2404109</v>
      </c>
      <c r="B160" s="30" t="str">
        <f>VLOOKUP(T_学生別進路[[#This Row],[学籍番号]],進路状況入力シート!A:B,2,FALSE)</f>
        <v>2-9</v>
      </c>
      <c r="C160" s="30" t="str">
        <f>VLOOKUP(T_学生別進路[[#This Row],[学籍番号]],進路状況入力シート!A:C,3,FALSE)</f>
        <v>MAHIBUR RAHMAN SANNY</v>
      </c>
      <c r="D160" s="30" t="str">
        <f>IF(AND(T_学生別進路[[#This Row],[進路確定]]="○",T_学生別進路[[#This Row],[進学希望フラグ]]=1),"○","")</f>
        <v>○</v>
      </c>
      <c r="E160" s="30" t="str">
        <f>_xlfn.IFNA(RIGHT(VLOOKUP(T_学生別進路[[#This Row],[学籍番号]]&amp;"○",進路状況入力シート!K:K,1,FALSE),1),"")</f>
        <v>○</v>
      </c>
      <c r="F160" s="30">
        <f>IF(T_学生別進路[[#This Row],[進学希望フラグ]]=0,"",IF(T_学生別進路[[#This Row],[進路確定]]="○",1,0))</f>
        <v>1</v>
      </c>
      <c r="G16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0" s="30" t="str">
        <f>_xlfn.XLOOKUP(T_学生別進路[[#This Row],[学籍番号]]&amp;"○",進路状況入力シート!K:K,進路状況入力シート!D:D,"",0,1)</f>
        <v>大阪総合福祉専門学校</v>
      </c>
      <c r="I160" s="30"/>
      <c r="J160" s="31">
        <v>45901</v>
      </c>
      <c r="K160" s="30">
        <f>IF(T_学生別進路[[#This Row],[合格時期]]="",0,IF(T_学生別進路[[#This Row],[合格時期]]&lt;K$5,1,0))</f>
        <v>1</v>
      </c>
      <c r="L160" s="30">
        <f>IF(T_学生別進路[[#This Row],[合格時期]]="",0,IF(T_学生別進路[[#This Row],[合格時期]]&lt;L$5,1,0))</f>
        <v>1</v>
      </c>
      <c r="M160" s="30">
        <f>IF(T_学生別進路[[#This Row],[合格時期]]="",0,IF(T_学生別進路[[#This Row],[合格時期]]&lt;M$5,1,0))</f>
        <v>1</v>
      </c>
      <c r="N160" s="30">
        <f>IF(T_学生別進路[[#This Row],[合格時期]]="",0,IF(T_学生別進路[[#This Row],[合格時期]]&lt;N$5,1,0))</f>
        <v>1</v>
      </c>
      <c r="O160" s="30">
        <f>IF(T_学生別進路[[#This Row],[合格時期]]="",0,IF(T_学生別進路[[#This Row],[合格時期]]&lt;O$5,1,0))</f>
        <v>1</v>
      </c>
      <c r="P160" s="30"/>
      <c r="Q160" s="3"/>
      <c r="R160" s="3"/>
      <c r="S160" s="3"/>
      <c r="T160" s="3"/>
      <c r="U160" s="3"/>
    </row>
    <row r="161" spans="1:21" hidden="1" x14ac:dyDescent="0.15">
      <c r="A161" s="32">
        <v>2404115</v>
      </c>
      <c r="B161" s="30" t="str">
        <f>VLOOKUP(T_学生別進路[[#This Row],[学籍番号]],進路状況入力シート!A:B,2,FALSE)</f>
        <v>2-9</v>
      </c>
      <c r="C161" s="30" t="str">
        <f>VLOOKUP(T_学生別進路[[#This Row],[学籍番号]],進路状況入力シート!A:C,3,FALSE)</f>
        <v>MD. IFTEKHAR</v>
      </c>
      <c r="D161" s="30" t="str">
        <f>IF(AND(T_学生別進路[[#This Row],[進路確定]]="○",T_学生別進路[[#This Row],[進学希望フラグ]]=1),"○","")</f>
        <v>○</v>
      </c>
      <c r="E161" s="30" t="str">
        <f>_xlfn.IFNA(RIGHT(VLOOKUP(T_学生別進路[[#This Row],[学籍番号]]&amp;"○",進路状況入力シート!K:K,1,FALSE),1),"")</f>
        <v>○</v>
      </c>
      <c r="F161" s="30">
        <f>IF(T_学生別進路[[#This Row],[進学希望フラグ]]=0,"",IF(T_学生別進路[[#This Row],[進路確定]]="○",1,0))</f>
        <v>1</v>
      </c>
      <c r="G16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1" s="30" t="str">
        <f>_xlfn.XLOOKUP(T_学生別進路[[#This Row],[学籍番号]]&amp;"○",進路状況入力シート!K:K,進路状況入力シート!D:D,"",0,1)</f>
        <v>国際アニメーション専門学校</v>
      </c>
      <c r="I161" s="39" t="s">
        <v>627</v>
      </c>
      <c r="J161" s="31">
        <v>45962</v>
      </c>
      <c r="K161" s="30">
        <f>IF(T_学生別進路[[#This Row],[合格時期]]="",0,IF(T_学生別進路[[#This Row],[合格時期]]&lt;K$5,1,0))</f>
        <v>1</v>
      </c>
      <c r="L161" s="30">
        <f>IF(T_学生別進路[[#This Row],[合格時期]]="",0,IF(T_学生別進路[[#This Row],[合格時期]]&lt;L$5,1,0))</f>
        <v>1</v>
      </c>
      <c r="M161" s="30">
        <f>IF(T_学生別進路[[#This Row],[合格時期]]="",0,IF(T_学生別進路[[#This Row],[合格時期]]&lt;M$5,1,0))</f>
        <v>1</v>
      </c>
      <c r="N161" s="30">
        <f>IF(T_学生別進路[[#This Row],[合格時期]]="",0,IF(T_学生別進路[[#This Row],[合格時期]]&lt;N$5,1,0))</f>
        <v>1</v>
      </c>
      <c r="O161" s="30">
        <f>IF(T_学生別進路[[#This Row],[合格時期]]="",0,IF(T_学生別進路[[#This Row],[合格時期]]&lt;O$5,1,0))</f>
        <v>1</v>
      </c>
      <c r="P161" s="30"/>
      <c r="Q161" s="3"/>
      <c r="R161" s="3"/>
      <c r="S161" s="3"/>
      <c r="T161" s="3"/>
      <c r="U161" s="3"/>
    </row>
    <row r="162" spans="1:21" hidden="1" x14ac:dyDescent="0.15">
      <c r="A162" s="32">
        <v>2404137</v>
      </c>
      <c r="B162" s="30" t="str">
        <f>VLOOKUP(T_学生別進路[[#This Row],[学籍番号]],進路状況入力シート!A:B,2,FALSE)</f>
        <v>2-9</v>
      </c>
      <c r="C162" s="30" t="str">
        <f>VLOOKUP(T_学生別進路[[#This Row],[学籍番号]],進路状況入力シート!A:C,3,FALSE)</f>
        <v>KHANAL SUSAN</v>
      </c>
      <c r="D162" s="30" t="str">
        <f>IF(AND(T_学生別進路[[#This Row],[進路確定]]="○",T_学生別進路[[#This Row],[進学希望フラグ]]=1),"○","")</f>
        <v>○</v>
      </c>
      <c r="E162" s="30" t="str">
        <f>_xlfn.IFNA(RIGHT(VLOOKUP(T_学生別進路[[#This Row],[学籍番号]]&amp;"○",進路状況入力シート!K:K,1,FALSE),1),"")</f>
        <v>○</v>
      </c>
      <c r="F162" s="30">
        <f>IF(T_学生別進路[[#This Row],[進学希望フラグ]]=0,"",IF(T_学生別進路[[#This Row],[進路確定]]="○",1,0))</f>
        <v>1</v>
      </c>
      <c r="G16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2" s="30" t="str">
        <f>_xlfn.XLOOKUP(T_学生別進路[[#This Row],[学籍番号]]&amp;"○",進路状況入力シート!K:K,進路状況入力シート!D:D,"",0,1)</f>
        <v>兵庫大学</v>
      </c>
      <c r="I162" s="39" t="s">
        <v>627</v>
      </c>
      <c r="J162" s="31">
        <v>45992</v>
      </c>
      <c r="K162" s="30">
        <f>IF(T_学生別進路[[#This Row],[合格時期]]="",0,IF(T_学生別進路[[#This Row],[合格時期]]&lt;K$5,1,0))</f>
        <v>0</v>
      </c>
      <c r="L162" s="30">
        <f>IF(T_学生別進路[[#This Row],[合格時期]]="",0,IF(T_学生別進路[[#This Row],[合格時期]]&lt;L$5,1,0))</f>
        <v>1</v>
      </c>
      <c r="M162" s="30">
        <f>IF(T_学生別進路[[#This Row],[合格時期]]="",0,IF(T_学生別進路[[#This Row],[合格時期]]&lt;M$5,1,0))</f>
        <v>1</v>
      </c>
      <c r="N162" s="30">
        <f>IF(T_学生別進路[[#This Row],[合格時期]]="",0,IF(T_学生別進路[[#This Row],[合格時期]]&lt;N$5,1,0))</f>
        <v>1</v>
      </c>
      <c r="O162" s="30">
        <f>IF(T_学生別進路[[#This Row],[合格時期]]="",0,IF(T_学生別進路[[#This Row],[合格時期]]&lt;O$5,1,0))</f>
        <v>1</v>
      </c>
      <c r="P162" s="30"/>
      <c r="Q162" s="3"/>
      <c r="R162" s="3"/>
      <c r="S162" s="3"/>
      <c r="T162" s="3"/>
      <c r="U162" s="3"/>
    </row>
    <row r="163" spans="1:21" hidden="1" x14ac:dyDescent="0.15">
      <c r="A163" s="32">
        <v>2404138</v>
      </c>
      <c r="B163" s="30" t="str">
        <f>VLOOKUP(T_学生別進路[[#This Row],[学籍番号]],進路状況入力シート!A:B,2,FALSE)</f>
        <v>2-9</v>
      </c>
      <c r="C163" s="30" t="str">
        <f>VLOOKUP(T_学生別進路[[#This Row],[学籍番号]],進路状況入力シート!A:C,3,FALSE)</f>
        <v>THAPA MAGAR RAJ</v>
      </c>
      <c r="D163" s="30" t="str">
        <f>IF(AND(T_学生別進路[[#This Row],[進路確定]]="○",T_学生別進路[[#This Row],[進学希望フラグ]]=1),"○","")</f>
        <v>○</v>
      </c>
      <c r="E163" s="30" t="str">
        <f>_xlfn.IFNA(RIGHT(VLOOKUP(T_学生別進路[[#This Row],[学籍番号]]&amp;"○",進路状況入力シート!K:K,1,FALSE),1),"")</f>
        <v>○</v>
      </c>
      <c r="F163" s="30">
        <f>IF(T_学生別進路[[#This Row],[進学希望フラグ]]=0,"",IF(T_学生別進路[[#This Row],[進路確定]]="○",1,0))</f>
        <v>1</v>
      </c>
      <c r="G16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3" s="30" t="str">
        <f>_xlfn.XLOOKUP(T_学生別進路[[#This Row],[学籍番号]]&amp;"○",進路状況入力シート!K:K,進路状況入力シート!D:D,"",0,1)</f>
        <v>日本経済大学</v>
      </c>
      <c r="I163" s="39" t="s">
        <v>627</v>
      </c>
      <c r="J163" s="31">
        <v>45962</v>
      </c>
      <c r="K163" s="30">
        <f>IF(T_学生別進路[[#This Row],[合格時期]]="",0,IF(T_学生別進路[[#This Row],[合格時期]]&lt;K$5,1,0))</f>
        <v>1</v>
      </c>
      <c r="L163" s="30">
        <f>IF(T_学生別進路[[#This Row],[合格時期]]="",0,IF(T_学生別進路[[#This Row],[合格時期]]&lt;L$5,1,0))</f>
        <v>1</v>
      </c>
      <c r="M163" s="30">
        <f>IF(T_学生別進路[[#This Row],[合格時期]]="",0,IF(T_学生別進路[[#This Row],[合格時期]]&lt;M$5,1,0))</f>
        <v>1</v>
      </c>
      <c r="N163" s="30">
        <f>IF(T_学生別進路[[#This Row],[合格時期]]="",0,IF(T_学生別進路[[#This Row],[合格時期]]&lt;N$5,1,0))</f>
        <v>1</v>
      </c>
      <c r="O163" s="30">
        <f>IF(T_学生別進路[[#This Row],[合格時期]]="",0,IF(T_学生別進路[[#This Row],[合格時期]]&lt;O$5,1,0))</f>
        <v>1</v>
      </c>
      <c r="P163" s="30"/>
      <c r="Q163" s="3"/>
      <c r="R163" s="3"/>
      <c r="S163" s="3"/>
      <c r="T163" s="3"/>
      <c r="U163" s="3"/>
    </row>
    <row r="164" spans="1:21" hidden="1" x14ac:dyDescent="0.15">
      <c r="A164" s="32">
        <v>2404142</v>
      </c>
      <c r="B164" s="30" t="str">
        <f>VLOOKUP(T_学生別進路[[#This Row],[学籍番号]],進路状況入力シート!A:B,2,FALSE)</f>
        <v>2-9</v>
      </c>
      <c r="C164" s="30" t="str">
        <f>VLOOKUP(T_学生別進路[[#This Row],[学籍番号]],進路状況入力シート!A:C,3,FALSE)</f>
        <v>SWASTIKA THAMI</v>
      </c>
      <c r="D164" s="30" t="str">
        <f>IF(AND(T_学生別進路[[#This Row],[進路確定]]="○",T_学生別進路[[#This Row],[進学希望フラグ]]=1),"○","")</f>
        <v>○</v>
      </c>
      <c r="E164" s="30" t="str">
        <f>_xlfn.IFNA(RIGHT(VLOOKUP(T_学生別進路[[#This Row],[学籍番号]]&amp;"○",進路状況入力シート!K:K,1,FALSE),1),"")</f>
        <v>○</v>
      </c>
      <c r="F164" s="30">
        <f>IF(T_学生別進路[[#This Row],[進学希望フラグ]]=0,"",IF(T_学生別進路[[#This Row],[進路確定]]="○",1,0))</f>
        <v>1</v>
      </c>
      <c r="G16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4" s="30" t="str">
        <f>_xlfn.XLOOKUP(T_学生別進路[[#This Row],[学籍番号]]&amp;"○",進路状況入力シート!K:K,進路状況入力シート!D:D,"",0,1)</f>
        <v>専門学校アートカレッジ神戸</v>
      </c>
      <c r="I164" s="30"/>
      <c r="J164" s="31">
        <v>45870</v>
      </c>
      <c r="K164" s="30">
        <f>IF(T_学生別進路[[#This Row],[合格時期]]="",0,IF(T_学生別進路[[#This Row],[合格時期]]&lt;K$5,1,0))</f>
        <v>1</v>
      </c>
      <c r="L164" s="30">
        <f>IF(T_学生別進路[[#This Row],[合格時期]]="",0,IF(T_学生別進路[[#This Row],[合格時期]]&lt;L$5,1,0))</f>
        <v>1</v>
      </c>
      <c r="M164" s="30">
        <f>IF(T_学生別進路[[#This Row],[合格時期]]="",0,IF(T_学生別進路[[#This Row],[合格時期]]&lt;M$5,1,0))</f>
        <v>1</v>
      </c>
      <c r="N164" s="30">
        <f>IF(T_学生別進路[[#This Row],[合格時期]]="",0,IF(T_学生別進路[[#This Row],[合格時期]]&lt;N$5,1,0))</f>
        <v>1</v>
      </c>
      <c r="O164" s="30">
        <f>IF(T_学生別進路[[#This Row],[合格時期]]="",0,IF(T_学生別進路[[#This Row],[合格時期]]&lt;O$5,1,0))</f>
        <v>1</v>
      </c>
      <c r="P164" s="30"/>
      <c r="Q164" s="3"/>
      <c r="R164" s="3"/>
      <c r="S164" s="3"/>
      <c r="T164" s="3"/>
      <c r="U164" s="3"/>
    </row>
    <row r="165" spans="1:21" hidden="1" x14ac:dyDescent="0.15">
      <c r="A165" s="32">
        <v>2404153</v>
      </c>
      <c r="B165" s="30" t="str">
        <f>VLOOKUP(T_学生別進路[[#This Row],[学籍番号]],進路状況入力シート!A:B,2,FALSE)</f>
        <v>2-9</v>
      </c>
      <c r="C165" s="30" t="str">
        <f>VLOOKUP(T_学生別進路[[#This Row],[学籍番号]],進路状況入力シート!A:C,3,FALSE)</f>
        <v>KHADKA ROSHMA</v>
      </c>
      <c r="D165" s="30" t="str">
        <f>IF(AND(T_学生別進路[[#This Row],[進路確定]]="○",T_学生別進路[[#This Row],[進学希望フラグ]]=1),"○","")</f>
        <v>○</v>
      </c>
      <c r="E165" s="30" t="str">
        <f>_xlfn.IFNA(RIGHT(VLOOKUP(T_学生別進路[[#This Row],[学籍番号]]&amp;"○",進路状況入力シート!K:K,1,FALSE),1),"")</f>
        <v>○</v>
      </c>
      <c r="F165" s="30">
        <f>IF(T_学生別進路[[#This Row],[進学希望フラグ]]=0,"",IF(T_学生別進路[[#This Row],[進路確定]]="○",1,0))</f>
        <v>1</v>
      </c>
      <c r="G16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5" s="30" t="str">
        <f>_xlfn.XLOOKUP(T_学生別進路[[#This Row],[学籍番号]]&amp;"○",進路状況入力シート!K:K,進路状況入力シート!D:D,"",0,1)</f>
        <v>関西国際旅行・ホテル専門学校</v>
      </c>
      <c r="I165" s="30"/>
      <c r="J165" s="31">
        <v>45931</v>
      </c>
      <c r="K165" s="30">
        <f>IF(T_学生別進路[[#This Row],[合格時期]]="",0,IF(T_学生別進路[[#This Row],[合格時期]]&lt;K$5,1,0))</f>
        <v>1</v>
      </c>
      <c r="L165" s="30">
        <f>IF(T_学生別進路[[#This Row],[合格時期]]="",0,IF(T_学生別進路[[#This Row],[合格時期]]&lt;L$5,1,0))</f>
        <v>1</v>
      </c>
      <c r="M165" s="30">
        <f>IF(T_学生別進路[[#This Row],[合格時期]]="",0,IF(T_学生別進路[[#This Row],[合格時期]]&lt;M$5,1,0))</f>
        <v>1</v>
      </c>
      <c r="N165" s="30">
        <f>IF(T_学生別進路[[#This Row],[合格時期]]="",0,IF(T_学生別進路[[#This Row],[合格時期]]&lt;N$5,1,0))</f>
        <v>1</v>
      </c>
      <c r="O165" s="30">
        <f>IF(T_学生別進路[[#This Row],[合格時期]]="",0,IF(T_学生別進路[[#This Row],[合格時期]]&lt;O$5,1,0))</f>
        <v>1</v>
      </c>
      <c r="P165" s="30"/>
      <c r="Q165" s="3"/>
      <c r="R165" s="3"/>
      <c r="S165" s="3"/>
      <c r="T165" s="3"/>
      <c r="U165" s="3"/>
    </row>
    <row r="166" spans="1:21" hidden="1" x14ac:dyDescent="0.15">
      <c r="A166" s="32">
        <v>2404164</v>
      </c>
      <c r="B166" s="30" t="str">
        <f>VLOOKUP(T_学生別進路[[#This Row],[学籍番号]],進路状況入力シート!A:B,2,FALSE)</f>
        <v>2-9</v>
      </c>
      <c r="C166" s="30" t="str">
        <f>VLOOKUP(T_学生別進路[[#This Row],[学籍番号]],進路状況入力シート!A:C,3,FALSE)</f>
        <v>RAI ARATI</v>
      </c>
      <c r="D166" s="30" t="str">
        <f>IF(AND(T_学生別進路[[#This Row],[進路確定]]="○",T_学生別進路[[#This Row],[進学希望フラグ]]=1),"○","")</f>
        <v>○</v>
      </c>
      <c r="E166" s="30" t="str">
        <f>_xlfn.IFNA(RIGHT(VLOOKUP(T_学生別進路[[#This Row],[学籍番号]]&amp;"○",進路状況入力シート!K:K,1,FALSE),1),"")</f>
        <v>○</v>
      </c>
      <c r="F166" s="30">
        <f>IF(T_学生別進路[[#This Row],[進学希望フラグ]]=0,"",IF(T_学生別進路[[#This Row],[進路確定]]="○",1,0))</f>
        <v>1</v>
      </c>
      <c r="G16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6" s="30" t="str">
        <f>_xlfn.XLOOKUP(T_学生別進路[[#This Row],[学籍番号]]&amp;"○",進路状況入力シート!K:K,進路状況入力シート!D:D,"",0,1)</f>
        <v>関西国際旅行・ホテル専門学校</v>
      </c>
      <c r="I166" s="30"/>
      <c r="J166" s="31">
        <v>45870</v>
      </c>
      <c r="K166" s="30">
        <f>IF(T_学生別進路[[#This Row],[合格時期]]="",0,IF(T_学生別進路[[#This Row],[合格時期]]&lt;K$5,1,0))</f>
        <v>1</v>
      </c>
      <c r="L166" s="30">
        <f>IF(T_学生別進路[[#This Row],[合格時期]]="",0,IF(T_学生別進路[[#This Row],[合格時期]]&lt;L$5,1,0))</f>
        <v>1</v>
      </c>
      <c r="M166" s="30">
        <f>IF(T_学生別進路[[#This Row],[合格時期]]="",0,IF(T_学生別進路[[#This Row],[合格時期]]&lt;M$5,1,0))</f>
        <v>1</v>
      </c>
      <c r="N166" s="30">
        <f>IF(T_学生別進路[[#This Row],[合格時期]]="",0,IF(T_学生別進路[[#This Row],[合格時期]]&lt;N$5,1,0))</f>
        <v>1</v>
      </c>
      <c r="O166" s="30">
        <f>IF(T_学生別進路[[#This Row],[合格時期]]="",0,IF(T_学生別進路[[#This Row],[合格時期]]&lt;O$5,1,0))</f>
        <v>1</v>
      </c>
      <c r="P166" s="30"/>
      <c r="Q166" s="3"/>
      <c r="R166" s="3"/>
      <c r="S166" s="3"/>
      <c r="T166" s="3"/>
      <c r="U166" s="3"/>
    </row>
    <row r="167" spans="1:21" hidden="1" x14ac:dyDescent="0.15">
      <c r="A167" s="32">
        <v>2404175</v>
      </c>
      <c r="B167" s="30" t="str">
        <f>VLOOKUP(T_学生別進路[[#This Row],[学籍番号]],進路状況入力シート!A:B,2,FALSE)</f>
        <v>2-9</v>
      </c>
      <c r="C167" s="30" t="str">
        <f>VLOOKUP(T_学生別進路[[#This Row],[学籍番号]],進路状況入力シート!A:C,3,FALSE)</f>
        <v>JYOTI PANDEY</v>
      </c>
      <c r="D167" s="30" t="str">
        <f>IF(AND(T_学生別進路[[#This Row],[進路確定]]="○",T_学生別進路[[#This Row],[進学希望フラグ]]=1),"○","")</f>
        <v>○</v>
      </c>
      <c r="E167" s="30" t="str">
        <f>_xlfn.IFNA(RIGHT(VLOOKUP(T_学生別進路[[#This Row],[学籍番号]]&amp;"○",進路状況入力シート!K:K,1,FALSE),1),"")</f>
        <v>○</v>
      </c>
      <c r="F167" s="30">
        <f>IF(T_学生別進路[[#This Row],[進学希望フラグ]]=0,"",IF(T_学生別進路[[#This Row],[進路確定]]="○",1,0))</f>
        <v>1</v>
      </c>
      <c r="G16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7" s="30" t="str">
        <f>_xlfn.XLOOKUP(T_学生別進路[[#This Row],[学籍番号]]&amp;"○",進路状況入力シート!K:K,進路状況入力シート!D:D,"",0,1)</f>
        <v>専門学校アートカレッジ神戸</v>
      </c>
      <c r="I167" s="30"/>
      <c r="J167" s="31">
        <v>45901</v>
      </c>
      <c r="K167" s="30">
        <f>IF(T_学生別進路[[#This Row],[合格時期]]="",0,IF(T_学生別進路[[#This Row],[合格時期]]&lt;K$5,1,0))</f>
        <v>1</v>
      </c>
      <c r="L167" s="30">
        <f>IF(T_学生別進路[[#This Row],[合格時期]]="",0,IF(T_学生別進路[[#This Row],[合格時期]]&lt;L$5,1,0))</f>
        <v>1</v>
      </c>
      <c r="M167" s="30">
        <f>IF(T_学生別進路[[#This Row],[合格時期]]="",0,IF(T_学生別進路[[#This Row],[合格時期]]&lt;M$5,1,0))</f>
        <v>1</v>
      </c>
      <c r="N167" s="30">
        <f>IF(T_学生別進路[[#This Row],[合格時期]]="",0,IF(T_学生別進路[[#This Row],[合格時期]]&lt;N$5,1,0))</f>
        <v>1</v>
      </c>
      <c r="O167" s="30">
        <f>IF(T_学生別進路[[#This Row],[合格時期]]="",0,IF(T_学生別進路[[#This Row],[合格時期]]&lt;O$5,1,0))</f>
        <v>1</v>
      </c>
      <c r="P167" s="30"/>
      <c r="Q167" s="3"/>
      <c r="R167" s="3"/>
      <c r="S167" s="3"/>
      <c r="T167" s="3"/>
      <c r="U167" s="3"/>
    </row>
    <row r="168" spans="1:21" hidden="1" x14ac:dyDescent="0.15">
      <c r="A168" s="32">
        <v>2404176</v>
      </c>
      <c r="B168" s="30" t="str">
        <f>VLOOKUP(T_学生別進路[[#This Row],[学籍番号]],進路状況入力シート!A:B,2,FALSE)</f>
        <v>2-9</v>
      </c>
      <c r="C168" s="30" t="str">
        <f>VLOOKUP(T_学生別進路[[#This Row],[学籍番号]],進路状況入力シート!A:C,3,FALSE)</f>
        <v>SHRESTHA GYANU</v>
      </c>
      <c r="D168" s="30" t="str">
        <f>IF(AND(T_学生別進路[[#This Row],[進路確定]]="○",T_学生別進路[[#This Row],[進学希望フラグ]]=1),"○","")</f>
        <v>○</v>
      </c>
      <c r="E168" s="30" t="str">
        <f>_xlfn.IFNA(RIGHT(VLOOKUP(T_学生別進路[[#This Row],[学籍番号]]&amp;"○",進路状況入力シート!K:K,1,FALSE),1),"")</f>
        <v>○</v>
      </c>
      <c r="F168" s="30">
        <f>IF(T_学生別進路[[#This Row],[進学希望フラグ]]=0,"",IF(T_学生別進路[[#This Row],[進路確定]]="○",1,0))</f>
        <v>1</v>
      </c>
      <c r="G16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8" s="30" t="str">
        <f>_xlfn.XLOOKUP(T_学生別進路[[#This Row],[学籍番号]]&amp;"○",進路状況入力シート!K:K,進路状況入力シート!D:D,"",0,1)</f>
        <v>国際工科専門学校</v>
      </c>
      <c r="I168" s="30"/>
      <c r="J168" s="31">
        <v>45870</v>
      </c>
      <c r="K168" s="30">
        <f>IF(T_学生別進路[[#This Row],[合格時期]]="",0,IF(T_学生別進路[[#This Row],[合格時期]]&lt;K$5,1,0))</f>
        <v>1</v>
      </c>
      <c r="L168" s="30">
        <f>IF(T_学生別進路[[#This Row],[合格時期]]="",0,IF(T_学生別進路[[#This Row],[合格時期]]&lt;L$5,1,0))</f>
        <v>1</v>
      </c>
      <c r="M168" s="30">
        <f>IF(T_学生別進路[[#This Row],[合格時期]]="",0,IF(T_学生別進路[[#This Row],[合格時期]]&lt;M$5,1,0))</f>
        <v>1</v>
      </c>
      <c r="N168" s="30">
        <f>IF(T_学生別進路[[#This Row],[合格時期]]="",0,IF(T_学生別進路[[#This Row],[合格時期]]&lt;N$5,1,0))</f>
        <v>1</v>
      </c>
      <c r="O168" s="30">
        <f>IF(T_学生別進路[[#This Row],[合格時期]]="",0,IF(T_学生別進路[[#This Row],[合格時期]]&lt;O$5,1,0))</f>
        <v>1</v>
      </c>
      <c r="P168" s="30"/>
      <c r="Q168" s="3"/>
      <c r="R168" s="3"/>
      <c r="S168" s="3"/>
      <c r="T168" s="3"/>
      <c r="U168" s="3"/>
    </row>
    <row r="169" spans="1:21" hidden="1" x14ac:dyDescent="0.15">
      <c r="A169" s="32">
        <v>2404179</v>
      </c>
      <c r="B169" s="30" t="str">
        <f>VLOOKUP(T_学生別進路[[#This Row],[学籍番号]],進路状況入力シート!A:B,2,FALSE)</f>
        <v>2-9</v>
      </c>
      <c r="C169" s="30" t="str">
        <f>VLOOKUP(T_学生別進路[[#This Row],[学籍番号]],進路状況入力シート!A:C,3,FALSE)</f>
        <v>KARKI ARUNA</v>
      </c>
      <c r="D169" s="30" t="str">
        <f>IF(AND(T_学生別進路[[#This Row],[進路確定]]="○",T_学生別進路[[#This Row],[進学希望フラグ]]=1),"○","")</f>
        <v>○</v>
      </c>
      <c r="E169" s="30" t="str">
        <f>_xlfn.IFNA(RIGHT(VLOOKUP(T_学生別進路[[#This Row],[学籍番号]]&amp;"○",進路状況入力シート!K:K,1,FALSE),1),"")</f>
        <v>○</v>
      </c>
      <c r="F169" s="30">
        <f>IF(T_学生別進路[[#This Row],[進学希望フラグ]]=0,"",IF(T_学生別進路[[#This Row],[進路確定]]="○",1,0))</f>
        <v>1</v>
      </c>
      <c r="G16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69" s="30" t="str">
        <f>_xlfn.XLOOKUP(T_学生別進路[[#This Row],[学籍番号]]&amp;"○",進路状況入力シート!K:K,進路状況入力シート!D:D,"",0,1)</f>
        <v>専門学校アートカレッジ神戸</v>
      </c>
      <c r="I169" s="30"/>
      <c r="J169" s="31">
        <v>45901</v>
      </c>
      <c r="K169" s="30">
        <f>IF(T_学生別進路[[#This Row],[合格時期]]="",0,IF(T_学生別進路[[#This Row],[合格時期]]&lt;K$5,1,0))</f>
        <v>1</v>
      </c>
      <c r="L169" s="30">
        <f>IF(T_学生別進路[[#This Row],[合格時期]]="",0,IF(T_学生別進路[[#This Row],[合格時期]]&lt;L$5,1,0))</f>
        <v>1</v>
      </c>
      <c r="M169" s="30">
        <f>IF(T_学生別進路[[#This Row],[合格時期]]="",0,IF(T_学生別進路[[#This Row],[合格時期]]&lt;M$5,1,0))</f>
        <v>1</v>
      </c>
      <c r="N169" s="30">
        <f>IF(T_学生別進路[[#This Row],[合格時期]]="",0,IF(T_学生別進路[[#This Row],[合格時期]]&lt;N$5,1,0))</f>
        <v>1</v>
      </c>
      <c r="O169" s="30">
        <f>IF(T_学生別進路[[#This Row],[合格時期]]="",0,IF(T_学生別進路[[#This Row],[合格時期]]&lt;O$5,1,0))</f>
        <v>1</v>
      </c>
      <c r="P169" s="30"/>
      <c r="Q169" s="3"/>
      <c r="R169" s="3"/>
      <c r="S169" s="3"/>
      <c r="T169" s="3"/>
      <c r="U169" s="3"/>
    </row>
    <row r="170" spans="1:21" hidden="1" x14ac:dyDescent="0.15">
      <c r="A170" s="32">
        <v>2407023</v>
      </c>
      <c r="B170" s="30" t="str">
        <f>VLOOKUP(T_学生別進路[[#This Row],[学籍番号]],進路状況入力シート!A:B,2,FALSE)</f>
        <v>2-9</v>
      </c>
      <c r="C170" s="30" t="str">
        <f>VLOOKUP(T_学生別進路[[#This Row],[学籍番号]],進路状況入力シート!A:C,3,FALSE)</f>
        <v>HNIN YU HLAING</v>
      </c>
      <c r="D170" s="30" t="str">
        <f>IF(AND(T_学生別進路[[#This Row],[進路確定]]="○",T_学生別進路[[#This Row],[進学希望フラグ]]=1),"○","")</f>
        <v>○</v>
      </c>
      <c r="E170" s="30" t="str">
        <f>_xlfn.IFNA(RIGHT(VLOOKUP(T_学生別進路[[#This Row],[学籍番号]]&amp;"○",進路状況入力シート!K:K,1,FALSE),1),"")</f>
        <v>○</v>
      </c>
      <c r="F170" s="30">
        <f>IF(T_学生別進路[[#This Row],[進学希望フラグ]]=0,"",IF(T_学生別進路[[#This Row],[進路確定]]="○",1,0))</f>
        <v>1</v>
      </c>
      <c r="G17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0" s="30" t="str">
        <f>_xlfn.XLOOKUP(T_学生別進路[[#This Row],[学籍番号]]&amp;"○",進路状況入力シート!K:K,進路状況入力シート!D:D,"",0,1)</f>
        <v>神戸親和大学</v>
      </c>
      <c r="I170" s="39" t="s">
        <v>626</v>
      </c>
      <c r="J170" s="31">
        <v>45992</v>
      </c>
      <c r="K170" s="30">
        <f>IF(T_学生別進路[[#This Row],[合格時期]]="",0,IF(T_学生別進路[[#This Row],[合格時期]]&lt;K$5,1,0))</f>
        <v>0</v>
      </c>
      <c r="L170" s="30">
        <f>IF(T_学生別進路[[#This Row],[合格時期]]="",0,IF(T_学生別進路[[#This Row],[合格時期]]&lt;L$5,1,0))</f>
        <v>1</v>
      </c>
      <c r="M170" s="30">
        <f>IF(T_学生別進路[[#This Row],[合格時期]]="",0,IF(T_学生別進路[[#This Row],[合格時期]]&lt;M$5,1,0))</f>
        <v>1</v>
      </c>
      <c r="N170" s="30">
        <f>IF(T_学生別進路[[#This Row],[合格時期]]="",0,IF(T_学生別進路[[#This Row],[合格時期]]&lt;N$5,1,0))</f>
        <v>1</v>
      </c>
      <c r="O170" s="30">
        <f>IF(T_学生別進路[[#This Row],[合格時期]]="",0,IF(T_学生別進路[[#This Row],[合格時期]]&lt;O$5,1,0))</f>
        <v>1</v>
      </c>
      <c r="P170" s="30"/>
      <c r="Q170" s="3"/>
      <c r="R170" s="3"/>
      <c r="S170" s="3"/>
      <c r="T170" s="3"/>
      <c r="U170" s="3"/>
    </row>
    <row r="171" spans="1:21" hidden="1" x14ac:dyDescent="0.15">
      <c r="A171" s="32">
        <v>2407035</v>
      </c>
      <c r="B171" s="30" t="str">
        <f>VLOOKUP(T_学生別進路[[#This Row],[学籍番号]],進路状況入力シート!A:B,2,FALSE)</f>
        <v>2-9</v>
      </c>
      <c r="C171" s="30" t="str">
        <f>VLOOKUP(T_学生別進路[[#This Row],[学籍番号]],進路状況入力シート!A:C,3,FALSE)</f>
        <v>MD OBAYED BIN ANWAR ZIHAD</v>
      </c>
      <c r="D171" s="30" t="str">
        <f>IF(AND(T_学生別進路[[#This Row],[進路確定]]="○",T_学生別進路[[#This Row],[進学希望フラグ]]=1),"○","")</f>
        <v>○</v>
      </c>
      <c r="E171" s="30" t="str">
        <f>_xlfn.IFNA(RIGHT(VLOOKUP(T_学生別進路[[#This Row],[学籍番号]]&amp;"○",進路状況入力シート!K:K,1,FALSE),1),"")</f>
        <v>○</v>
      </c>
      <c r="F171" s="30">
        <f>IF(T_学生別進路[[#This Row],[進学希望フラグ]]=0,"",IF(T_学生別進路[[#This Row],[進路確定]]="○",1,0))</f>
        <v>1</v>
      </c>
      <c r="G17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1" s="30" t="str">
        <f>_xlfn.XLOOKUP(T_学生別進路[[#This Row],[学籍番号]]&amp;"○",進路状況入力シート!K:K,進路状況入力シート!D:D,"",0,1)</f>
        <v>東京工科自動車大学校</v>
      </c>
      <c r="I171" s="30"/>
      <c r="J171" s="31">
        <v>45870</v>
      </c>
      <c r="K171" s="30">
        <f>IF(T_学生別進路[[#This Row],[合格時期]]="",0,IF(T_学生別進路[[#This Row],[合格時期]]&lt;K$5,1,0))</f>
        <v>1</v>
      </c>
      <c r="L171" s="30">
        <f>IF(T_学生別進路[[#This Row],[合格時期]]="",0,IF(T_学生別進路[[#This Row],[合格時期]]&lt;L$5,1,0))</f>
        <v>1</v>
      </c>
      <c r="M171" s="30">
        <f>IF(T_学生別進路[[#This Row],[合格時期]]="",0,IF(T_学生別進路[[#This Row],[合格時期]]&lt;M$5,1,0))</f>
        <v>1</v>
      </c>
      <c r="N171" s="30">
        <f>IF(T_学生別進路[[#This Row],[合格時期]]="",0,IF(T_学生別進路[[#This Row],[合格時期]]&lt;N$5,1,0))</f>
        <v>1</v>
      </c>
      <c r="O171" s="30">
        <f>IF(T_学生別進路[[#This Row],[合格時期]]="",0,IF(T_学生別進路[[#This Row],[合格時期]]&lt;O$5,1,0))</f>
        <v>1</v>
      </c>
      <c r="P171" s="30"/>
      <c r="Q171" s="3"/>
      <c r="R171" s="3"/>
      <c r="S171" s="3"/>
      <c r="T171" s="3"/>
      <c r="U171" s="3"/>
    </row>
    <row r="172" spans="1:21" hidden="1" x14ac:dyDescent="0.15">
      <c r="A172" s="32">
        <v>2407036</v>
      </c>
      <c r="B172" s="30" t="str">
        <f>VLOOKUP(T_学生別進路[[#This Row],[学籍番号]],進路状況入力シート!A:B,2,FALSE)</f>
        <v>2-9</v>
      </c>
      <c r="C172" s="30" t="str">
        <f>VLOOKUP(T_学生別進路[[#This Row],[学籍番号]],進路状況入力シート!A:C,3,FALSE)</f>
        <v>MD ASIKUZZAMAN</v>
      </c>
      <c r="D172" s="30" t="str">
        <f>IF(AND(T_学生別進路[[#This Row],[進路確定]]="○",T_学生別進路[[#This Row],[進学希望フラグ]]=1),"○","")</f>
        <v>○</v>
      </c>
      <c r="E172" s="30" t="str">
        <f>_xlfn.IFNA(RIGHT(VLOOKUP(T_学生別進路[[#This Row],[学籍番号]]&amp;"○",進路状況入力シート!K:K,1,FALSE),1),"")</f>
        <v>○</v>
      </c>
      <c r="F172" s="30">
        <f>IF(T_学生別進路[[#This Row],[進学希望フラグ]]=0,"",IF(T_学生別進路[[#This Row],[進路確定]]="○",1,0))</f>
        <v>1</v>
      </c>
      <c r="G17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2" s="30" t="str">
        <f>_xlfn.XLOOKUP(T_学生別進路[[#This Row],[学籍番号]]&amp;"○",進路状況入力シート!K:K,進路状況入力シート!D:D,"",0,1)</f>
        <v>神戸親和大学</v>
      </c>
      <c r="I172" s="39" t="s">
        <v>626</v>
      </c>
      <c r="J172" s="31">
        <v>45992</v>
      </c>
      <c r="K172" s="30">
        <f>IF(T_学生別進路[[#This Row],[合格時期]]="",0,IF(T_学生別進路[[#This Row],[合格時期]]&lt;K$5,1,0))</f>
        <v>0</v>
      </c>
      <c r="L172" s="30">
        <f>IF(T_学生別進路[[#This Row],[合格時期]]="",0,IF(T_学生別進路[[#This Row],[合格時期]]&lt;L$5,1,0))</f>
        <v>1</v>
      </c>
      <c r="M172" s="30">
        <f>IF(T_学生別進路[[#This Row],[合格時期]]="",0,IF(T_学生別進路[[#This Row],[合格時期]]&lt;M$5,1,0))</f>
        <v>1</v>
      </c>
      <c r="N172" s="30">
        <f>IF(T_学生別進路[[#This Row],[合格時期]]="",0,IF(T_学生別進路[[#This Row],[合格時期]]&lt;N$5,1,0))</f>
        <v>1</v>
      </c>
      <c r="O172" s="30">
        <f>IF(T_学生別進路[[#This Row],[合格時期]]="",0,IF(T_学生別進路[[#This Row],[合格時期]]&lt;O$5,1,0))</f>
        <v>1</v>
      </c>
      <c r="P172" s="30"/>
      <c r="Q172" s="3"/>
      <c r="R172" s="3"/>
      <c r="S172" s="3"/>
      <c r="T172" s="3"/>
      <c r="U172" s="3"/>
    </row>
    <row r="173" spans="1:21" hidden="1" x14ac:dyDescent="0.15">
      <c r="A173" s="32">
        <v>2407039</v>
      </c>
      <c r="B173" s="30" t="str">
        <f>VLOOKUP(T_学生別進路[[#This Row],[学籍番号]],進路状況入力シート!A:B,2,FALSE)</f>
        <v>2-9</v>
      </c>
      <c r="C173" s="30" t="str">
        <f>VLOOKUP(T_学生別進路[[#This Row],[学籍番号]],進路状況入力シート!A:C,3,FALSE)</f>
        <v>PARVEZ AHMED</v>
      </c>
      <c r="D173" s="30" t="str">
        <f>IF(AND(T_学生別進路[[#This Row],[進路確定]]="○",T_学生別進路[[#This Row],[進学希望フラグ]]=1),"○","")</f>
        <v>○</v>
      </c>
      <c r="E173" s="30" t="str">
        <f>_xlfn.IFNA(RIGHT(VLOOKUP(T_学生別進路[[#This Row],[学籍番号]]&amp;"○",進路状況入力シート!K:K,1,FALSE),1),"")</f>
        <v>○</v>
      </c>
      <c r="F173" s="30">
        <f>IF(T_学生別進路[[#This Row],[進学希望フラグ]]=0,"",IF(T_学生別進路[[#This Row],[進路確定]]="○",1,0))</f>
        <v>1</v>
      </c>
      <c r="G17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3" s="30" t="str">
        <f>_xlfn.XLOOKUP(T_学生別進路[[#This Row],[学籍番号]]&amp;"○",進路状況入力シート!K:K,進路状況入力シート!D:D,"",0,1)</f>
        <v>神戸親和大学</v>
      </c>
      <c r="I173" s="39" t="s">
        <v>626</v>
      </c>
      <c r="J173" s="31">
        <v>45992</v>
      </c>
      <c r="K173" s="30">
        <f>IF(T_学生別進路[[#This Row],[合格時期]]="",0,IF(T_学生別進路[[#This Row],[合格時期]]&lt;K$5,1,0))</f>
        <v>0</v>
      </c>
      <c r="L173" s="30">
        <f>IF(T_学生別進路[[#This Row],[合格時期]]="",0,IF(T_学生別進路[[#This Row],[合格時期]]&lt;L$5,1,0))</f>
        <v>1</v>
      </c>
      <c r="M173" s="30">
        <f>IF(T_学生別進路[[#This Row],[合格時期]]="",0,IF(T_学生別進路[[#This Row],[合格時期]]&lt;M$5,1,0))</f>
        <v>1</v>
      </c>
      <c r="N173" s="30">
        <f>IF(T_学生別進路[[#This Row],[合格時期]]="",0,IF(T_学生別進路[[#This Row],[合格時期]]&lt;N$5,1,0))</f>
        <v>1</v>
      </c>
      <c r="O173" s="30">
        <f>IF(T_学生別進路[[#This Row],[合格時期]]="",0,IF(T_学生別進路[[#This Row],[合格時期]]&lt;O$5,1,0))</f>
        <v>1</v>
      </c>
      <c r="P173" s="30"/>
      <c r="Q173" s="3"/>
      <c r="R173" s="3"/>
      <c r="S173" s="3"/>
      <c r="T173" s="3"/>
      <c r="U173" s="3"/>
    </row>
    <row r="174" spans="1:21" hidden="1" x14ac:dyDescent="0.15">
      <c r="A174" s="32">
        <v>2404010</v>
      </c>
      <c r="B174" s="30" t="str">
        <f>VLOOKUP(T_学生別進路[[#This Row],[学籍番号]],進路状況入力シート!A:B,2,FALSE)</f>
        <v>2-10</v>
      </c>
      <c r="C174" s="30" t="str">
        <f>VLOOKUP(T_学生別進路[[#This Row],[学籍番号]],進路状況入力シート!A:C,3,FALSE)</f>
        <v>DUONG THANH TUNG</v>
      </c>
      <c r="D174" s="30" t="str">
        <f>IF(AND(T_学生別進路[[#This Row],[進路確定]]="○",T_学生別進路[[#This Row],[進学希望フラグ]]=1),"○","")</f>
        <v>○</v>
      </c>
      <c r="E174" s="30" t="str">
        <f>_xlfn.IFNA(RIGHT(VLOOKUP(T_学生別進路[[#This Row],[学籍番号]]&amp;"○",進路状況入力シート!K:K,1,FALSE),1),"")</f>
        <v>○</v>
      </c>
      <c r="F174" s="30">
        <f>IF(T_学生別進路[[#This Row],[進学希望フラグ]]=0,"",IF(T_学生別進路[[#This Row],[進路確定]]="○",1,0))</f>
        <v>1</v>
      </c>
      <c r="G17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4" s="30" t="str">
        <f>_xlfn.XLOOKUP(T_学生別進路[[#This Row],[学籍番号]]&amp;"○",進路状況入力シート!K:K,進路状況入力シート!D:D,"",0,1)</f>
        <v>東亜経理専門学校</v>
      </c>
      <c r="I174" s="30"/>
      <c r="J174" s="31">
        <v>45901</v>
      </c>
      <c r="K174" s="30">
        <f>IF(T_学生別進路[[#This Row],[合格時期]]="",0,IF(T_学生別進路[[#This Row],[合格時期]]&lt;K$5,1,0))</f>
        <v>1</v>
      </c>
      <c r="L174" s="30">
        <f>IF(T_学生別進路[[#This Row],[合格時期]]="",0,IF(T_学生別進路[[#This Row],[合格時期]]&lt;L$5,1,0))</f>
        <v>1</v>
      </c>
      <c r="M174" s="30">
        <f>IF(T_学生別進路[[#This Row],[合格時期]]="",0,IF(T_学生別進路[[#This Row],[合格時期]]&lt;M$5,1,0))</f>
        <v>1</v>
      </c>
      <c r="N174" s="30">
        <f>IF(T_学生別進路[[#This Row],[合格時期]]="",0,IF(T_学生別進路[[#This Row],[合格時期]]&lt;N$5,1,0))</f>
        <v>1</v>
      </c>
      <c r="O174" s="30">
        <f>IF(T_学生別進路[[#This Row],[合格時期]]="",0,IF(T_学生別進路[[#This Row],[合格時期]]&lt;O$5,1,0))</f>
        <v>1</v>
      </c>
      <c r="P174" s="30"/>
      <c r="Q174" s="3"/>
      <c r="R174" s="3"/>
      <c r="S174" s="3"/>
      <c r="T174" s="3"/>
      <c r="U174" s="3"/>
    </row>
    <row r="175" spans="1:21" hidden="1" x14ac:dyDescent="0.15">
      <c r="A175" s="32">
        <v>2404074</v>
      </c>
      <c r="B175" s="30" t="str">
        <f>VLOOKUP(T_学生別進路[[#This Row],[学籍番号]],進路状況入力シート!A:B,2,FALSE)</f>
        <v>2-10</v>
      </c>
      <c r="C175" s="30" t="str">
        <f>VLOOKUP(T_学生別進路[[#This Row],[学籍番号]],進路状況入力シート!A:C,3,FALSE)</f>
        <v>MD. OMAR BHUIYAN</v>
      </c>
      <c r="D175" s="30" t="str">
        <f>IF(AND(T_学生別進路[[#This Row],[進路確定]]="○",T_学生別進路[[#This Row],[進学希望フラグ]]=1),"○","")</f>
        <v>○</v>
      </c>
      <c r="E175" s="30" t="str">
        <f>_xlfn.IFNA(RIGHT(VLOOKUP(T_学生別進路[[#This Row],[学籍番号]]&amp;"○",進路状況入力シート!K:K,1,FALSE),1),"")</f>
        <v>○</v>
      </c>
      <c r="F175" s="30">
        <f>IF(T_学生別進路[[#This Row],[進学希望フラグ]]=0,"",IF(T_学生別進路[[#This Row],[進路確定]]="○",1,0))</f>
        <v>1</v>
      </c>
      <c r="G17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5" s="30" t="str">
        <f>_xlfn.XLOOKUP(T_学生別進路[[#This Row],[学籍番号]]&amp;"○",進路状況入力シート!K:K,進路状況入力シート!D:D,"",0,1)</f>
        <v>九州ビジネス専門学校</v>
      </c>
      <c r="I175" s="39" t="s">
        <v>626</v>
      </c>
      <c r="J175" s="31">
        <v>46023</v>
      </c>
      <c r="K175" s="30">
        <f>IF(T_学生別進路[[#This Row],[合格時期]]="",0,IF(T_学生別進路[[#This Row],[合格時期]]&lt;K$5,1,0))</f>
        <v>0</v>
      </c>
      <c r="L175" s="30">
        <f>IF(T_学生別進路[[#This Row],[合格時期]]="",0,IF(T_学生別進路[[#This Row],[合格時期]]&lt;L$5,1,0))</f>
        <v>0</v>
      </c>
      <c r="M175" s="30">
        <f>IF(T_学生別進路[[#This Row],[合格時期]]="",0,IF(T_学生別進路[[#This Row],[合格時期]]&lt;M$5,1,0))</f>
        <v>1</v>
      </c>
      <c r="N175" s="30">
        <f>IF(T_学生別進路[[#This Row],[合格時期]]="",0,IF(T_学生別進路[[#This Row],[合格時期]]&lt;N$5,1,0))</f>
        <v>1</v>
      </c>
      <c r="O175" s="30">
        <f>IF(T_学生別進路[[#This Row],[合格時期]]="",0,IF(T_学生別進路[[#This Row],[合格時期]]&lt;O$5,1,0))</f>
        <v>1</v>
      </c>
      <c r="P175" s="30"/>
      <c r="Q175" s="3"/>
      <c r="R175" s="3"/>
      <c r="S175" s="3"/>
      <c r="T175" s="3"/>
      <c r="U175" s="3"/>
    </row>
    <row r="176" spans="1:21" hidden="1" x14ac:dyDescent="0.15">
      <c r="A176" s="32">
        <v>2404076</v>
      </c>
      <c r="B176" s="30" t="str">
        <f>VLOOKUP(T_学生別進路[[#This Row],[学籍番号]],進路状況入力シート!A:B,2,FALSE)</f>
        <v>2-10</v>
      </c>
      <c r="C176" s="30" t="str">
        <f>VLOOKUP(T_学生別進路[[#This Row],[学籍番号]],進路状況入力シート!A:C,3,FALSE)</f>
        <v>MD. RAYHAN PRODHAN</v>
      </c>
      <c r="D176" s="30" t="str">
        <f>IF(AND(T_学生別進路[[#This Row],[進路確定]]="○",T_学生別進路[[#This Row],[進学希望フラグ]]=1),"○","")</f>
        <v>○</v>
      </c>
      <c r="E176" s="30" t="str">
        <f>_xlfn.IFNA(RIGHT(VLOOKUP(T_学生別進路[[#This Row],[学籍番号]]&amp;"○",進路状況入力シート!K:K,1,FALSE),1),"")</f>
        <v>○</v>
      </c>
      <c r="F176" s="30">
        <f>IF(T_学生別進路[[#This Row],[進学希望フラグ]]=0,"",IF(T_学生別進路[[#This Row],[進路確定]]="○",1,0))</f>
        <v>1</v>
      </c>
      <c r="G17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6" s="30" t="str">
        <f>_xlfn.XLOOKUP(T_学生別進路[[#This Row],[学籍番号]]&amp;"○",進路状況入力シート!K:K,進路状況入力シート!D:D,"",0,1)</f>
        <v>流通科学大学</v>
      </c>
      <c r="I176" s="30"/>
      <c r="J176" s="31">
        <v>45962</v>
      </c>
      <c r="K176" s="30">
        <f>IF(T_学生別進路[[#This Row],[合格時期]]="",0,IF(T_学生別進路[[#This Row],[合格時期]]&lt;K$5,1,0))</f>
        <v>1</v>
      </c>
      <c r="L176" s="30">
        <f>IF(T_学生別進路[[#This Row],[合格時期]]="",0,IF(T_学生別進路[[#This Row],[合格時期]]&lt;L$5,1,0))</f>
        <v>1</v>
      </c>
      <c r="M176" s="30">
        <f>IF(T_学生別進路[[#This Row],[合格時期]]="",0,IF(T_学生別進路[[#This Row],[合格時期]]&lt;M$5,1,0))</f>
        <v>1</v>
      </c>
      <c r="N176" s="30">
        <f>IF(T_学生別進路[[#This Row],[合格時期]]="",0,IF(T_学生別進路[[#This Row],[合格時期]]&lt;N$5,1,0))</f>
        <v>1</v>
      </c>
      <c r="O176" s="30">
        <f>IF(T_学生別進路[[#This Row],[合格時期]]="",0,IF(T_学生別進路[[#This Row],[合格時期]]&lt;O$5,1,0))</f>
        <v>1</v>
      </c>
      <c r="P176" s="30"/>
      <c r="Q176" s="3"/>
      <c r="R176" s="3"/>
      <c r="S176" s="3"/>
      <c r="T176" s="3"/>
      <c r="U176" s="3"/>
    </row>
    <row r="177" spans="1:21" hidden="1" x14ac:dyDescent="0.15">
      <c r="A177" s="32">
        <v>2404086</v>
      </c>
      <c r="B177" s="30" t="str">
        <f>VLOOKUP(T_学生別進路[[#This Row],[学籍番号]],進路状況入力シート!A:B,2,FALSE)</f>
        <v>2-10</v>
      </c>
      <c r="C177" s="30" t="str">
        <f>VLOOKUP(T_学生別進路[[#This Row],[学籍番号]],進路状況入力シート!A:C,3,FALSE)</f>
        <v>S.M.JONAYET</v>
      </c>
      <c r="D177" s="30" t="str">
        <f>IF(AND(T_学生別進路[[#This Row],[進路確定]]="○",T_学生別進路[[#This Row],[進学希望フラグ]]=1),"○","")</f>
        <v>○</v>
      </c>
      <c r="E177" s="30" t="str">
        <f>_xlfn.IFNA(RIGHT(VLOOKUP(T_学生別進路[[#This Row],[学籍番号]]&amp;"○",進路状況入力シート!K:K,1,FALSE),1),"")</f>
        <v>○</v>
      </c>
      <c r="F177" s="30">
        <f>IF(T_学生別進路[[#This Row],[進学希望フラグ]]=0,"",IF(T_学生別進路[[#This Row],[進路確定]]="○",1,0))</f>
        <v>1</v>
      </c>
      <c r="G17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7" s="30" t="str">
        <f>_xlfn.XLOOKUP(T_学生別進路[[#This Row],[学籍番号]]&amp;"○",進路状況入力シート!K:K,進路状況入力シート!D:D,"",0,1)</f>
        <v>専門学校アートカレッジ神戸</v>
      </c>
      <c r="I177" s="30"/>
      <c r="J177" s="31">
        <v>45870</v>
      </c>
      <c r="K177" s="30">
        <f>IF(T_学生別進路[[#This Row],[合格時期]]="",0,IF(T_学生別進路[[#This Row],[合格時期]]&lt;K$5,1,0))</f>
        <v>1</v>
      </c>
      <c r="L177" s="30">
        <f>IF(T_学生別進路[[#This Row],[合格時期]]="",0,IF(T_学生別進路[[#This Row],[合格時期]]&lt;L$5,1,0))</f>
        <v>1</v>
      </c>
      <c r="M177" s="30">
        <f>IF(T_学生別進路[[#This Row],[合格時期]]="",0,IF(T_学生別進路[[#This Row],[合格時期]]&lt;M$5,1,0))</f>
        <v>1</v>
      </c>
      <c r="N177" s="30">
        <f>IF(T_学生別進路[[#This Row],[合格時期]]="",0,IF(T_学生別進路[[#This Row],[合格時期]]&lt;N$5,1,0))</f>
        <v>1</v>
      </c>
      <c r="O177" s="30">
        <f>IF(T_学生別進路[[#This Row],[合格時期]]="",0,IF(T_学生別進路[[#This Row],[合格時期]]&lt;O$5,1,0))</f>
        <v>1</v>
      </c>
      <c r="P177" s="30"/>
      <c r="Q177" s="3"/>
      <c r="R177" s="3"/>
      <c r="S177" s="3"/>
      <c r="T177" s="3"/>
      <c r="U177" s="3"/>
    </row>
    <row r="178" spans="1:21" hidden="1" x14ac:dyDescent="0.15">
      <c r="A178" s="32">
        <v>2404089</v>
      </c>
      <c r="B178" s="30" t="str">
        <f>VLOOKUP(T_学生別進路[[#This Row],[学籍番号]],進路状況入力シート!A:B,2,FALSE)</f>
        <v>2-10</v>
      </c>
      <c r="C178" s="30" t="str">
        <f>VLOOKUP(T_学生別進路[[#This Row],[学籍番号]],進路状況入力シート!A:C,3,FALSE)</f>
        <v>MAHIM AHAD BHUIYAN</v>
      </c>
      <c r="D178" s="30" t="str">
        <f>IF(AND(T_学生別進路[[#This Row],[進路確定]]="○",T_学生別進路[[#This Row],[進学希望フラグ]]=1),"○","")</f>
        <v>○</v>
      </c>
      <c r="E178" s="30" t="str">
        <f>_xlfn.IFNA(RIGHT(VLOOKUP(T_学生別進路[[#This Row],[学籍番号]]&amp;"○",進路状況入力シート!K:K,1,FALSE),1),"")</f>
        <v>○</v>
      </c>
      <c r="F178" s="30">
        <f>IF(T_学生別進路[[#This Row],[進学希望フラグ]]=0,"",IF(T_学生別進路[[#This Row],[進路確定]]="○",1,0))</f>
        <v>1</v>
      </c>
      <c r="G17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8" s="30" t="str">
        <f>_xlfn.XLOOKUP(T_学生別進路[[#This Row],[学籍番号]]&amp;"○",進路状況入力シート!K:K,進路状況入力シート!D:D,"",0,1)</f>
        <v>東京日建工科専門学校</v>
      </c>
      <c r="I178" s="30"/>
      <c r="J178" s="31">
        <v>45809</v>
      </c>
      <c r="K178" s="30">
        <f>IF(T_学生別進路[[#This Row],[合格時期]]="",0,IF(T_学生別進路[[#This Row],[合格時期]]&lt;K$5,1,0))</f>
        <v>1</v>
      </c>
      <c r="L178" s="30">
        <f>IF(T_学生別進路[[#This Row],[合格時期]]="",0,IF(T_学生別進路[[#This Row],[合格時期]]&lt;L$5,1,0))</f>
        <v>1</v>
      </c>
      <c r="M178" s="30">
        <f>IF(T_学生別進路[[#This Row],[合格時期]]="",0,IF(T_学生別進路[[#This Row],[合格時期]]&lt;M$5,1,0))</f>
        <v>1</v>
      </c>
      <c r="N178" s="30">
        <f>IF(T_学生別進路[[#This Row],[合格時期]]="",0,IF(T_学生別進路[[#This Row],[合格時期]]&lt;N$5,1,0))</f>
        <v>1</v>
      </c>
      <c r="O178" s="30">
        <f>IF(T_学生別進路[[#This Row],[合格時期]]="",0,IF(T_学生別進路[[#This Row],[合格時期]]&lt;O$5,1,0))</f>
        <v>1</v>
      </c>
      <c r="P178" s="30"/>
      <c r="Q178" s="3"/>
      <c r="R178" s="3"/>
      <c r="S178" s="3"/>
      <c r="T178" s="3"/>
      <c r="U178" s="3"/>
    </row>
    <row r="179" spans="1:21" hidden="1" x14ac:dyDescent="0.15">
      <c r="A179" s="32">
        <v>2404092</v>
      </c>
      <c r="B179" s="30" t="str">
        <f>VLOOKUP(T_学生別進路[[#This Row],[学籍番号]],進路状況入力シート!A:B,2,FALSE)</f>
        <v>2-10</v>
      </c>
      <c r="C179" s="30" t="str">
        <f>VLOOKUP(T_学生別進路[[#This Row],[学籍番号]],進路状況入力シート!A:C,3,FALSE)</f>
        <v>ZISAN MD. RAIHAN SARIF</v>
      </c>
      <c r="D179" s="30" t="str">
        <f>IF(AND(T_学生別進路[[#This Row],[進路確定]]="○",T_学生別進路[[#This Row],[進学希望フラグ]]=1),"○","")</f>
        <v>○</v>
      </c>
      <c r="E179" s="30" t="str">
        <f>_xlfn.IFNA(RIGHT(VLOOKUP(T_学生別進路[[#This Row],[学籍番号]]&amp;"○",進路状況入力シート!K:K,1,FALSE),1),"")</f>
        <v>○</v>
      </c>
      <c r="F179" s="30">
        <f>IF(T_学生別進路[[#This Row],[進学希望フラグ]]=0,"",IF(T_学生別進路[[#This Row],[進路確定]]="○",1,0))</f>
        <v>1</v>
      </c>
      <c r="G17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79" s="30" t="str">
        <f>_xlfn.XLOOKUP(T_学生別進路[[#This Row],[学籍番号]]&amp;"○",進路状況入力シート!K:K,進路状況入力シート!D:D,"",0,1)</f>
        <v>四国大学短期大学部</v>
      </c>
      <c r="I179" s="30"/>
      <c r="J179" s="31">
        <v>45962</v>
      </c>
      <c r="K179" s="30">
        <f>IF(T_学生別進路[[#This Row],[合格時期]]="",0,IF(T_学生別進路[[#This Row],[合格時期]]&lt;K$5,1,0))</f>
        <v>1</v>
      </c>
      <c r="L179" s="30">
        <f>IF(T_学生別進路[[#This Row],[合格時期]]="",0,IF(T_学生別進路[[#This Row],[合格時期]]&lt;L$5,1,0))</f>
        <v>1</v>
      </c>
      <c r="M179" s="30">
        <f>IF(T_学生別進路[[#This Row],[合格時期]]="",0,IF(T_学生別進路[[#This Row],[合格時期]]&lt;M$5,1,0))</f>
        <v>1</v>
      </c>
      <c r="N179" s="30">
        <f>IF(T_学生別進路[[#This Row],[合格時期]]="",0,IF(T_学生別進路[[#This Row],[合格時期]]&lt;N$5,1,0))</f>
        <v>1</v>
      </c>
      <c r="O179" s="30">
        <f>IF(T_学生別進路[[#This Row],[合格時期]]="",0,IF(T_学生別進路[[#This Row],[合格時期]]&lt;O$5,1,0))</f>
        <v>1</v>
      </c>
      <c r="P179" s="30"/>
      <c r="Q179" s="3"/>
      <c r="R179" s="3"/>
      <c r="S179" s="3"/>
      <c r="T179" s="3"/>
      <c r="U179" s="3"/>
    </row>
    <row r="180" spans="1:21" hidden="1" x14ac:dyDescent="0.15">
      <c r="A180" s="32">
        <v>2404117</v>
      </c>
      <c r="B180" s="30" t="str">
        <f>VLOOKUP(T_学生別進路[[#This Row],[学籍番号]],進路状況入力シート!A:B,2,FALSE)</f>
        <v>2-10</v>
      </c>
      <c r="C180" s="30" t="str">
        <f>VLOOKUP(T_学生別進路[[#This Row],[学籍番号]],進路状況入力シート!A:C,3,FALSE)</f>
        <v>BULBUL AHMED</v>
      </c>
      <c r="D180" s="30" t="str">
        <f>IF(AND(T_学生別進路[[#This Row],[進路確定]]="○",T_学生別進路[[#This Row],[進学希望フラグ]]=1),"○","")</f>
        <v>○</v>
      </c>
      <c r="E180" s="30" t="str">
        <f>_xlfn.IFNA(RIGHT(VLOOKUP(T_学生別進路[[#This Row],[学籍番号]]&amp;"○",進路状況入力シート!K:K,1,FALSE),1),"")</f>
        <v>○</v>
      </c>
      <c r="F180" s="30">
        <f>IF(T_学生別進路[[#This Row],[進学希望フラグ]]=0,"",IF(T_学生別進路[[#This Row],[進路確定]]="○",1,0))</f>
        <v>1</v>
      </c>
      <c r="G18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0" s="30" t="str">
        <f>_xlfn.XLOOKUP(T_学生別進路[[#This Row],[学籍番号]]&amp;"○",進路状況入力シート!K:K,進路状況入力シート!D:D,"",0,1)</f>
        <v>東大阪短期大学</v>
      </c>
      <c r="I180" s="30"/>
      <c r="J180" s="31">
        <v>45901</v>
      </c>
      <c r="K180" s="30">
        <f>IF(T_学生別進路[[#This Row],[合格時期]]="",0,IF(T_学生別進路[[#This Row],[合格時期]]&lt;K$5,1,0))</f>
        <v>1</v>
      </c>
      <c r="L180" s="30">
        <f>IF(T_学生別進路[[#This Row],[合格時期]]="",0,IF(T_学生別進路[[#This Row],[合格時期]]&lt;L$5,1,0))</f>
        <v>1</v>
      </c>
      <c r="M180" s="30">
        <f>IF(T_学生別進路[[#This Row],[合格時期]]="",0,IF(T_学生別進路[[#This Row],[合格時期]]&lt;M$5,1,0))</f>
        <v>1</v>
      </c>
      <c r="N180" s="30">
        <f>IF(T_学生別進路[[#This Row],[合格時期]]="",0,IF(T_学生別進路[[#This Row],[合格時期]]&lt;N$5,1,0))</f>
        <v>1</v>
      </c>
      <c r="O180" s="30">
        <f>IF(T_学生別進路[[#This Row],[合格時期]]="",0,IF(T_学生別進路[[#This Row],[合格時期]]&lt;O$5,1,0))</f>
        <v>1</v>
      </c>
      <c r="P180" s="30"/>
      <c r="Q180" s="3"/>
      <c r="R180" s="3"/>
      <c r="S180" s="3"/>
      <c r="T180" s="3"/>
      <c r="U180" s="3"/>
    </row>
    <row r="181" spans="1:21" hidden="1" x14ac:dyDescent="0.15">
      <c r="A181" s="32">
        <v>2404118</v>
      </c>
      <c r="B181" s="30" t="str">
        <f>VLOOKUP(T_学生別進路[[#This Row],[学籍番号]],進路状況入力シート!A:B,2,FALSE)</f>
        <v>2-10</v>
      </c>
      <c r="C181" s="30" t="str">
        <f>VLOOKUP(T_学生別進路[[#This Row],[学籍番号]],進路状況入力シート!A:C,3,FALSE)</f>
        <v>ARNOB JAHIN SHAHRIAR</v>
      </c>
      <c r="D181" s="30" t="str">
        <f>IF(AND(T_学生別進路[[#This Row],[進路確定]]="○",T_学生別進路[[#This Row],[進学希望フラグ]]=1),"○","")</f>
        <v>○</v>
      </c>
      <c r="E181" s="30" t="str">
        <f>_xlfn.IFNA(RIGHT(VLOOKUP(T_学生別進路[[#This Row],[学籍番号]]&amp;"○",進路状況入力シート!K:K,1,FALSE),1),"")</f>
        <v>○</v>
      </c>
      <c r="F181" s="30">
        <f>IF(T_学生別進路[[#This Row],[進学希望フラグ]]=0,"",IF(T_学生別進路[[#This Row],[進路確定]]="○",1,0))</f>
        <v>1</v>
      </c>
      <c r="G18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1" s="30" t="str">
        <f>_xlfn.XLOOKUP(T_学生別進路[[#This Row],[学籍番号]]&amp;"○",進路状況入力シート!K:K,進路状況入力シート!D:D,"",0,1)</f>
        <v>流通科学大学</v>
      </c>
      <c r="I181" s="30"/>
      <c r="J181" s="31">
        <v>45962</v>
      </c>
      <c r="K181" s="30">
        <f>IF(T_学生別進路[[#This Row],[合格時期]]="",0,IF(T_学生別進路[[#This Row],[合格時期]]&lt;K$5,1,0))</f>
        <v>1</v>
      </c>
      <c r="L181" s="30">
        <f>IF(T_学生別進路[[#This Row],[合格時期]]="",0,IF(T_学生別進路[[#This Row],[合格時期]]&lt;L$5,1,0))</f>
        <v>1</v>
      </c>
      <c r="M181" s="30">
        <f>IF(T_学生別進路[[#This Row],[合格時期]]="",0,IF(T_学生別進路[[#This Row],[合格時期]]&lt;M$5,1,0))</f>
        <v>1</v>
      </c>
      <c r="N181" s="30">
        <f>IF(T_学生別進路[[#This Row],[合格時期]]="",0,IF(T_学生別進路[[#This Row],[合格時期]]&lt;N$5,1,0))</f>
        <v>1</v>
      </c>
      <c r="O181" s="30">
        <f>IF(T_学生別進路[[#This Row],[合格時期]]="",0,IF(T_学生別進路[[#This Row],[合格時期]]&lt;O$5,1,0))</f>
        <v>1</v>
      </c>
      <c r="P181" s="30"/>
      <c r="Q181" s="3"/>
      <c r="R181" s="3"/>
      <c r="S181" s="3"/>
      <c r="T181" s="3"/>
      <c r="U181" s="3"/>
    </row>
    <row r="182" spans="1:21" hidden="1" x14ac:dyDescent="0.15">
      <c r="A182" s="32">
        <v>2404123</v>
      </c>
      <c r="B182" s="30" t="str">
        <f>VLOOKUP(T_学生別進路[[#This Row],[学籍番号]],進路状況入力シート!A:B,2,FALSE)</f>
        <v>2-10</v>
      </c>
      <c r="C182" s="30" t="str">
        <f>VLOOKUP(T_学生別進路[[#This Row],[学籍番号]],進路状況入力シート!A:C,3,FALSE)</f>
        <v>KHAN MD EMON</v>
      </c>
      <c r="D182" s="30" t="str">
        <f>IF(AND(T_学生別進路[[#This Row],[進路確定]]="○",T_学生別進路[[#This Row],[進学希望フラグ]]=1),"○","")</f>
        <v>○</v>
      </c>
      <c r="E182" s="30" t="str">
        <f>_xlfn.IFNA(RIGHT(VLOOKUP(T_学生別進路[[#This Row],[学籍番号]]&amp;"○",進路状況入力シート!K:K,1,FALSE),1),"")</f>
        <v>○</v>
      </c>
      <c r="F182" s="30">
        <f>IF(T_学生別進路[[#This Row],[進学希望フラグ]]=0,"",IF(T_学生別進路[[#This Row],[進路確定]]="○",1,0))</f>
        <v>1</v>
      </c>
      <c r="G18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2" s="30" t="str">
        <f>_xlfn.XLOOKUP(T_学生別進路[[#This Row],[学籍番号]]&amp;"○",進路状況入力シート!K:K,進路状況入力シート!D:D,"",0,1)</f>
        <v>トヨタ神戸自動車大学校</v>
      </c>
      <c r="I182" s="30"/>
      <c r="J182" s="31">
        <v>45931</v>
      </c>
      <c r="K182" s="30">
        <f>IF(T_学生別進路[[#This Row],[合格時期]]="",0,IF(T_学生別進路[[#This Row],[合格時期]]&lt;K$5,1,0))</f>
        <v>1</v>
      </c>
      <c r="L182" s="30">
        <f>IF(T_学生別進路[[#This Row],[合格時期]]="",0,IF(T_学生別進路[[#This Row],[合格時期]]&lt;L$5,1,0))</f>
        <v>1</v>
      </c>
      <c r="M182" s="30">
        <f>IF(T_学生別進路[[#This Row],[合格時期]]="",0,IF(T_学生別進路[[#This Row],[合格時期]]&lt;M$5,1,0))</f>
        <v>1</v>
      </c>
      <c r="N182" s="30">
        <f>IF(T_学生別進路[[#This Row],[合格時期]]="",0,IF(T_学生別進路[[#This Row],[合格時期]]&lt;N$5,1,0))</f>
        <v>1</v>
      </c>
      <c r="O182" s="30">
        <f>IF(T_学生別進路[[#This Row],[合格時期]]="",0,IF(T_学生別進路[[#This Row],[合格時期]]&lt;O$5,1,0))</f>
        <v>1</v>
      </c>
      <c r="P182" s="30"/>
      <c r="Q182" s="3"/>
      <c r="R182" s="3"/>
      <c r="S182" s="3"/>
      <c r="T182" s="3"/>
      <c r="U182" s="3"/>
    </row>
    <row r="183" spans="1:21" hidden="1" x14ac:dyDescent="0.15">
      <c r="A183" s="32">
        <v>2404124</v>
      </c>
      <c r="B183" s="30" t="str">
        <f>VLOOKUP(T_学生別進路[[#This Row],[学籍番号]],進路状況入力シート!A:B,2,FALSE)</f>
        <v>2-10</v>
      </c>
      <c r="C183" s="30" t="str">
        <f>VLOOKUP(T_学生別進路[[#This Row],[学籍番号]],進路状況入力シート!A:C,3,FALSE)</f>
        <v>MIRAZ MD SAIKAT ISLAM</v>
      </c>
      <c r="D183" s="30" t="str">
        <f>IF(AND(T_学生別進路[[#This Row],[進路確定]]="○",T_学生別進路[[#This Row],[進学希望フラグ]]=1),"○","")</f>
        <v>○</v>
      </c>
      <c r="E183" s="30" t="str">
        <f>_xlfn.IFNA(RIGHT(VLOOKUP(T_学生別進路[[#This Row],[学籍番号]]&amp;"○",進路状況入力シート!K:K,1,FALSE),1),"")</f>
        <v>○</v>
      </c>
      <c r="F183" s="30">
        <f>IF(T_学生別進路[[#This Row],[進学希望フラグ]]=0,"",IF(T_学生別進路[[#This Row],[進路確定]]="○",1,0))</f>
        <v>1</v>
      </c>
      <c r="G18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3" s="30" t="str">
        <f>_xlfn.XLOOKUP(T_学生別進路[[#This Row],[学籍番号]]&amp;"○",進路状況入力シート!K:K,進路状況入力シート!D:D,"",0,1)</f>
        <v>東京国際学園外語専門学校</v>
      </c>
      <c r="I183" s="39" t="s">
        <v>626</v>
      </c>
      <c r="J183" s="31">
        <v>46023</v>
      </c>
      <c r="K183" s="30">
        <f>IF(T_学生別進路[[#This Row],[合格時期]]="",0,IF(T_学生別進路[[#This Row],[合格時期]]&lt;K$5,1,0))</f>
        <v>0</v>
      </c>
      <c r="L183" s="30">
        <f>IF(T_学生別進路[[#This Row],[合格時期]]="",0,IF(T_学生別進路[[#This Row],[合格時期]]&lt;L$5,1,0))</f>
        <v>0</v>
      </c>
      <c r="M183" s="30">
        <f>IF(T_学生別進路[[#This Row],[合格時期]]="",0,IF(T_学生別進路[[#This Row],[合格時期]]&lt;M$5,1,0))</f>
        <v>1</v>
      </c>
      <c r="N183" s="30">
        <f>IF(T_学生別進路[[#This Row],[合格時期]]="",0,IF(T_学生別進路[[#This Row],[合格時期]]&lt;N$5,1,0))</f>
        <v>1</v>
      </c>
      <c r="O183" s="30">
        <f>IF(T_学生別進路[[#This Row],[合格時期]]="",0,IF(T_学生別進路[[#This Row],[合格時期]]&lt;O$5,1,0))</f>
        <v>1</v>
      </c>
      <c r="P183" s="30"/>
      <c r="Q183" s="3"/>
      <c r="R183" s="3"/>
      <c r="S183" s="3"/>
      <c r="T183" s="3"/>
      <c r="U183" s="3"/>
    </row>
    <row r="184" spans="1:21" hidden="1" x14ac:dyDescent="0.15">
      <c r="A184" s="32">
        <v>2404131</v>
      </c>
      <c r="B184" s="30" t="str">
        <f>VLOOKUP(T_学生別進路[[#This Row],[学籍番号]],進路状況入力シート!A:B,2,FALSE)</f>
        <v>2-10</v>
      </c>
      <c r="C184" s="30" t="str">
        <f>VLOOKUP(T_学生別進路[[#This Row],[学籍番号]],進路状況入力シート!A:C,3,FALSE)</f>
        <v>SAGAR NUR UDDIN</v>
      </c>
      <c r="D184" s="30" t="str">
        <f>IF(AND(T_学生別進路[[#This Row],[進路確定]]="○",T_学生別進路[[#This Row],[進学希望フラグ]]=1),"○","")</f>
        <v>○</v>
      </c>
      <c r="E184" s="30" t="str">
        <f>_xlfn.IFNA(RIGHT(VLOOKUP(T_学生別進路[[#This Row],[学籍番号]]&amp;"○",進路状況入力シート!K:K,1,FALSE),1),"")</f>
        <v>○</v>
      </c>
      <c r="F184" s="30">
        <f>IF(T_学生別進路[[#This Row],[進学希望フラグ]]=0,"",IF(T_学生別進路[[#This Row],[進路確定]]="○",1,0))</f>
        <v>1</v>
      </c>
      <c r="G18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4" s="30" t="str">
        <f>_xlfn.XLOOKUP(T_学生別進路[[#This Row],[学籍番号]]&amp;"○",進路状況入力シート!K:K,進路状況入力シート!D:D,"",0,1)</f>
        <v>四国大学短期大学部</v>
      </c>
      <c r="I184" s="30"/>
      <c r="J184" s="31">
        <v>45962</v>
      </c>
      <c r="K184" s="30">
        <f>IF(T_学生別進路[[#This Row],[合格時期]]="",0,IF(T_学生別進路[[#This Row],[合格時期]]&lt;K$5,1,0))</f>
        <v>1</v>
      </c>
      <c r="L184" s="30">
        <f>IF(T_学生別進路[[#This Row],[合格時期]]="",0,IF(T_学生別進路[[#This Row],[合格時期]]&lt;L$5,1,0))</f>
        <v>1</v>
      </c>
      <c r="M184" s="30">
        <f>IF(T_学生別進路[[#This Row],[合格時期]]="",0,IF(T_学生別進路[[#This Row],[合格時期]]&lt;M$5,1,0))</f>
        <v>1</v>
      </c>
      <c r="N184" s="30">
        <f>IF(T_学生別進路[[#This Row],[合格時期]]="",0,IF(T_学生別進路[[#This Row],[合格時期]]&lt;N$5,1,0))</f>
        <v>1</v>
      </c>
      <c r="O184" s="30">
        <f>IF(T_学生別進路[[#This Row],[合格時期]]="",0,IF(T_学生別進路[[#This Row],[合格時期]]&lt;O$5,1,0))</f>
        <v>1</v>
      </c>
      <c r="P184" s="30"/>
      <c r="Q184" s="3"/>
      <c r="R184" s="3"/>
      <c r="S184" s="3"/>
      <c r="T184" s="3"/>
      <c r="U184" s="3"/>
    </row>
    <row r="185" spans="1:21" hidden="1" x14ac:dyDescent="0.15">
      <c r="A185" s="32">
        <v>2404132</v>
      </c>
      <c r="B185" s="30" t="str">
        <f>VLOOKUP(T_学生別進路[[#This Row],[学籍番号]],進路状況入力シート!A:B,2,FALSE)</f>
        <v>2-10</v>
      </c>
      <c r="C185" s="30" t="str">
        <f>VLOOKUP(T_学生別進路[[#This Row],[学籍番号]],進路状況入力シート!A:C,3,FALSE)</f>
        <v>SHOVA MD ARAFAT HOSSAIN</v>
      </c>
      <c r="D185" s="30" t="str">
        <f>IF(AND(T_学生別進路[[#This Row],[進路確定]]="○",T_学生別進路[[#This Row],[進学希望フラグ]]=1),"○","")</f>
        <v>○</v>
      </c>
      <c r="E185" s="30" t="str">
        <f>_xlfn.IFNA(RIGHT(VLOOKUP(T_学生別進路[[#This Row],[学籍番号]]&amp;"○",進路状況入力シート!K:K,1,FALSE),1),"")</f>
        <v>○</v>
      </c>
      <c r="F185" s="30">
        <f>IF(T_学生別進路[[#This Row],[進学希望フラグ]]=0,"",IF(T_学生別進路[[#This Row],[進路確定]]="○",1,0))</f>
        <v>1</v>
      </c>
      <c r="G18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5" s="30" t="str">
        <f>_xlfn.XLOOKUP(T_学生別進路[[#This Row],[学籍番号]]&amp;"○",進路状況入力シート!K:K,進路状況入力シート!D:D,"",0,1)</f>
        <v>トヨタ神戸自動車大学校</v>
      </c>
      <c r="I185" s="30"/>
      <c r="J185" s="31">
        <v>45931</v>
      </c>
      <c r="K185" s="30">
        <f>IF(T_学生別進路[[#This Row],[合格時期]]="",0,IF(T_学生別進路[[#This Row],[合格時期]]&lt;K$5,1,0))</f>
        <v>1</v>
      </c>
      <c r="L185" s="30">
        <f>IF(T_学生別進路[[#This Row],[合格時期]]="",0,IF(T_学生別進路[[#This Row],[合格時期]]&lt;L$5,1,0))</f>
        <v>1</v>
      </c>
      <c r="M185" s="30">
        <f>IF(T_学生別進路[[#This Row],[合格時期]]="",0,IF(T_学生別進路[[#This Row],[合格時期]]&lt;M$5,1,0))</f>
        <v>1</v>
      </c>
      <c r="N185" s="30">
        <f>IF(T_学生別進路[[#This Row],[合格時期]]="",0,IF(T_学生別進路[[#This Row],[合格時期]]&lt;N$5,1,0))</f>
        <v>1</v>
      </c>
      <c r="O185" s="30">
        <f>IF(T_学生別進路[[#This Row],[合格時期]]="",0,IF(T_学生別進路[[#This Row],[合格時期]]&lt;O$5,1,0))</f>
        <v>1</v>
      </c>
      <c r="P185" s="30"/>
      <c r="Q185" s="3"/>
      <c r="R185" s="3"/>
      <c r="S185" s="3"/>
      <c r="T185" s="3"/>
      <c r="U185" s="3"/>
    </row>
    <row r="186" spans="1:21" hidden="1" x14ac:dyDescent="0.15">
      <c r="A186" s="32">
        <v>2404145</v>
      </c>
      <c r="B186" s="30" t="str">
        <f>VLOOKUP(T_学生別進路[[#This Row],[学籍番号]],進路状況入力シート!A:B,2,FALSE)</f>
        <v>2-10</v>
      </c>
      <c r="C186" s="30" t="str">
        <f>VLOOKUP(T_学生別進路[[#This Row],[学籍番号]],進路状況入力シート!A:C,3,FALSE)</f>
        <v>TILSARA MAHARA</v>
      </c>
      <c r="D186" s="30" t="str">
        <f>IF(AND(T_学生別進路[[#This Row],[進路確定]]="○",T_学生別進路[[#This Row],[進学希望フラグ]]=1),"○","")</f>
        <v>○</v>
      </c>
      <c r="E186" s="30" t="str">
        <f>_xlfn.IFNA(RIGHT(VLOOKUP(T_学生別進路[[#This Row],[学籍番号]]&amp;"○",進路状況入力シート!K:K,1,FALSE),1),"")</f>
        <v>○</v>
      </c>
      <c r="F186" s="30">
        <f>IF(T_学生別進路[[#This Row],[進学希望フラグ]]=0,"",IF(T_学生別進路[[#This Row],[進路確定]]="○",1,0))</f>
        <v>1</v>
      </c>
      <c r="G18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6" s="30" t="str">
        <f>_xlfn.XLOOKUP(T_学生別進路[[#This Row],[学籍番号]]&amp;"○",進路状況入力シート!K:K,進路状況入力シート!D:D,"",0,1)</f>
        <v>専門学校アートカレッジ神戸</v>
      </c>
      <c r="I186" s="30"/>
      <c r="J186" s="31">
        <v>45870</v>
      </c>
      <c r="K186" s="30">
        <f>IF(T_学生別進路[[#This Row],[合格時期]]="",0,IF(T_学生別進路[[#This Row],[合格時期]]&lt;K$5,1,0))</f>
        <v>1</v>
      </c>
      <c r="L186" s="30">
        <f>IF(T_学生別進路[[#This Row],[合格時期]]="",0,IF(T_学生別進路[[#This Row],[合格時期]]&lt;L$5,1,0))</f>
        <v>1</v>
      </c>
      <c r="M186" s="30">
        <f>IF(T_学生別進路[[#This Row],[合格時期]]="",0,IF(T_学生別進路[[#This Row],[合格時期]]&lt;M$5,1,0))</f>
        <v>1</v>
      </c>
      <c r="N186" s="30">
        <f>IF(T_学生別進路[[#This Row],[合格時期]]="",0,IF(T_学生別進路[[#This Row],[合格時期]]&lt;N$5,1,0))</f>
        <v>1</v>
      </c>
      <c r="O186" s="30">
        <f>IF(T_学生別進路[[#This Row],[合格時期]]="",0,IF(T_学生別進路[[#This Row],[合格時期]]&lt;O$5,1,0))</f>
        <v>1</v>
      </c>
      <c r="P186" s="30"/>
      <c r="Q186" s="3"/>
      <c r="R186" s="3"/>
      <c r="S186" s="3"/>
      <c r="T186" s="3"/>
      <c r="U186" s="3"/>
    </row>
    <row r="187" spans="1:21" hidden="1" x14ac:dyDescent="0.15">
      <c r="A187" s="32">
        <v>2404150</v>
      </c>
      <c r="B187" s="30" t="str">
        <f>VLOOKUP(T_学生別進路[[#This Row],[学籍番号]],進路状況入力シート!A:B,2,FALSE)</f>
        <v>2-10</v>
      </c>
      <c r="C187" s="30" t="str">
        <f>VLOOKUP(T_学生別進路[[#This Row],[学籍番号]],進路状況入力シート!A:C,3,FALSE)</f>
        <v>LOKENDRA SAUD</v>
      </c>
      <c r="D187" s="30" t="str">
        <f>IF(AND(T_学生別進路[[#This Row],[進路確定]]="○",T_学生別進路[[#This Row],[進学希望フラグ]]=1),"○","")</f>
        <v>○</v>
      </c>
      <c r="E187" s="30" t="str">
        <f>_xlfn.IFNA(RIGHT(VLOOKUP(T_学生別進路[[#This Row],[学籍番号]]&amp;"○",進路状況入力シート!K:K,1,FALSE),1),"")</f>
        <v>○</v>
      </c>
      <c r="F187" s="30">
        <f>IF(T_学生別進路[[#This Row],[進学希望フラグ]]=0,"",IF(T_学生別進路[[#This Row],[進路確定]]="○",1,0))</f>
        <v>1</v>
      </c>
      <c r="G18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7" s="30" t="str">
        <f>_xlfn.XLOOKUP(T_学生別進路[[#This Row],[学籍番号]]&amp;"○",進路状況入力シート!K:K,進路状況入力シート!D:D,"",0,1)</f>
        <v>ICT専門学校高砂校</v>
      </c>
      <c r="I187" s="39" t="s">
        <v>627</v>
      </c>
      <c r="J187" s="31">
        <v>46023</v>
      </c>
      <c r="K187" s="30">
        <f>IF(T_学生別進路[[#This Row],[合格時期]]="",0,IF(T_学生別進路[[#This Row],[合格時期]]&lt;K$5,1,0))</f>
        <v>0</v>
      </c>
      <c r="L187" s="30">
        <f>IF(T_学生別進路[[#This Row],[合格時期]]="",0,IF(T_学生別進路[[#This Row],[合格時期]]&lt;L$5,1,0))</f>
        <v>0</v>
      </c>
      <c r="M187" s="30">
        <f>IF(T_学生別進路[[#This Row],[合格時期]]="",0,IF(T_学生別進路[[#This Row],[合格時期]]&lt;M$5,1,0))</f>
        <v>1</v>
      </c>
      <c r="N187" s="30">
        <f>IF(T_学生別進路[[#This Row],[合格時期]]="",0,IF(T_学生別進路[[#This Row],[合格時期]]&lt;N$5,1,0))</f>
        <v>1</v>
      </c>
      <c r="O187" s="30">
        <f>IF(T_学生別進路[[#This Row],[合格時期]]="",0,IF(T_学生別進路[[#This Row],[合格時期]]&lt;O$5,1,0))</f>
        <v>1</v>
      </c>
      <c r="P187" s="30"/>
      <c r="Q187" s="3"/>
      <c r="R187" s="3"/>
      <c r="S187" s="3"/>
      <c r="T187" s="3"/>
      <c r="U187" s="3"/>
    </row>
    <row r="188" spans="1:21" hidden="1" x14ac:dyDescent="0.15">
      <c r="A188" s="32">
        <v>2404151</v>
      </c>
      <c r="B188" s="30" t="str">
        <f>VLOOKUP(T_学生別進路[[#This Row],[学籍番号]],進路状況入力シート!A:B,2,FALSE)</f>
        <v>2-10</v>
      </c>
      <c r="C188" s="30" t="str">
        <f>VLOOKUP(T_学生別進路[[#This Row],[学籍番号]],進路状況入力シート!A:C,3,FALSE)</f>
        <v>RAJ KUMAR GIRI</v>
      </c>
      <c r="D188" s="30" t="str">
        <f>IF(AND(T_学生別進路[[#This Row],[進路確定]]="○",T_学生別進路[[#This Row],[進学希望フラグ]]=1),"○","")</f>
        <v>○</v>
      </c>
      <c r="E188" s="30" t="str">
        <f>_xlfn.IFNA(RIGHT(VLOOKUP(T_学生別進路[[#This Row],[学籍番号]]&amp;"○",進路状況入力シート!K:K,1,FALSE),1),"")</f>
        <v>○</v>
      </c>
      <c r="F188" s="30">
        <f>IF(T_学生別進路[[#This Row],[進学希望フラグ]]=0,"",IF(T_学生別進路[[#This Row],[進路確定]]="○",1,0))</f>
        <v>1</v>
      </c>
      <c r="G18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8" s="30" t="str">
        <f>_xlfn.XLOOKUP(T_学生別進路[[#This Row],[学籍番号]]&amp;"○",進路状況入力シート!K:K,進路状況入力シート!D:D,"",0,1)</f>
        <v>愛甲学院専門学校</v>
      </c>
      <c r="I188" s="30"/>
      <c r="J188" s="31">
        <v>45901</v>
      </c>
      <c r="K188" s="30">
        <f>IF(T_学生別進路[[#This Row],[合格時期]]="",0,IF(T_学生別進路[[#This Row],[合格時期]]&lt;K$5,1,0))</f>
        <v>1</v>
      </c>
      <c r="L188" s="30">
        <f>IF(T_学生別進路[[#This Row],[合格時期]]="",0,IF(T_学生別進路[[#This Row],[合格時期]]&lt;L$5,1,0))</f>
        <v>1</v>
      </c>
      <c r="M188" s="30">
        <f>IF(T_学生別進路[[#This Row],[合格時期]]="",0,IF(T_学生別進路[[#This Row],[合格時期]]&lt;M$5,1,0))</f>
        <v>1</v>
      </c>
      <c r="N188" s="30">
        <f>IF(T_学生別進路[[#This Row],[合格時期]]="",0,IF(T_学生別進路[[#This Row],[合格時期]]&lt;N$5,1,0))</f>
        <v>1</v>
      </c>
      <c r="O188" s="30">
        <f>IF(T_学生別進路[[#This Row],[合格時期]]="",0,IF(T_学生別進路[[#This Row],[合格時期]]&lt;O$5,1,0))</f>
        <v>1</v>
      </c>
      <c r="P188" s="30"/>
      <c r="Q188" s="3"/>
      <c r="R188" s="3"/>
      <c r="S188" s="3"/>
      <c r="T188" s="3"/>
      <c r="U188" s="3"/>
    </row>
    <row r="189" spans="1:21" hidden="1" x14ac:dyDescent="0.15">
      <c r="A189" s="32">
        <v>2404156</v>
      </c>
      <c r="B189" s="30" t="str">
        <f>VLOOKUP(T_学生別進路[[#This Row],[学籍番号]],進路状況入力シート!A:B,2,FALSE)</f>
        <v>2-10</v>
      </c>
      <c r="C189" s="30" t="str">
        <f>VLOOKUP(T_学生別進路[[#This Row],[学籍番号]],進路状況入力シート!A:C,3,FALSE)</f>
        <v>HIMAL MALLA</v>
      </c>
      <c r="D189" s="30" t="str">
        <f>IF(AND(T_学生別進路[[#This Row],[進路確定]]="○",T_学生別進路[[#This Row],[進学希望フラグ]]=1),"○","")</f>
        <v>○</v>
      </c>
      <c r="E189" s="30" t="str">
        <f>_xlfn.IFNA(RIGHT(VLOOKUP(T_学生別進路[[#This Row],[学籍番号]]&amp;"○",進路状況入力シート!K:K,1,FALSE),1),"")</f>
        <v>○</v>
      </c>
      <c r="F189" s="30">
        <f>IF(T_学生別進路[[#This Row],[進学希望フラグ]]=0,"",IF(T_学生別進路[[#This Row],[進路確定]]="○",1,0))</f>
        <v>1</v>
      </c>
      <c r="G18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89" s="30" t="str">
        <f>_xlfn.XLOOKUP(T_学生別進路[[#This Row],[学籍番号]]&amp;"○",進路状況入力シート!K:K,進路状況入力シート!D:D,"",0,1)</f>
        <v>東亜経理専門学校</v>
      </c>
      <c r="I189" s="30"/>
      <c r="J189" s="31">
        <v>45931</v>
      </c>
      <c r="K189" s="30">
        <f>IF(T_学生別進路[[#This Row],[合格時期]]="",0,IF(T_学生別進路[[#This Row],[合格時期]]&lt;K$5,1,0))</f>
        <v>1</v>
      </c>
      <c r="L189" s="30">
        <f>IF(T_学生別進路[[#This Row],[合格時期]]="",0,IF(T_学生別進路[[#This Row],[合格時期]]&lt;L$5,1,0))</f>
        <v>1</v>
      </c>
      <c r="M189" s="30">
        <f>IF(T_学生別進路[[#This Row],[合格時期]]="",0,IF(T_学生別進路[[#This Row],[合格時期]]&lt;M$5,1,0))</f>
        <v>1</v>
      </c>
      <c r="N189" s="30">
        <f>IF(T_学生別進路[[#This Row],[合格時期]]="",0,IF(T_学生別進路[[#This Row],[合格時期]]&lt;N$5,1,0))</f>
        <v>1</v>
      </c>
      <c r="O189" s="30">
        <f>IF(T_学生別進路[[#This Row],[合格時期]]="",0,IF(T_学生別進路[[#This Row],[合格時期]]&lt;O$5,1,0))</f>
        <v>1</v>
      </c>
      <c r="P189" s="30"/>
      <c r="Q189" s="3"/>
      <c r="R189" s="3"/>
      <c r="S189" s="3"/>
      <c r="T189" s="3"/>
      <c r="U189" s="3"/>
    </row>
    <row r="190" spans="1:21" hidden="1" x14ac:dyDescent="0.15">
      <c r="A190" s="32">
        <v>2404166</v>
      </c>
      <c r="B190" s="30" t="str">
        <f>VLOOKUP(T_学生別進路[[#This Row],[学籍番号]],進路状況入力シート!A:B,2,FALSE)</f>
        <v>2-10</v>
      </c>
      <c r="C190" s="30" t="str">
        <f>VLOOKUP(T_学生別進路[[#This Row],[学籍番号]],進路状況入力シート!A:C,3,FALSE)</f>
        <v>SHERPA AAYUSHA</v>
      </c>
      <c r="D190" s="30" t="str">
        <f>IF(AND(T_学生別進路[[#This Row],[進路確定]]="○",T_学生別進路[[#This Row],[進学希望フラグ]]=1),"○","")</f>
        <v>○</v>
      </c>
      <c r="E190" s="30" t="str">
        <f>_xlfn.IFNA(RIGHT(VLOOKUP(T_学生別進路[[#This Row],[学籍番号]]&amp;"○",進路状況入力シート!K:K,1,FALSE),1),"")</f>
        <v>○</v>
      </c>
      <c r="F190" s="30">
        <f>IF(T_学生別進路[[#This Row],[進学希望フラグ]]=0,"",IF(T_学生別進路[[#This Row],[進路確定]]="○",1,0))</f>
        <v>1</v>
      </c>
      <c r="G19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0" s="30" t="str">
        <f>_xlfn.XLOOKUP(T_学生別進路[[#This Row],[学籍番号]]&amp;"○",進路状況入力シート!K:K,進路状況入力シート!D:D,"",0,1)</f>
        <v>大阪観光大学</v>
      </c>
      <c r="I190" s="30"/>
      <c r="J190" s="31">
        <v>45962</v>
      </c>
      <c r="K190" s="30">
        <f>IF(T_学生別進路[[#This Row],[合格時期]]="",0,IF(T_学生別進路[[#This Row],[合格時期]]&lt;K$5,1,0))</f>
        <v>1</v>
      </c>
      <c r="L190" s="30">
        <f>IF(T_学生別進路[[#This Row],[合格時期]]="",0,IF(T_学生別進路[[#This Row],[合格時期]]&lt;L$5,1,0))</f>
        <v>1</v>
      </c>
      <c r="M190" s="30">
        <f>IF(T_学生別進路[[#This Row],[合格時期]]="",0,IF(T_学生別進路[[#This Row],[合格時期]]&lt;M$5,1,0))</f>
        <v>1</v>
      </c>
      <c r="N190" s="30">
        <f>IF(T_学生別進路[[#This Row],[合格時期]]="",0,IF(T_学生別進路[[#This Row],[合格時期]]&lt;N$5,1,0))</f>
        <v>1</v>
      </c>
      <c r="O190" s="30">
        <f>IF(T_学生別進路[[#This Row],[合格時期]]="",0,IF(T_学生別進路[[#This Row],[合格時期]]&lt;O$5,1,0))</f>
        <v>1</v>
      </c>
      <c r="P190" s="30"/>
      <c r="Q190" s="3"/>
      <c r="R190" s="3"/>
      <c r="S190" s="3"/>
      <c r="T190" s="3"/>
      <c r="U190" s="3"/>
    </row>
    <row r="191" spans="1:21" hidden="1" x14ac:dyDescent="0.15">
      <c r="A191" s="32">
        <v>2404169</v>
      </c>
      <c r="B191" s="30" t="str">
        <f>VLOOKUP(T_学生別進路[[#This Row],[学籍番号]],進路状況入力シート!A:B,2,FALSE)</f>
        <v>2-10</v>
      </c>
      <c r="C191" s="30" t="str">
        <f>VLOOKUP(T_学生別進路[[#This Row],[学籍番号]],進路状況入力シート!A:C,3,FALSE)</f>
        <v>MAHATO SALINA KUMARI</v>
      </c>
      <c r="D191" s="30" t="str">
        <f>IF(AND(T_学生別進路[[#This Row],[進路確定]]="○",T_学生別進路[[#This Row],[進学希望フラグ]]=1),"○","")</f>
        <v>○</v>
      </c>
      <c r="E191" s="30" t="str">
        <f>_xlfn.IFNA(RIGHT(VLOOKUP(T_学生別進路[[#This Row],[学籍番号]]&amp;"○",進路状況入力シート!K:K,1,FALSE),1),"")</f>
        <v>○</v>
      </c>
      <c r="F191" s="30">
        <f>IF(T_学生別進路[[#This Row],[進学希望フラグ]]=0,"",IF(T_学生別進路[[#This Row],[進路確定]]="○",1,0))</f>
        <v>1</v>
      </c>
      <c r="G19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1" s="30" t="str">
        <f>_xlfn.XLOOKUP(T_学生別進路[[#This Row],[学籍番号]]&amp;"○",進路状況入力シート!K:K,進路状況入力シート!D:D,"",0,1)</f>
        <v>岡山服飾ビジネス専門学校</v>
      </c>
      <c r="I191" s="39" t="s">
        <v>627</v>
      </c>
      <c r="J191" s="31">
        <v>46054</v>
      </c>
      <c r="K191" s="30">
        <f>IF(T_学生別進路[[#This Row],[合格時期]]="",0,IF(T_学生別進路[[#This Row],[合格時期]]&lt;K$5,1,0))</f>
        <v>0</v>
      </c>
      <c r="L191" s="30">
        <f>IF(T_学生別進路[[#This Row],[合格時期]]="",0,IF(T_学生別進路[[#This Row],[合格時期]]&lt;L$5,1,0))</f>
        <v>0</v>
      </c>
      <c r="M191" s="30">
        <f>IF(T_学生別進路[[#This Row],[合格時期]]="",0,IF(T_学生別進路[[#This Row],[合格時期]]&lt;M$5,1,0))</f>
        <v>0</v>
      </c>
      <c r="N191" s="30">
        <f>IF(T_学生別進路[[#This Row],[合格時期]]="",0,IF(T_学生別進路[[#This Row],[合格時期]]&lt;N$5,1,0))</f>
        <v>1</v>
      </c>
      <c r="O191" s="30">
        <f>IF(T_学生別進路[[#This Row],[合格時期]]="",0,IF(T_学生別進路[[#This Row],[合格時期]]&lt;O$5,1,0))</f>
        <v>1</v>
      </c>
      <c r="P191" s="30"/>
      <c r="Q191" s="3"/>
      <c r="R191" s="3"/>
      <c r="S191" s="3"/>
      <c r="T191" s="3"/>
      <c r="U191" s="3"/>
    </row>
    <row r="192" spans="1:21" hidden="1" x14ac:dyDescent="0.15">
      <c r="A192" s="32">
        <v>2404178</v>
      </c>
      <c r="B192" s="30" t="str">
        <f>VLOOKUP(T_学生別進路[[#This Row],[学籍番号]],進路状況入力シート!A:B,2,FALSE)</f>
        <v>2-10</v>
      </c>
      <c r="C192" s="30" t="str">
        <f>VLOOKUP(T_学生別進路[[#This Row],[学籍番号]],進路状況入力シート!A:C,3,FALSE)</f>
        <v>JOGI MILAN KUMAR</v>
      </c>
      <c r="D192" s="30" t="str">
        <f>IF(AND(T_学生別進路[[#This Row],[進路確定]]="○",T_学生別進路[[#This Row],[進学希望フラグ]]=1),"○","")</f>
        <v>○</v>
      </c>
      <c r="E192" s="30" t="str">
        <f>_xlfn.IFNA(RIGHT(VLOOKUP(T_学生別進路[[#This Row],[学籍番号]]&amp;"○",進路状況入力シート!K:K,1,FALSE),1),"")</f>
        <v>○</v>
      </c>
      <c r="F192" s="30">
        <f>IF(T_学生別進路[[#This Row],[進学希望フラグ]]=0,"",IF(T_学生別進路[[#This Row],[進路確定]]="○",1,0))</f>
        <v>1</v>
      </c>
      <c r="G19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2" s="30" t="str">
        <f>_xlfn.XLOOKUP(T_学生別進路[[#This Row],[学籍番号]]&amp;"○",進路状況入力シート!K:K,進路状況入力シート!D:D,"",0,1)</f>
        <v>専門学校アートカレッジ神戸</v>
      </c>
      <c r="I192" s="30"/>
      <c r="J192" s="31">
        <v>45870</v>
      </c>
      <c r="K192" s="30">
        <f>IF(T_学生別進路[[#This Row],[合格時期]]="",0,IF(T_学生別進路[[#This Row],[合格時期]]&lt;K$5,1,0))</f>
        <v>1</v>
      </c>
      <c r="L192" s="30">
        <f>IF(T_学生別進路[[#This Row],[合格時期]]="",0,IF(T_学生別進路[[#This Row],[合格時期]]&lt;L$5,1,0))</f>
        <v>1</v>
      </c>
      <c r="M192" s="30">
        <f>IF(T_学生別進路[[#This Row],[合格時期]]="",0,IF(T_学生別進路[[#This Row],[合格時期]]&lt;M$5,1,0))</f>
        <v>1</v>
      </c>
      <c r="N192" s="30">
        <f>IF(T_学生別進路[[#This Row],[合格時期]]="",0,IF(T_学生別進路[[#This Row],[合格時期]]&lt;N$5,1,0))</f>
        <v>1</v>
      </c>
      <c r="O192" s="30">
        <f>IF(T_学生別進路[[#This Row],[合格時期]]="",0,IF(T_学生別進路[[#This Row],[合格時期]]&lt;O$5,1,0))</f>
        <v>1</v>
      </c>
      <c r="P192" s="30"/>
      <c r="Q192" s="3"/>
      <c r="R192" s="3"/>
      <c r="S192" s="3"/>
      <c r="T192" s="3"/>
      <c r="U192" s="3"/>
    </row>
    <row r="193" spans="1:21" hidden="1" x14ac:dyDescent="0.15">
      <c r="A193" s="32">
        <v>2404181</v>
      </c>
      <c r="B193" s="30" t="str">
        <f>VLOOKUP(T_学生別進路[[#This Row],[学籍番号]],進路状況入力シート!A:B,2,FALSE)</f>
        <v>2-10</v>
      </c>
      <c r="C193" s="30" t="str">
        <f>VLOOKUP(T_学生別進路[[#This Row],[学籍番号]],進路状況入力シート!A:C,3,FALSE)</f>
        <v>BHARAT B.K.</v>
      </c>
      <c r="D193" s="30" t="str">
        <f>IF(AND(T_学生別進路[[#This Row],[進路確定]]="○",T_学生別進路[[#This Row],[進学希望フラグ]]=1),"○","")</f>
        <v>○</v>
      </c>
      <c r="E193" s="30" t="str">
        <f>_xlfn.IFNA(RIGHT(VLOOKUP(T_学生別進路[[#This Row],[学籍番号]]&amp;"○",進路状況入力シート!K:K,1,FALSE),1),"")</f>
        <v>○</v>
      </c>
      <c r="F193" s="30">
        <f>IF(T_学生別進路[[#This Row],[進学希望フラグ]]=0,"",IF(T_学生別進路[[#This Row],[進路確定]]="○",1,0))</f>
        <v>1</v>
      </c>
      <c r="G19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3" s="30" t="str">
        <f>_xlfn.XLOOKUP(T_学生別進路[[#This Row],[学籍番号]]&amp;"○",進路状況入力シート!K:K,進路状況入力シート!D:D,"",0,1)</f>
        <v>東亜経理専門学校</v>
      </c>
      <c r="I193" s="30"/>
      <c r="J193" s="31">
        <v>45931</v>
      </c>
      <c r="K193" s="30">
        <f>IF(T_学生別進路[[#This Row],[合格時期]]="",0,IF(T_学生別進路[[#This Row],[合格時期]]&lt;K$5,1,0))</f>
        <v>1</v>
      </c>
      <c r="L193" s="30">
        <f>IF(T_学生別進路[[#This Row],[合格時期]]="",0,IF(T_学生別進路[[#This Row],[合格時期]]&lt;L$5,1,0))</f>
        <v>1</v>
      </c>
      <c r="M193" s="30">
        <f>IF(T_学生別進路[[#This Row],[合格時期]]="",0,IF(T_学生別進路[[#This Row],[合格時期]]&lt;M$5,1,0))</f>
        <v>1</v>
      </c>
      <c r="N193" s="30">
        <f>IF(T_学生別進路[[#This Row],[合格時期]]="",0,IF(T_学生別進路[[#This Row],[合格時期]]&lt;N$5,1,0))</f>
        <v>1</v>
      </c>
      <c r="O193" s="30">
        <f>IF(T_学生別進路[[#This Row],[合格時期]]="",0,IF(T_学生別進路[[#This Row],[合格時期]]&lt;O$5,1,0))</f>
        <v>1</v>
      </c>
      <c r="P193" s="30"/>
      <c r="Q193" s="3"/>
      <c r="R193" s="3"/>
      <c r="S193" s="3"/>
      <c r="T193" s="3"/>
      <c r="U193" s="3"/>
    </row>
    <row r="194" spans="1:21" hidden="1" x14ac:dyDescent="0.15">
      <c r="A194" s="32">
        <v>2404035</v>
      </c>
      <c r="B194" s="30" t="str">
        <f>VLOOKUP(T_学生別進路[[#This Row],[学籍番号]],進路状況入力シート!A:B,2,FALSE)</f>
        <v>2-11</v>
      </c>
      <c r="C194" s="30" t="str">
        <f>VLOOKUP(T_学生別進路[[#This Row],[学籍番号]],進路状況入力シート!A:C,3,FALSE)</f>
        <v>MI AYE SOE MOE</v>
      </c>
      <c r="D194" s="30" t="str">
        <f>IF(AND(T_学生別進路[[#This Row],[進路確定]]="○",T_学生別進路[[#This Row],[進学希望フラグ]]=1),"○","")</f>
        <v>○</v>
      </c>
      <c r="E194" s="30" t="str">
        <f>_xlfn.IFNA(RIGHT(VLOOKUP(T_学生別進路[[#This Row],[学籍番号]]&amp;"○",進路状況入力シート!K:K,1,FALSE),1),"")</f>
        <v>○</v>
      </c>
      <c r="F194" s="30">
        <f>IF(T_学生別進路[[#This Row],[進学希望フラグ]]=0,"",IF(T_学生別進路[[#This Row],[進路確定]]="○",1,0))</f>
        <v>1</v>
      </c>
      <c r="G19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4" s="30" t="str">
        <f>_xlfn.XLOOKUP(T_学生別進路[[#This Row],[学籍番号]]&amp;"○",進路状況入力シート!K:K,進路状況入力シート!D:D,"",0,1)</f>
        <v>関西国際旅行・ホテル専門学校</v>
      </c>
      <c r="I194" s="30"/>
      <c r="J194" s="31">
        <v>45931</v>
      </c>
      <c r="K194" s="30">
        <f>IF(T_学生別進路[[#This Row],[合格時期]]="",0,IF(T_学生別進路[[#This Row],[合格時期]]&lt;K$5,1,0))</f>
        <v>1</v>
      </c>
      <c r="L194" s="30">
        <f>IF(T_学生別進路[[#This Row],[合格時期]]="",0,IF(T_学生別進路[[#This Row],[合格時期]]&lt;L$5,1,0))</f>
        <v>1</v>
      </c>
      <c r="M194" s="30">
        <f>IF(T_学生別進路[[#This Row],[合格時期]]="",0,IF(T_学生別進路[[#This Row],[合格時期]]&lt;M$5,1,0))</f>
        <v>1</v>
      </c>
      <c r="N194" s="30">
        <f>IF(T_学生別進路[[#This Row],[合格時期]]="",0,IF(T_学生別進路[[#This Row],[合格時期]]&lt;N$5,1,0))</f>
        <v>1</v>
      </c>
      <c r="O194" s="30">
        <f>IF(T_学生別進路[[#This Row],[合格時期]]="",0,IF(T_学生別進路[[#This Row],[合格時期]]&lt;O$5,1,0))</f>
        <v>1</v>
      </c>
      <c r="P194" s="30"/>
      <c r="Q194" s="3"/>
      <c r="R194" s="3"/>
      <c r="S194" s="3"/>
      <c r="T194" s="3"/>
      <c r="U194" s="3"/>
    </row>
    <row r="195" spans="1:21" hidden="1" x14ac:dyDescent="0.15">
      <c r="A195" s="32">
        <v>2404056</v>
      </c>
      <c r="B195" s="30" t="str">
        <f>VLOOKUP(T_学生別進路[[#This Row],[学籍番号]],進路状況入力シート!A:B,2,FALSE)</f>
        <v>2-11</v>
      </c>
      <c r="C195" s="30" t="str">
        <f>VLOOKUP(T_学生別進路[[#This Row],[学籍番号]],進路状況入力シート!A:C,3,FALSE)</f>
        <v>MIN KYAW</v>
      </c>
      <c r="D195" s="30" t="str">
        <f>IF(AND(T_学生別進路[[#This Row],[進路確定]]="○",T_学生別進路[[#This Row],[進学希望フラグ]]=1),"○","")</f>
        <v>○</v>
      </c>
      <c r="E195" s="30" t="str">
        <f>_xlfn.IFNA(RIGHT(VLOOKUP(T_学生別進路[[#This Row],[学籍番号]]&amp;"○",進路状況入力シート!K:K,1,FALSE),1),"")</f>
        <v>○</v>
      </c>
      <c r="F195" s="30">
        <f>IF(T_学生別進路[[#This Row],[進学希望フラグ]]=0,"",IF(T_学生別進路[[#This Row],[進路確定]]="○",1,0))</f>
        <v>1</v>
      </c>
      <c r="G19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5" s="30" t="str">
        <f>_xlfn.XLOOKUP(T_学生別進路[[#This Row],[学籍番号]]&amp;"○",進路状況入力シート!K:K,進路状況入力シート!D:D,"",0,1)</f>
        <v>トヨタ神戸自動車大学校</v>
      </c>
      <c r="I195" s="30"/>
      <c r="J195" s="31">
        <v>45931</v>
      </c>
      <c r="K195" s="30">
        <f>IF(T_学生別進路[[#This Row],[合格時期]]="",0,IF(T_学生別進路[[#This Row],[合格時期]]&lt;K$5,1,0))</f>
        <v>1</v>
      </c>
      <c r="L195" s="30">
        <f>IF(T_学生別進路[[#This Row],[合格時期]]="",0,IF(T_学生別進路[[#This Row],[合格時期]]&lt;L$5,1,0))</f>
        <v>1</v>
      </c>
      <c r="M195" s="30">
        <f>IF(T_学生別進路[[#This Row],[合格時期]]="",0,IF(T_学生別進路[[#This Row],[合格時期]]&lt;M$5,1,0))</f>
        <v>1</v>
      </c>
      <c r="N195" s="30">
        <f>IF(T_学生別進路[[#This Row],[合格時期]]="",0,IF(T_学生別進路[[#This Row],[合格時期]]&lt;N$5,1,0))</f>
        <v>1</v>
      </c>
      <c r="O195" s="30">
        <f>IF(T_学生別進路[[#This Row],[合格時期]]="",0,IF(T_学生別進路[[#This Row],[合格時期]]&lt;O$5,1,0))</f>
        <v>1</v>
      </c>
      <c r="P195" s="30"/>
      <c r="Q195" s="3"/>
      <c r="R195" s="3"/>
      <c r="S195" s="3"/>
      <c r="T195" s="3"/>
      <c r="U195" s="3"/>
    </row>
    <row r="196" spans="1:21" hidden="1" x14ac:dyDescent="0.15">
      <c r="A196" s="32">
        <v>2404077</v>
      </c>
      <c r="B196" s="30" t="str">
        <f>VLOOKUP(T_学生別進路[[#This Row],[学籍番号]],進路状況入力シート!A:B,2,FALSE)</f>
        <v>2-11</v>
      </c>
      <c r="C196" s="30" t="str">
        <f>VLOOKUP(T_学生別進路[[#This Row],[学籍番号]],進路状況入力シート!A:C,3,FALSE)</f>
        <v>MD. ATIKUL ISLAM</v>
      </c>
      <c r="D196" s="30" t="str">
        <f>IF(AND(T_学生別進路[[#This Row],[進路確定]]="○",T_学生別進路[[#This Row],[進学希望フラグ]]=1),"○","")</f>
        <v>○</v>
      </c>
      <c r="E196" s="30" t="str">
        <f>_xlfn.IFNA(RIGHT(VLOOKUP(T_学生別進路[[#This Row],[学籍番号]]&amp;"○",進路状況入力シート!K:K,1,FALSE),1),"")</f>
        <v>○</v>
      </c>
      <c r="F196" s="30">
        <f>IF(T_学生別進路[[#This Row],[進学希望フラグ]]=0,"",IF(T_学生別進路[[#This Row],[進路確定]]="○",1,0))</f>
        <v>1</v>
      </c>
      <c r="G19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6" s="30" t="str">
        <f>_xlfn.XLOOKUP(T_学生別進路[[#This Row],[学籍番号]]&amp;"○",進路状況入力シート!K:K,進路状況入力シート!D:D,"",0,1)</f>
        <v>新潟国際自動車大学校</v>
      </c>
      <c r="I196" s="30"/>
      <c r="J196" s="31">
        <v>45839</v>
      </c>
      <c r="K196" s="30">
        <f>IF(T_学生別進路[[#This Row],[合格時期]]="",0,IF(T_学生別進路[[#This Row],[合格時期]]&lt;K$5,1,0))</f>
        <v>1</v>
      </c>
      <c r="L196" s="30">
        <f>IF(T_学生別進路[[#This Row],[合格時期]]="",0,IF(T_学生別進路[[#This Row],[合格時期]]&lt;L$5,1,0))</f>
        <v>1</v>
      </c>
      <c r="M196" s="30">
        <f>IF(T_学生別進路[[#This Row],[合格時期]]="",0,IF(T_学生別進路[[#This Row],[合格時期]]&lt;M$5,1,0))</f>
        <v>1</v>
      </c>
      <c r="N196" s="30">
        <f>IF(T_学生別進路[[#This Row],[合格時期]]="",0,IF(T_学生別進路[[#This Row],[合格時期]]&lt;N$5,1,0))</f>
        <v>1</v>
      </c>
      <c r="O196" s="30">
        <f>IF(T_学生別進路[[#This Row],[合格時期]]="",0,IF(T_学生別進路[[#This Row],[合格時期]]&lt;O$5,1,0))</f>
        <v>1</v>
      </c>
      <c r="P196" s="30"/>
      <c r="Q196" s="3"/>
      <c r="R196" s="3"/>
      <c r="S196" s="3"/>
      <c r="T196" s="3"/>
      <c r="U196" s="3"/>
    </row>
    <row r="197" spans="1:21" hidden="1" x14ac:dyDescent="0.15">
      <c r="A197" s="32">
        <v>2404096</v>
      </c>
      <c r="B197" s="30" t="str">
        <f>VLOOKUP(T_学生別進路[[#This Row],[学籍番号]],進路状況入力シート!A:B,2,FALSE)</f>
        <v>2-11</v>
      </c>
      <c r="C197" s="30" t="str">
        <f>VLOOKUP(T_学生別進路[[#This Row],[学籍番号]],進路状況入力シート!A:C,3,FALSE)</f>
        <v>MD MASHAYEL KHAN ANID</v>
      </c>
      <c r="D197" s="30" t="str">
        <f>IF(AND(T_学生別進路[[#This Row],[進路確定]]="○",T_学生別進路[[#This Row],[進学希望フラグ]]=1),"○","")</f>
        <v>○</v>
      </c>
      <c r="E197" s="30" t="str">
        <f>_xlfn.IFNA(RIGHT(VLOOKUP(T_学生別進路[[#This Row],[学籍番号]]&amp;"○",進路状況入力シート!K:K,1,FALSE),1),"")</f>
        <v>○</v>
      </c>
      <c r="F197" s="30">
        <f>IF(T_学生別進路[[#This Row],[進学希望フラグ]]=0,"",IF(T_学生別進路[[#This Row],[進路確定]]="○",1,0))</f>
        <v>1</v>
      </c>
      <c r="G19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7" s="30" t="str">
        <f>_xlfn.XLOOKUP(T_学生別進路[[#This Row],[学籍番号]]&amp;"○",進路状況入力シート!K:K,進路状況入力シート!D:D,"",0,1)</f>
        <v>新潟国際自動車大学校</v>
      </c>
      <c r="I197" s="30"/>
      <c r="J197" s="31">
        <v>45839</v>
      </c>
      <c r="K197" s="30">
        <f>IF(T_学生別進路[[#This Row],[合格時期]]="",0,IF(T_学生別進路[[#This Row],[合格時期]]&lt;K$5,1,0))</f>
        <v>1</v>
      </c>
      <c r="L197" s="30">
        <f>IF(T_学生別進路[[#This Row],[合格時期]]="",0,IF(T_学生別進路[[#This Row],[合格時期]]&lt;L$5,1,0))</f>
        <v>1</v>
      </c>
      <c r="M197" s="30">
        <f>IF(T_学生別進路[[#This Row],[合格時期]]="",0,IF(T_学生別進路[[#This Row],[合格時期]]&lt;M$5,1,0))</f>
        <v>1</v>
      </c>
      <c r="N197" s="30">
        <f>IF(T_学生別進路[[#This Row],[合格時期]]="",0,IF(T_学生別進路[[#This Row],[合格時期]]&lt;N$5,1,0))</f>
        <v>1</v>
      </c>
      <c r="O197" s="30">
        <f>IF(T_学生別進路[[#This Row],[合格時期]]="",0,IF(T_学生別進路[[#This Row],[合格時期]]&lt;O$5,1,0))</f>
        <v>1</v>
      </c>
      <c r="P197" s="30"/>
      <c r="Q197" s="3"/>
      <c r="R197" s="3"/>
      <c r="S197" s="3"/>
      <c r="T197" s="3"/>
      <c r="U197" s="3"/>
    </row>
    <row r="198" spans="1:21" hidden="1" x14ac:dyDescent="0.15">
      <c r="A198" s="32">
        <v>2404099</v>
      </c>
      <c r="B198" s="30" t="str">
        <f>VLOOKUP(T_学生別進路[[#This Row],[学籍番号]],進路状況入力シート!A:B,2,FALSE)</f>
        <v>2-11</v>
      </c>
      <c r="C198" s="30" t="str">
        <f>VLOOKUP(T_学生別進路[[#This Row],[学籍番号]],進路状況入力シート!A:C,3,FALSE)</f>
        <v>HOSAIN ARIF</v>
      </c>
      <c r="D198" s="30" t="str">
        <f>IF(AND(T_学生別進路[[#This Row],[進路確定]]="○",T_学生別進路[[#This Row],[進学希望フラグ]]=1),"○","")</f>
        <v>○</v>
      </c>
      <c r="E198" s="30" t="str">
        <f>_xlfn.IFNA(RIGHT(VLOOKUP(T_学生別進路[[#This Row],[学籍番号]]&amp;"○",進路状況入力シート!K:K,1,FALSE),1),"")</f>
        <v>○</v>
      </c>
      <c r="F198" s="30">
        <f>IF(T_学生別進路[[#This Row],[進学希望フラグ]]=0,"",IF(T_学生別進路[[#This Row],[進路確定]]="○",1,0))</f>
        <v>1</v>
      </c>
      <c r="G19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8" s="30" t="str">
        <f>_xlfn.XLOOKUP(T_学生別進路[[#This Row],[学籍番号]]&amp;"○",進路状況入力シート!K:K,進路状況入力シート!D:D,"",0,1)</f>
        <v>京都コンピュータ学院</v>
      </c>
      <c r="I198" s="39" t="s">
        <v>626</v>
      </c>
      <c r="J198" s="31">
        <v>45992</v>
      </c>
      <c r="K198" s="30">
        <f>IF(T_学生別進路[[#This Row],[合格時期]]="",0,IF(T_学生別進路[[#This Row],[合格時期]]&lt;K$5,1,0))</f>
        <v>0</v>
      </c>
      <c r="L198" s="30">
        <f>IF(T_学生別進路[[#This Row],[合格時期]]="",0,IF(T_学生別進路[[#This Row],[合格時期]]&lt;L$5,1,0))</f>
        <v>1</v>
      </c>
      <c r="M198" s="30">
        <f>IF(T_学生別進路[[#This Row],[合格時期]]="",0,IF(T_学生別進路[[#This Row],[合格時期]]&lt;M$5,1,0))</f>
        <v>1</v>
      </c>
      <c r="N198" s="30">
        <f>IF(T_学生別進路[[#This Row],[合格時期]]="",0,IF(T_学生別進路[[#This Row],[合格時期]]&lt;N$5,1,0))</f>
        <v>1</v>
      </c>
      <c r="O198" s="30">
        <f>IF(T_学生別進路[[#This Row],[合格時期]]="",0,IF(T_学生別進路[[#This Row],[合格時期]]&lt;O$5,1,0))</f>
        <v>1</v>
      </c>
      <c r="P198" s="30"/>
      <c r="Q198" s="3"/>
      <c r="R198" s="3"/>
      <c r="S198" s="3"/>
      <c r="T198" s="3"/>
      <c r="U198" s="3"/>
    </row>
    <row r="199" spans="1:21" hidden="1" x14ac:dyDescent="0.15">
      <c r="A199" s="32">
        <v>2404112</v>
      </c>
      <c r="B199" s="30" t="str">
        <f>VLOOKUP(T_学生別進路[[#This Row],[学籍番号]],進路状況入力シート!A:B,2,FALSE)</f>
        <v>2-11</v>
      </c>
      <c r="C199" s="30" t="str">
        <f>VLOOKUP(T_学生別進路[[#This Row],[学籍番号]],進路状況入力シート!A:C,3,FALSE)</f>
        <v>HOSSEN JABER</v>
      </c>
      <c r="D199" s="30" t="str">
        <f>IF(AND(T_学生別進路[[#This Row],[進路確定]]="○",T_学生別進路[[#This Row],[進学希望フラグ]]=1),"○","")</f>
        <v>○</v>
      </c>
      <c r="E199" s="30" t="str">
        <f>_xlfn.IFNA(RIGHT(VLOOKUP(T_学生別進路[[#This Row],[学籍番号]]&amp;"○",進路状況入力シート!K:K,1,FALSE),1),"")</f>
        <v>○</v>
      </c>
      <c r="F199" s="30">
        <f>IF(T_学生別進路[[#This Row],[進学希望フラグ]]=0,"",IF(T_学生別進路[[#This Row],[進路確定]]="○",1,0))</f>
        <v>1</v>
      </c>
      <c r="G19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199" s="30" t="str">
        <f>_xlfn.XLOOKUP(T_学生別進路[[#This Row],[学籍番号]]&amp;"○",進路状況入力シート!K:K,進路状況入力シート!D:D,"",0,1)</f>
        <v>大阪キリスト教短期大学</v>
      </c>
      <c r="I199" s="30"/>
      <c r="J199" s="31">
        <v>45901</v>
      </c>
      <c r="K199" s="30">
        <f>IF(T_学生別進路[[#This Row],[合格時期]]="",0,IF(T_学生別進路[[#This Row],[合格時期]]&lt;K$5,1,0))</f>
        <v>1</v>
      </c>
      <c r="L199" s="30">
        <f>IF(T_学生別進路[[#This Row],[合格時期]]="",0,IF(T_学生別進路[[#This Row],[合格時期]]&lt;L$5,1,0))</f>
        <v>1</v>
      </c>
      <c r="M199" s="30">
        <f>IF(T_学生別進路[[#This Row],[合格時期]]="",0,IF(T_学生別進路[[#This Row],[合格時期]]&lt;M$5,1,0))</f>
        <v>1</v>
      </c>
      <c r="N199" s="30">
        <f>IF(T_学生別進路[[#This Row],[合格時期]]="",0,IF(T_学生別進路[[#This Row],[合格時期]]&lt;N$5,1,0))</f>
        <v>1</v>
      </c>
      <c r="O199" s="30">
        <f>IF(T_学生別進路[[#This Row],[合格時期]]="",0,IF(T_学生別進路[[#This Row],[合格時期]]&lt;O$5,1,0))</f>
        <v>1</v>
      </c>
      <c r="P199" s="30"/>
      <c r="Q199" s="3"/>
      <c r="R199" s="3"/>
      <c r="S199" s="3"/>
      <c r="T199" s="3"/>
      <c r="U199" s="3"/>
    </row>
    <row r="200" spans="1:21" hidden="1" x14ac:dyDescent="0.15">
      <c r="A200" s="32">
        <v>2404120</v>
      </c>
      <c r="B200" s="30" t="str">
        <f>VLOOKUP(T_学生別進路[[#This Row],[学籍番号]],進路状況入力シート!A:B,2,FALSE)</f>
        <v>2-11</v>
      </c>
      <c r="C200" s="30" t="str">
        <f>VLOOKUP(T_学生別進路[[#This Row],[学籍番号]],進路状況入力シート!A:C,3,FALSE)</f>
        <v>MAHBUB</v>
      </c>
      <c r="D200" s="30" t="str">
        <f>IF(AND(T_学生別進路[[#This Row],[進路確定]]="○",T_学生別進路[[#This Row],[進学希望フラグ]]=1),"○","")</f>
        <v>○</v>
      </c>
      <c r="E200" s="30" t="str">
        <f>_xlfn.IFNA(RIGHT(VLOOKUP(T_学生別進路[[#This Row],[学籍番号]]&amp;"○",進路状況入力シート!K:K,1,FALSE),1),"")</f>
        <v>○</v>
      </c>
      <c r="F200" s="30">
        <f>IF(T_学生別進路[[#This Row],[進学希望フラグ]]=0,"",IF(T_学生別進路[[#This Row],[進路確定]]="○",1,0))</f>
        <v>1</v>
      </c>
      <c r="G20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0" s="30" t="str">
        <f>_xlfn.XLOOKUP(T_学生別進路[[#This Row],[学籍番号]]&amp;"○",進路状況入力シート!K:K,進路状況入力シート!D:D,"",0,1)</f>
        <v>流通科学大学</v>
      </c>
      <c r="I200" s="30"/>
      <c r="J200" s="31">
        <v>45962</v>
      </c>
      <c r="K200" s="30">
        <f>IF(T_学生別進路[[#This Row],[合格時期]]="",0,IF(T_学生別進路[[#This Row],[合格時期]]&lt;K$5,1,0))</f>
        <v>1</v>
      </c>
      <c r="L200" s="30">
        <f>IF(T_学生別進路[[#This Row],[合格時期]]="",0,IF(T_学生別進路[[#This Row],[合格時期]]&lt;L$5,1,0))</f>
        <v>1</v>
      </c>
      <c r="M200" s="30">
        <f>IF(T_学生別進路[[#This Row],[合格時期]]="",0,IF(T_学生別進路[[#This Row],[合格時期]]&lt;M$5,1,0))</f>
        <v>1</v>
      </c>
      <c r="N200" s="30">
        <f>IF(T_学生別進路[[#This Row],[合格時期]]="",0,IF(T_学生別進路[[#This Row],[合格時期]]&lt;N$5,1,0))</f>
        <v>1</v>
      </c>
      <c r="O200" s="30">
        <f>IF(T_学生別進路[[#This Row],[合格時期]]="",0,IF(T_学生別進路[[#This Row],[合格時期]]&lt;O$5,1,0))</f>
        <v>1</v>
      </c>
      <c r="P200" s="30"/>
      <c r="Q200" s="3"/>
      <c r="R200" s="3"/>
      <c r="S200" s="3"/>
      <c r="T200" s="3"/>
      <c r="U200" s="3"/>
    </row>
    <row r="201" spans="1:21" hidden="1" x14ac:dyDescent="0.15">
      <c r="A201" s="32">
        <v>2404121</v>
      </c>
      <c r="B201" s="30" t="str">
        <f>VLOOKUP(T_学生別進路[[#This Row],[学籍番号]],進路状況入力シート!A:B,2,FALSE)</f>
        <v>2-11</v>
      </c>
      <c r="C201" s="30" t="str">
        <f>VLOOKUP(T_学生別進路[[#This Row],[学籍番号]],進路状況入力シート!A:C,3,FALSE)</f>
        <v>AKASH MD</v>
      </c>
      <c r="D201" s="30" t="str">
        <f>IF(AND(T_学生別進路[[#This Row],[進路確定]]="○",T_学生別進路[[#This Row],[進学希望フラグ]]=1),"○","")</f>
        <v>○</v>
      </c>
      <c r="E201" s="30" t="str">
        <f>_xlfn.IFNA(RIGHT(VLOOKUP(T_学生別進路[[#This Row],[学籍番号]]&amp;"○",進路状況入力シート!K:K,1,FALSE),1),"")</f>
        <v>○</v>
      </c>
      <c r="F201" s="30">
        <f>IF(T_学生別進路[[#This Row],[進学希望フラグ]]=0,"",IF(T_学生別進路[[#This Row],[進路確定]]="○",1,0))</f>
        <v>1</v>
      </c>
      <c r="G20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1" s="30" t="str">
        <f>_xlfn.XLOOKUP(T_学生別進路[[#This Row],[学籍番号]]&amp;"○",進路状況入力シート!K:K,進路状況入力シート!D:D,"",0,1)</f>
        <v>流通科学大学</v>
      </c>
      <c r="I201" s="30"/>
      <c r="J201" s="31">
        <v>45962</v>
      </c>
      <c r="K201" s="30">
        <f>IF(T_学生別進路[[#This Row],[合格時期]]="",0,IF(T_学生別進路[[#This Row],[合格時期]]&lt;K$5,1,0))</f>
        <v>1</v>
      </c>
      <c r="L201" s="30">
        <f>IF(T_学生別進路[[#This Row],[合格時期]]="",0,IF(T_学生別進路[[#This Row],[合格時期]]&lt;L$5,1,0))</f>
        <v>1</v>
      </c>
      <c r="M201" s="30">
        <f>IF(T_学生別進路[[#This Row],[合格時期]]="",0,IF(T_学生別進路[[#This Row],[合格時期]]&lt;M$5,1,0))</f>
        <v>1</v>
      </c>
      <c r="N201" s="30">
        <f>IF(T_学生別進路[[#This Row],[合格時期]]="",0,IF(T_学生別進路[[#This Row],[合格時期]]&lt;N$5,1,0))</f>
        <v>1</v>
      </c>
      <c r="O201" s="30">
        <f>IF(T_学生別進路[[#This Row],[合格時期]]="",0,IF(T_学生別進路[[#This Row],[合格時期]]&lt;O$5,1,0))</f>
        <v>1</v>
      </c>
      <c r="P201" s="30"/>
      <c r="Q201" s="3"/>
      <c r="R201" s="3"/>
      <c r="S201" s="3"/>
      <c r="T201" s="3"/>
      <c r="U201" s="3"/>
    </row>
    <row r="202" spans="1:21" hidden="1" x14ac:dyDescent="0.15">
      <c r="A202" s="32">
        <v>2404122</v>
      </c>
      <c r="B202" s="30" t="str">
        <f>VLOOKUP(T_学生別進路[[#This Row],[学籍番号]],進路状況入力シート!A:B,2,FALSE)</f>
        <v>2-11</v>
      </c>
      <c r="C202" s="30" t="str">
        <f>VLOOKUP(T_学生別進路[[#This Row],[学籍番号]],進路状況入力シート!A:C,3,FALSE)</f>
        <v>SHANTO MD MEHEDI HASAN</v>
      </c>
      <c r="D202" s="30" t="str">
        <f>IF(AND(T_学生別進路[[#This Row],[進路確定]]="○",T_学生別進路[[#This Row],[進学希望フラグ]]=1),"○","")</f>
        <v>○</v>
      </c>
      <c r="E202" s="30" t="str">
        <f>_xlfn.IFNA(RIGHT(VLOOKUP(T_学生別進路[[#This Row],[学籍番号]]&amp;"○",進路状況入力シート!K:K,1,FALSE),1),"")</f>
        <v>○</v>
      </c>
      <c r="F202" s="30">
        <f>IF(T_学生別進路[[#This Row],[進学希望フラグ]]=0,"",IF(T_学生別進路[[#This Row],[進路確定]]="○",1,0))</f>
        <v>1</v>
      </c>
      <c r="G20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2" s="30" t="str">
        <f>_xlfn.XLOOKUP(T_学生別進路[[#This Row],[学籍番号]]&amp;"○",進路状況入力シート!K:K,進路状況入力シート!D:D,"",0,1)</f>
        <v>関東工業自動車大学校</v>
      </c>
      <c r="I202" s="30"/>
      <c r="J202" s="31">
        <v>45901</v>
      </c>
      <c r="K202" s="30">
        <f>IF(T_学生別進路[[#This Row],[合格時期]]="",0,IF(T_学生別進路[[#This Row],[合格時期]]&lt;K$5,1,0))</f>
        <v>1</v>
      </c>
      <c r="L202" s="30">
        <f>IF(T_学生別進路[[#This Row],[合格時期]]="",0,IF(T_学生別進路[[#This Row],[合格時期]]&lt;L$5,1,0))</f>
        <v>1</v>
      </c>
      <c r="M202" s="30">
        <f>IF(T_学生別進路[[#This Row],[合格時期]]="",0,IF(T_学生別進路[[#This Row],[合格時期]]&lt;M$5,1,0))</f>
        <v>1</v>
      </c>
      <c r="N202" s="30">
        <f>IF(T_学生別進路[[#This Row],[合格時期]]="",0,IF(T_学生別進路[[#This Row],[合格時期]]&lt;N$5,1,0))</f>
        <v>1</v>
      </c>
      <c r="O202" s="30">
        <f>IF(T_学生別進路[[#This Row],[合格時期]]="",0,IF(T_学生別進路[[#This Row],[合格時期]]&lt;O$5,1,0))</f>
        <v>1</v>
      </c>
      <c r="P202" s="30"/>
      <c r="Q202" s="3"/>
      <c r="R202" s="3"/>
      <c r="S202" s="3"/>
      <c r="T202" s="3"/>
      <c r="U202" s="3"/>
    </row>
    <row r="203" spans="1:21" hidden="1" x14ac:dyDescent="0.15">
      <c r="A203" s="32">
        <v>2404125</v>
      </c>
      <c r="B203" s="30" t="str">
        <f>VLOOKUP(T_学生別進路[[#This Row],[学籍番号]],進路状況入力シート!A:B,2,FALSE)</f>
        <v>2-11</v>
      </c>
      <c r="C203" s="30" t="str">
        <f>VLOOKUP(T_学生別進路[[#This Row],[学籍番号]],進路状況入力シート!A:C,3,FALSE)</f>
        <v>MD. EMRAN HOSSAIN</v>
      </c>
      <c r="D203" s="30" t="str">
        <f>IF(AND(T_学生別進路[[#This Row],[進路確定]]="○",T_学生別進路[[#This Row],[進学希望フラグ]]=1),"○","")</f>
        <v>○</v>
      </c>
      <c r="E203" s="30" t="str">
        <f>_xlfn.IFNA(RIGHT(VLOOKUP(T_学生別進路[[#This Row],[学籍番号]]&amp;"○",進路状況入力シート!K:K,1,FALSE),1),"")</f>
        <v>○</v>
      </c>
      <c r="F203" s="30">
        <f>IF(T_学生別進路[[#This Row],[進学希望フラグ]]=0,"",IF(T_学生別進路[[#This Row],[進路確定]]="○",1,0))</f>
        <v>1</v>
      </c>
      <c r="G20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3" s="30" t="str">
        <f>_xlfn.XLOOKUP(T_学生別進路[[#This Row],[学籍番号]]&amp;"○",進路状況入力シート!K:K,進路状況入力シート!D:D,"",0,1)</f>
        <v>流通科学大学</v>
      </c>
      <c r="I203" s="30"/>
      <c r="J203" s="31">
        <v>45962</v>
      </c>
      <c r="K203" s="30">
        <f>IF(T_学生別進路[[#This Row],[合格時期]]="",0,IF(T_学生別進路[[#This Row],[合格時期]]&lt;K$5,1,0))</f>
        <v>1</v>
      </c>
      <c r="L203" s="30">
        <f>IF(T_学生別進路[[#This Row],[合格時期]]="",0,IF(T_学生別進路[[#This Row],[合格時期]]&lt;L$5,1,0))</f>
        <v>1</v>
      </c>
      <c r="M203" s="30">
        <f>IF(T_学生別進路[[#This Row],[合格時期]]="",0,IF(T_学生別進路[[#This Row],[合格時期]]&lt;M$5,1,0))</f>
        <v>1</v>
      </c>
      <c r="N203" s="30">
        <f>IF(T_学生別進路[[#This Row],[合格時期]]="",0,IF(T_学生別進路[[#This Row],[合格時期]]&lt;N$5,1,0))</f>
        <v>1</v>
      </c>
      <c r="O203" s="30">
        <f>IF(T_学生別進路[[#This Row],[合格時期]]="",0,IF(T_学生別進路[[#This Row],[合格時期]]&lt;O$5,1,0))</f>
        <v>1</v>
      </c>
      <c r="P203" s="30"/>
      <c r="Q203" s="3"/>
      <c r="R203" s="3"/>
      <c r="S203" s="3"/>
      <c r="T203" s="3"/>
      <c r="U203" s="3"/>
    </row>
    <row r="204" spans="1:21" hidden="1" x14ac:dyDescent="0.15">
      <c r="A204" s="32">
        <v>2404144</v>
      </c>
      <c r="B204" s="30" t="str">
        <f>VLOOKUP(T_学生別進路[[#This Row],[学籍番号]],進路状況入力シート!A:B,2,FALSE)</f>
        <v>2-11</v>
      </c>
      <c r="C204" s="30" t="str">
        <f>VLOOKUP(T_学生別進路[[#This Row],[学籍番号]],進路状況入力シート!A:C,3,FALSE)</f>
        <v>GURUNG MANISH</v>
      </c>
      <c r="D204" s="30" t="str">
        <f>IF(AND(T_学生別進路[[#This Row],[進路確定]]="○",T_学生別進路[[#This Row],[進学希望フラグ]]=1),"○","")</f>
        <v>○</v>
      </c>
      <c r="E204" s="30" t="str">
        <f>_xlfn.IFNA(RIGHT(VLOOKUP(T_学生別進路[[#This Row],[学籍番号]]&amp;"○",進路状況入力シート!K:K,1,FALSE),1),"")</f>
        <v>○</v>
      </c>
      <c r="F204" s="30">
        <f>IF(T_学生別進路[[#This Row],[進学希望フラグ]]=0,"",IF(T_学生別進路[[#This Row],[進路確定]]="○",1,0))</f>
        <v>1</v>
      </c>
      <c r="G20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4" s="30" t="str">
        <f>_xlfn.XLOOKUP(T_学生別進路[[#This Row],[学籍番号]]&amp;"○",進路状況入力シート!K:K,進路状況入力シート!D:D,"",0,1)</f>
        <v>神戸電子専門学校</v>
      </c>
      <c r="I204" s="30"/>
      <c r="J204" s="31">
        <v>45901</v>
      </c>
      <c r="K204" s="30">
        <f>IF(T_学生別進路[[#This Row],[合格時期]]="",0,IF(T_学生別進路[[#This Row],[合格時期]]&lt;K$5,1,0))</f>
        <v>1</v>
      </c>
      <c r="L204" s="30">
        <f>IF(T_学生別進路[[#This Row],[合格時期]]="",0,IF(T_学生別進路[[#This Row],[合格時期]]&lt;L$5,1,0))</f>
        <v>1</v>
      </c>
      <c r="M204" s="30">
        <f>IF(T_学生別進路[[#This Row],[合格時期]]="",0,IF(T_学生別進路[[#This Row],[合格時期]]&lt;M$5,1,0))</f>
        <v>1</v>
      </c>
      <c r="N204" s="30">
        <f>IF(T_学生別進路[[#This Row],[合格時期]]="",0,IF(T_学生別進路[[#This Row],[合格時期]]&lt;N$5,1,0))</f>
        <v>1</v>
      </c>
      <c r="O204" s="30">
        <f>IF(T_学生別進路[[#This Row],[合格時期]]="",0,IF(T_学生別進路[[#This Row],[合格時期]]&lt;O$5,1,0))</f>
        <v>1</v>
      </c>
      <c r="P204" s="30"/>
      <c r="Q204" s="3"/>
      <c r="R204" s="3"/>
      <c r="S204" s="3"/>
      <c r="T204" s="3"/>
      <c r="U204" s="3"/>
    </row>
    <row r="205" spans="1:21" hidden="1" x14ac:dyDescent="0.15">
      <c r="A205" s="32">
        <v>2404160</v>
      </c>
      <c r="B205" s="30" t="str">
        <f>VLOOKUP(T_学生別進路[[#This Row],[学籍番号]],進路状況入力シート!A:B,2,FALSE)</f>
        <v>2-11</v>
      </c>
      <c r="C205" s="30" t="str">
        <f>VLOOKUP(T_学生別進路[[#This Row],[学籍番号]],進路状況入力シート!A:C,3,FALSE)</f>
        <v>AAKRITI THAPA</v>
      </c>
      <c r="D205" s="30" t="str">
        <f>IF(AND(T_学生別進路[[#This Row],[進路確定]]="○",T_学生別進路[[#This Row],[進学希望フラグ]]=1),"○","")</f>
        <v>○</v>
      </c>
      <c r="E205" s="30" t="str">
        <f>_xlfn.IFNA(RIGHT(VLOOKUP(T_学生別進路[[#This Row],[学籍番号]]&amp;"○",進路状況入力シート!K:K,1,FALSE),1),"")</f>
        <v>○</v>
      </c>
      <c r="F205" s="30">
        <f>IF(T_学生別進路[[#This Row],[進学希望フラグ]]=0,"",IF(T_学生別進路[[#This Row],[進路確定]]="○",1,0))</f>
        <v>1</v>
      </c>
      <c r="G20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5" s="30" t="str">
        <f>_xlfn.XLOOKUP(T_学生別進路[[#This Row],[学籍番号]]&amp;"○",進路状況入力シート!K:K,進路状況入力シート!D:D,"",0,1)</f>
        <v>岩谷学園よこはまITビジネス専門学校</v>
      </c>
      <c r="I205" s="30"/>
      <c r="J205" s="31">
        <v>45931</v>
      </c>
      <c r="K205" s="30">
        <f>IF(T_学生別進路[[#This Row],[合格時期]]="",0,IF(T_学生別進路[[#This Row],[合格時期]]&lt;K$5,1,0))</f>
        <v>1</v>
      </c>
      <c r="L205" s="30">
        <f>IF(T_学生別進路[[#This Row],[合格時期]]="",0,IF(T_学生別進路[[#This Row],[合格時期]]&lt;L$5,1,0))</f>
        <v>1</v>
      </c>
      <c r="M205" s="30">
        <f>IF(T_学生別進路[[#This Row],[合格時期]]="",0,IF(T_学生別進路[[#This Row],[合格時期]]&lt;M$5,1,0))</f>
        <v>1</v>
      </c>
      <c r="N205" s="30">
        <f>IF(T_学生別進路[[#This Row],[合格時期]]="",0,IF(T_学生別進路[[#This Row],[合格時期]]&lt;N$5,1,0))</f>
        <v>1</v>
      </c>
      <c r="O205" s="30">
        <f>IF(T_学生別進路[[#This Row],[合格時期]]="",0,IF(T_学生別進路[[#This Row],[合格時期]]&lt;O$5,1,0))</f>
        <v>1</v>
      </c>
      <c r="P205" s="30"/>
      <c r="Q205" s="3"/>
      <c r="R205" s="3"/>
      <c r="S205" s="3"/>
      <c r="T205" s="3"/>
      <c r="U205" s="3"/>
    </row>
    <row r="206" spans="1:21" hidden="1" x14ac:dyDescent="0.15">
      <c r="A206" s="32">
        <v>2410003</v>
      </c>
      <c r="B206" s="30" t="str">
        <f>VLOOKUP(T_学生別進路[[#This Row],[学籍番号]],進路状況入力シート!A:B,2,FALSE)</f>
        <v>2-11</v>
      </c>
      <c r="C206" s="30" t="str">
        <f>VLOOKUP(T_学生別進路[[#This Row],[学籍番号]],進路状況入力シート!A:C,3,FALSE)</f>
        <v>高 興</v>
      </c>
      <c r="D206" s="30" t="str">
        <f>IF(AND(T_学生別進路[[#This Row],[進路確定]]="○",T_学生別進路[[#This Row],[進学希望フラグ]]=1),"○","")</f>
        <v>○</v>
      </c>
      <c r="E206" s="30" t="str">
        <f>_xlfn.IFNA(RIGHT(VLOOKUP(T_学生別進路[[#This Row],[学籍番号]]&amp;"○",進路状況入力シート!K:K,1,FALSE),1),"")</f>
        <v>○</v>
      </c>
      <c r="F206" s="30">
        <f>IF(T_学生別進路[[#This Row],[進学希望フラグ]]=0,"",IF(T_学生別進路[[#This Row],[進路確定]]="○",1,0))</f>
        <v>1</v>
      </c>
      <c r="G20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6" s="30" t="str">
        <f>_xlfn.XLOOKUP(T_学生別進路[[#This Row],[学籍番号]]&amp;"○",進路状況入力シート!K:K,進路状況入力シート!D:D,"",0,1)</f>
        <v>神戸国際大学</v>
      </c>
      <c r="I206" s="39" t="s">
        <v>626</v>
      </c>
      <c r="J206" s="31">
        <v>45992</v>
      </c>
      <c r="K206" s="30">
        <f>IF(T_学生別進路[[#This Row],[合格時期]]="",0,IF(T_学生別進路[[#This Row],[合格時期]]&lt;K$5,1,0))</f>
        <v>0</v>
      </c>
      <c r="L206" s="30">
        <f>IF(T_学生別進路[[#This Row],[合格時期]]="",0,IF(T_学生別進路[[#This Row],[合格時期]]&lt;L$5,1,0))</f>
        <v>1</v>
      </c>
      <c r="M206" s="30">
        <f>IF(T_学生別進路[[#This Row],[合格時期]]="",0,IF(T_学生別進路[[#This Row],[合格時期]]&lt;M$5,1,0))</f>
        <v>1</v>
      </c>
      <c r="N206" s="30">
        <f>IF(T_学生別進路[[#This Row],[合格時期]]="",0,IF(T_学生別進路[[#This Row],[合格時期]]&lt;N$5,1,0))</f>
        <v>1</v>
      </c>
      <c r="O206" s="30">
        <f>IF(T_学生別進路[[#This Row],[合格時期]]="",0,IF(T_学生別進路[[#This Row],[合格時期]]&lt;O$5,1,0))</f>
        <v>1</v>
      </c>
      <c r="P206" s="30"/>
      <c r="Q206" s="3"/>
      <c r="R206" s="3"/>
      <c r="S206" s="3"/>
      <c r="T206" s="3"/>
      <c r="U206" s="3"/>
    </row>
    <row r="207" spans="1:21" hidden="1" x14ac:dyDescent="0.15">
      <c r="A207" s="32">
        <v>2404038</v>
      </c>
      <c r="B207" s="30" t="str">
        <f>VLOOKUP(T_学生別進路[[#This Row],[学籍番号]],進路状況入力シート!A:B,2,FALSE)</f>
        <v>2-12</v>
      </c>
      <c r="C207" s="42" t="str">
        <f>VLOOKUP(T_学生別進路[[#This Row],[学籍番号]],進路状況入力シート!A:C,3,FALSE)</f>
        <v>LIN LIN TUN</v>
      </c>
      <c r="D207" s="30" t="str">
        <f>IF(AND(T_学生別進路[[#This Row],[進路確定]]="○",T_学生別進路[[#This Row],[進学希望フラグ]]=1),"○","")</f>
        <v/>
      </c>
      <c r="E207" s="30" t="str">
        <f>_xlfn.IFNA(RIGHT(VLOOKUP(T_学生別進路[[#This Row],[学籍番号]]&amp;"○",進路状況入力シート!K:K,1,FALSE),1),"")</f>
        <v>○</v>
      </c>
      <c r="F207" s="30" t="str">
        <f>IF(T_学生別進路[[#This Row],[進学希望フラグ]]=0,"",IF(T_学生別進路[[#This Row],[進路確定]]="○",1,0))</f>
        <v/>
      </c>
      <c r="G20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07" s="30">
        <f>_xlfn.XLOOKUP(T_学生別進路[[#This Row],[学籍番号]]&amp;"○",進路状況入力シート!K:K,進路状況入力シート!D:D,"",0,1)</f>
        <v>0</v>
      </c>
      <c r="I207" s="39"/>
      <c r="J207" s="31"/>
      <c r="K207" s="30">
        <f>IF(T_学生別進路[[#This Row],[合格時期]]="",0,IF(T_学生別進路[[#This Row],[合格時期]]&lt;K$5,1,0))</f>
        <v>0</v>
      </c>
      <c r="L207" s="30">
        <f>IF(T_学生別進路[[#This Row],[合格時期]]="",0,IF(T_学生別進路[[#This Row],[合格時期]]&lt;L$5,1,0))</f>
        <v>0</v>
      </c>
      <c r="M207" s="30">
        <f>IF(T_学生別進路[[#This Row],[合格時期]]="",0,IF(T_学生別進路[[#This Row],[合格時期]]&lt;M$5,1,0))</f>
        <v>0</v>
      </c>
      <c r="N207" s="30">
        <f>IF(T_学生別進路[[#This Row],[合格時期]]="",0,IF(T_学生別進路[[#This Row],[合格時期]]&lt;N$5,1,0))</f>
        <v>0</v>
      </c>
      <c r="O207" s="30">
        <f>IF(T_学生別進路[[#This Row],[合格時期]]="",0,IF(T_学生別進路[[#This Row],[合格時期]]&lt;O$5,1,0))</f>
        <v>0</v>
      </c>
      <c r="P207" s="30"/>
      <c r="Q207" s="3"/>
      <c r="R207" s="3"/>
      <c r="S207" s="3"/>
      <c r="T207" s="3"/>
      <c r="U207" s="3"/>
    </row>
    <row r="208" spans="1:21" x14ac:dyDescent="0.15">
      <c r="A208" s="32">
        <v>2404057</v>
      </c>
      <c r="B208" s="30" t="str">
        <f>VLOOKUP(T_学生別進路[[#This Row],[学籍番号]],進路状況入力シート!A:B,2,FALSE)</f>
        <v>2-12</v>
      </c>
      <c r="C208" s="49" t="str">
        <f>VLOOKUP(T_学生別進路[[#This Row],[学籍番号]],進路状況入力シート!A:C,3,FALSE)</f>
        <v>NAN DAR HTAY</v>
      </c>
      <c r="D208" s="30" t="str">
        <f>IF(AND(T_学生別進路[[#This Row],[進路確定]]="○",T_学生別進路[[#This Row],[進学希望フラグ]]=1),"○","")</f>
        <v/>
      </c>
      <c r="E208" s="30" t="str">
        <f>_xlfn.IFNA(RIGHT(VLOOKUP(T_学生別進路[[#This Row],[学籍番号]]&amp;"○",進路状況入力シート!K:K,1,FALSE),1),"")</f>
        <v/>
      </c>
      <c r="F208" s="30" t="str">
        <f>IF(T_学生別進路[[#This Row],[進学希望フラグ]]=0,"",IF(T_学生別進路[[#This Row],[進路確定]]="○",1,0))</f>
        <v/>
      </c>
      <c r="G20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08" s="30" t="str">
        <f>_xlfn.XLOOKUP(T_学生別進路[[#This Row],[学籍番号]]&amp;"○",進路状況入力シート!K:K,進路状況入力シート!D:D,"",0,1)</f>
        <v/>
      </c>
      <c r="I208" s="39"/>
      <c r="J208" s="31"/>
      <c r="K208" s="30">
        <f>IF(T_学生別進路[[#This Row],[合格時期]]="",0,IF(T_学生別進路[[#This Row],[合格時期]]&lt;K$5,1,0))</f>
        <v>0</v>
      </c>
      <c r="L208" s="30">
        <f>IF(T_学生別進路[[#This Row],[合格時期]]="",0,IF(T_学生別進路[[#This Row],[合格時期]]&lt;L$5,1,0))</f>
        <v>0</v>
      </c>
      <c r="M208" s="30">
        <f>IF(T_学生別進路[[#This Row],[合格時期]]="",0,IF(T_学生別進路[[#This Row],[合格時期]]&lt;M$5,1,0))</f>
        <v>0</v>
      </c>
      <c r="N208" s="30">
        <f>IF(T_学生別進路[[#This Row],[合格時期]]="",0,IF(T_学生別進路[[#This Row],[合格時期]]&lt;N$5,1,0))</f>
        <v>0</v>
      </c>
      <c r="O208" s="30">
        <f>IF(T_学生別進路[[#This Row],[合格時期]]="",0,IF(T_学生別進路[[#This Row],[合格時期]]&lt;O$5,1,0))</f>
        <v>0</v>
      </c>
      <c r="P208" s="30" t="s">
        <v>742</v>
      </c>
      <c r="Q208" s="3"/>
      <c r="R208" s="3"/>
      <c r="S208" s="3"/>
      <c r="T208" s="3"/>
      <c r="U208" s="3"/>
    </row>
    <row r="209" spans="1:21" hidden="1" x14ac:dyDescent="0.15">
      <c r="A209" s="32">
        <v>2404152</v>
      </c>
      <c r="B209" s="30" t="str">
        <f>VLOOKUP(T_学生別進路[[#This Row],[学籍番号]],進路状況入力シート!A:B,2,FALSE)</f>
        <v>2-12</v>
      </c>
      <c r="C209" s="30" t="str">
        <f>VLOOKUP(T_学生別進路[[#This Row],[学籍番号]],進路状況入力シート!A:C,3,FALSE)</f>
        <v>NIRAJ POKHAREL</v>
      </c>
      <c r="D209" s="30" t="str">
        <f>IF(AND(T_学生別進路[[#This Row],[進路確定]]="○",T_学生別進路[[#This Row],[進学希望フラグ]]=1),"○","")</f>
        <v>○</v>
      </c>
      <c r="E209" s="30" t="str">
        <f>_xlfn.IFNA(RIGHT(VLOOKUP(T_学生別進路[[#This Row],[学籍番号]]&amp;"○",進路状況入力シート!K:K,1,FALSE),1),"")</f>
        <v>○</v>
      </c>
      <c r="F209" s="30">
        <f>IF(T_学生別進路[[#This Row],[進学希望フラグ]]=0,"",IF(T_学生別進路[[#This Row],[進路確定]]="○",1,0))</f>
        <v>1</v>
      </c>
      <c r="G20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09" s="30" t="str">
        <f>_xlfn.XLOOKUP(T_学生別進路[[#This Row],[学籍番号]]&amp;"○",進路状況入力シート!K:K,進路状況入力シート!D:D,"",0,1)</f>
        <v>プロスペラ学院ビジネス専門学校</v>
      </c>
      <c r="I209" s="30"/>
      <c r="J209" s="31">
        <v>45931</v>
      </c>
      <c r="K209" s="30">
        <f>IF(T_学生別進路[[#This Row],[合格時期]]="",0,IF(T_学生別進路[[#This Row],[合格時期]]&lt;K$5,1,0))</f>
        <v>1</v>
      </c>
      <c r="L209" s="30">
        <f>IF(T_学生別進路[[#This Row],[合格時期]]="",0,IF(T_学生別進路[[#This Row],[合格時期]]&lt;L$5,1,0))</f>
        <v>1</v>
      </c>
      <c r="M209" s="30">
        <f>IF(T_学生別進路[[#This Row],[合格時期]]="",0,IF(T_学生別進路[[#This Row],[合格時期]]&lt;M$5,1,0))</f>
        <v>1</v>
      </c>
      <c r="N209" s="30">
        <f>IF(T_学生別進路[[#This Row],[合格時期]]="",0,IF(T_学生別進路[[#This Row],[合格時期]]&lt;N$5,1,0))</f>
        <v>1</v>
      </c>
      <c r="O209" s="30">
        <f>IF(T_学生別進路[[#This Row],[合格時期]]="",0,IF(T_学生別進路[[#This Row],[合格時期]]&lt;O$5,1,0))</f>
        <v>1</v>
      </c>
      <c r="P209" s="30"/>
      <c r="Q209" s="3"/>
      <c r="R209" s="3"/>
      <c r="S209" s="3"/>
      <c r="T209" s="3"/>
      <c r="U209" s="3"/>
    </row>
    <row r="210" spans="1:21" hidden="1" x14ac:dyDescent="0.15">
      <c r="A210" s="32">
        <v>2404157</v>
      </c>
      <c r="B210" s="30" t="str">
        <f>VLOOKUP(T_学生別進路[[#This Row],[学籍番号]],進路状況入力シート!A:B,2,FALSE)</f>
        <v>2-12</v>
      </c>
      <c r="C210" s="30" t="str">
        <f>VLOOKUP(T_学生別進路[[#This Row],[学籍番号]],進路状況入力シート!A:C,3,FALSE)</f>
        <v>BOHARA NISHA</v>
      </c>
      <c r="D210" s="30" t="str">
        <f>IF(AND(T_学生別進路[[#This Row],[進路確定]]="○",T_学生別進路[[#This Row],[進学希望フラグ]]=1),"○","")</f>
        <v>○</v>
      </c>
      <c r="E210" s="30" t="str">
        <f>_xlfn.IFNA(RIGHT(VLOOKUP(T_学生別進路[[#This Row],[学籍番号]]&amp;"○",進路状況入力シート!K:K,1,FALSE),1),"")</f>
        <v>○</v>
      </c>
      <c r="F210" s="30">
        <f>IF(T_学生別進路[[#This Row],[進学希望フラグ]]=0,"",IF(T_学生別進路[[#This Row],[進路確定]]="○",1,0))</f>
        <v>1</v>
      </c>
      <c r="G21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0" s="30" t="str">
        <f>_xlfn.XLOOKUP(T_学生別進路[[#This Row],[学籍番号]]&amp;"○",進路状況入力シート!K:K,進路状況入力シート!D:D,"",0,1)</f>
        <v>関西国際旅行・ホテル専門学校</v>
      </c>
      <c r="I210" s="30"/>
      <c r="J210" s="31">
        <v>45839</v>
      </c>
      <c r="K210" s="30">
        <f>IF(T_学生別進路[[#This Row],[合格時期]]="",0,IF(T_学生別進路[[#This Row],[合格時期]]&lt;K$5,1,0))</f>
        <v>1</v>
      </c>
      <c r="L210" s="30">
        <f>IF(T_学生別進路[[#This Row],[合格時期]]="",0,IF(T_学生別進路[[#This Row],[合格時期]]&lt;L$5,1,0))</f>
        <v>1</v>
      </c>
      <c r="M210" s="30">
        <f>IF(T_学生別進路[[#This Row],[合格時期]]="",0,IF(T_学生別進路[[#This Row],[合格時期]]&lt;M$5,1,0))</f>
        <v>1</v>
      </c>
      <c r="N210" s="30">
        <f>IF(T_学生別進路[[#This Row],[合格時期]]="",0,IF(T_学生別進路[[#This Row],[合格時期]]&lt;N$5,1,0))</f>
        <v>1</v>
      </c>
      <c r="O210" s="30">
        <f>IF(T_学生別進路[[#This Row],[合格時期]]="",0,IF(T_学生別進路[[#This Row],[合格時期]]&lt;O$5,1,0))</f>
        <v>1</v>
      </c>
      <c r="P210" s="30"/>
      <c r="Q210" s="3"/>
      <c r="R210" s="3"/>
      <c r="S210" s="3"/>
      <c r="T210" s="3"/>
      <c r="U210" s="3"/>
    </row>
    <row r="211" spans="1:21" hidden="1" x14ac:dyDescent="0.15">
      <c r="A211" s="32">
        <v>2407001</v>
      </c>
      <c r="B211" s="30" t="str">
        <f>VLOOKUP(T_学生別進路[[#This Row],[学籍番号]],進路状況入力シート!A:B,2,FALSE)</f>
        <v>2-12</v>
      </c>
      <c r="C211" s="30" t="str">
        <f>VLOOKUP(T_学生別進路[[#This Row],[学籍番号]],進路状況入力シート!A:C,3,FALSE)</f>
        <v>陳 佳楽</v>
      </c>
      <c r="D211" s="30" t="str">
        <f>IF(AND(T_学生別進路[[#This Row],[進路確定]]="○",T_学生別進路[[#This Row],[進学希望フラグ]]=1),"○","")</f>
        <v>○</v>
      </c>
      <c r="E211" s="30" t="str">
        <f>_xlfn.IFNA(RIGHT(VLOOKUP(T_学生別進路[[#This Row],[学籍番号]]&amp;"○",進路状況入力シート!K:K,1,FALSE),1),"")</f>
        <v>○</v>
      </c>
      <c r="F211" s="30">
        <f>IF(T_学生別進路[[#This Row],[進学希望フラグ]]=0,"",IF(T_学生別進路[[#This Row],[進路確定]]="○",1,0))</f>
        <v>1</v>
      </c>
      <c r="G21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1" s="30" t="str">
        <f>_xlfn.XLOOKUP(T_学生別進路[[#This Row],[学籍番号]]&amp;"○",進路状況入力シート!K:K,進路状況入力シート!D:D,"",0,1)</f>
        <v>神戸国際大学</v>
      </c>
      <c r="I211" s="30"/>
      <c r="J211" s="31">
        <v>45962</v>
      </c>
      <c r="K211" s="30">
        <f>IF(T_学生別進路[[#This Row],[合格時期]]="",0,IF(T_学生別進路[[#This Row],[合格時期]]&lt;K$5,1,0))</f>
        <v>1</v>
      </c>
      <c r="L211" s="30">
        <f>IF(T_学生別進路[[#This Row],[合格時期]]="",0,IF(T_学生別進路[[#This Row],[合格時期]]&lt;L$5,1,0))</f>
        <v>1</v>
      </c>
      <c r="M211" s="30">
        <f>IF(T_学生別進路[[#This Row],[合格時期]]="",0,IF(T_学生別進路[[#This Row],[合格時期]]&lt;M$5,1,0))</f>
        <v>1</v>
      </c>
      <c r="N211" s="30">
        <f>IF(T_学生別進路[[#This Row],[合格時期]]="",0,IF(T_学生別進路[[#This Row],[合格時期]]&lt;N$5,1,0))</f>
        <v>1</v>
      </c>
      <c r="O211" s="30">
        <f>IF(T_学生別進路[[#This Row],[合格時期]]="",0,IF(T_学生別進路[[#This Row],[合格時期]]&lt;O$5,1,0))</f>
        <v>1</v>
      </c>
      <c r="P211" s="30"/>
      <c r="Q211" s="3"/>
      <c r="R211" s="3"/>
      <c r="S211" s="3"/>
      <c r="T211" s="3"/>
      <c r="U211" s="3"/>
    </row>
    <row r="212" spans="1:21" hidden="1" x14ac:dyDescent="0.15">
      <c r="A212" s="32">
        <v>2407011</v>
      </c>
      <c r="B212" s="30" t="str">
        <f>VLOOKUP(T_学生別進路[[#This Row],[学籍番号]],進路状況入力シート!A:B,2,FALSE)</f>
        <v>2-12</v>
      </c>
      <c r="C212" s="42" t="str">
        <f>VLOOKUP(T_学生別進路[[#This Row],[学籍番号]],進路状況入力シート!A:C,3,FALSE)</f>
        <v>MIN AUNG HTET OO</v>
      </c>
      <c r="D212" s="30" t="str">
        <f>IF(AND(T_学生別進路[[#This Row],[進路確定]]="○",T_学生別進路[[#This Row],[進学希望フラグ]]=1),"○","")</f>
        <v/>
      </c>
      <c r="E212" s="30" t="str">
        <f>_xlfn.IFNA(RIGHT(VLOOKUP(T_学生別進路[[#This Row],[学籍番号]]&amp;"○",進路状況入力シート!K:K,1,FALSE),1),"")</f>
        <v>○</v>
      </c>
      <c r="F212" s="30" t="str">
        <f>IF(T_学生別進路[[#This Row],[進学希望フラグ]]=0,"",IF(T_学生別進路[[#This Row],[進路確定]]="○",1,0))</f>
        <v/>
      </c>
      <c r="G21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12" s="30">
        <f>_xlfn.XLOOKUP(T_学生別進路[[#This Row],[学籍番号]]&amp;"○",進路状況入力シート!K:K,進路状況入力シート!D:D,"",0,1)</f>
        <v>0</v>
      </c>
      <c r="I212" s="39"/>
      <c r="J212" s="31"/>
      <c r="K212" s="30">
        <f>IF(T_学生別進路[[#This Row],[合格時期]]="",0,IF(T_学生別進路[[#This Row],[合格時期]]&lt;K$5,1,0))</f>
        <v>0</v>
      </c>
      <c r="L212" s="30">
        <f>IF(T_学生別進路[[#This Row],[合格時期]]="",0,IF(T_学生別進路[[#This Row],[合格時期]]&lt;L$5,1,0))</f>
        <v>0</v>
      </c>
      <c r="M212" s="30">
        <f>IF(T_学生別進路[[#This Row],[合格時期]]="",0,IF(T_学生別進路[[#This Row],[合格時期]]&lt;M$5,1,0))</f>
        <v>0</v>
      </c>
      <c r="N212" s="30">
        <f>IF(T_学生別進路[[#This Row],[合格時期]]="",0,IF(T_学生別進路[[#This Row],[合格時期]]&lt;N$5,1,0))</f>
        <v>0</v>
      </c>
      <c r="O212" s="30">
        <f>IF(T_学生別進路[[#This Row],[合格時期]]="",0,IF(T_学生別進路[[#This Row],[合格時期]]&lt;O$5,1,0))</f>
        <v>0</v>
      </c>
      <c r="P212" s="30"/>
      <c r="Q212" s="3"/>
      <c r="R212" s="3"/>
      <c r="S212" s="3"/>
      <c r="T212" s="3"/>
      <c r="U212" s="3"/>
    </row>
    <row r="213" spans="1:21" hidden="1" x14ac:dyDescent="0.15">
      <c r="A213" s="32">
        <v>2407022</v>
      </c>
      <c r="B213" s="30" t="str">
        <f>VLOOKUP(T_学生別進路[[#This Row],[学籍番号]],進路状況入力シート!A:B,2,FALSE)</f>
        <v>2-12</v>
      </c>
      <c r="C213" s="30" t="str">
        <f>VLOOKUP(T_学生別進路[[#This Row],[学籍番号]],進路状況入力シート!A:C,3,FALSE)</f>
        <v>SHWE SIN PHYOE</v>
      </c>
      <c r="D213" s="30" t="str">
        <f>IF(AND(T_学生別進路[[#This Row],[進路確定]]="○",T_学生別進路[[#This Row],[進学希望フラグ]]=1),"○","")</f>
        <v>○</v>
      </c>
      <c r="E213" s="30" t="str">
        <f>_xlfn.IFNA(RIGHT(VLOOKUP(T_学生別進路[[#This Row],[学籍番号]]&amp;"○",進路状況入力シート!K:K,1,FALSE),1),"")</f>
        <v>○</v>
      </c>
      <c r="F213" s="30">
        <f>IF(T_学生別進路[[#This Row],[進学希望フラグ]]=0,"",IF(T_学生別進路[[#This Row],[進路確定]]="○",1,0))</f>
        <v>1</v>
      </c>
      <c r="G21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3" s="30" t="str">
        <f>_xlfn.XLOOKUP(T_学生別進路[[#This Row],[学籍番号]]&amp;"○",進路状況入力シート!K:K,進路状況入力シート!D:D,"",0,1)</f>
        <v>流通科学大学</v>
      </c>
      <c r="I213" s="30"/>
      <c r="J213" s="31">
        <v>45962</v>
      </c>
      <c r="K213" s="30">
        <f>IF(T_学生別進路[[#This Row],[合格時期]]="",0,IF(T_学生別進路[[#This Row],[合格時期]]&lt;K$5,1,0))</f>
        <v>1</v>
      </c>
      <c r="L213" s="30">
        <f>IF(T_学生別進路[[#This Row],[合格時期]]="",0,IF(T_学生別進路[[#This Row],[合格時期]]&lt;L$5,1,0))</f>
        <v>1</v>
      </c>
      <c r="M213" s="30">
        <f>IF(T_学生別進路[[#This Row],[合格時期]]="",0,IF(T_学生別進路[[#This Row],[合格時期]]&lt;M$5,1,0))</f>
        <v>1</v>
      </c>
      <c r="N213" s="30">
        <f>IF(T_学生別進路[[#This Row],[合格時期]]="",0,IF(T_学生別進路[[#This Row],[合格時期]]&lt;N$5,1,0))</f>
        <v>1</v>
      </c>
      <c r="O213" s="30">
        <f>IF(T_学生別進路[[#This Row],[合格時期]]="",0,IF(T_学生別進路[[#This Row],[合格時期]]&lt;O$5,1,0))</f>
        <v>1</v>
      </c>
      <c r="P213" s="30"/>
      <c r="Q213" s="3"/>
      <c r="R213" s="3"/>
      <c r="S213" s="3"/>
      <c r="T213" s="3"/>
      <c r="U213" s="3"/>
    </row>
    <row r="214" spans="1:21" hidden="1" x14ac:dyDescent="0.15">
      <c r="A214" s="32">
        <v>2407026</v>
      </c>
      <c r="B214" s="30" t="str">
        <f>VLOOKUP(T_学生別進路[[#This Row],[学籍番号]],進路状況入力シート!A:B,2,FALSE)</f>
        <v>2-12</v>
      </c>
      <c r="C214" s="30" t="str">
        <f>VLOOKUP(T_学生別進路[[#This Row],[学籍番号]],進路状況入力シート!A:C,3,FALSE)</f>
        <v>SU SU WIN</v>
      </c>
      <c r="D214" s="30" t="str">
        <f>IF(AND(T_学生別進路[[#This Row],[進路確定]]="○",T_学生別進路[[#This Row],[進学希望フラグ]]=1),"○","")</f>
        <v>○</v>
      </c>
      <c r="E214" s="30" t="str">
        <f>_xlfn.IFNA(RIGHT(VLOOKUP(T_学生別進路[[#This Row],[学籍番号]]&amp;"○",進路状況入力シート!K:K,1,FALSE),1),"")</f>
        <v>○</v>
      </c>
      <c r="F214" s="30">
        <f>IF(T_学生別進路[[#This Row],[進学希望フラグ]]=0,"",IF(T_学生別進路[[#This Row],[進路確定]]="○",1,0))</f>
        <v>1</v>
      </c>
      <c r="G21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4" s="30" t="str">
        <f>_xlfn.XLOOKUP(T_学生別進路[[#This Row],[学籍番号]]&amp;"○",進路状況入力シート!K:K,進路状況入力シート!D:D,"",0,1)</f>
        <v>愛甲学院専門学校</v>
      </c>
      <c r="I214" s="30"/>
      <c r="J214" s="31">
        <v>45962</v>
      </c>
      <c r="K214" s="30">
        <f>IF(T_学生別進路[[#This Row],[合格時期]]="",0,IF(T_学生別進路[[#This Row],[合格時期]]&lt;K$5,1,0))</f>
        <v>1</v>
      </c>
      <c r="L214" s="30">
        <f>IF(T_学生別進路[[#This Row],[合格時期]]="",0,IF(T_学生別進路[[#This Row],[合格時期]]&lt;L$5,1,0))</f>
        <v>1</v>
      </c>
      <c r="M214" s="30">
        <f>IF(T_学生別進路[[#This Row],[合格時期]]="",0,IF(T_学生別進路[[#This Row],[合格時期]]&lt;M$5,1,0))</f>
        <v>1</v>
      </c>
      <c r="N214" s="30">
        <f>IF(T_学生別進路[[#This Row],[合格時期]]="",0,IF(T_学生別進路[[#This Row],[合格時期]]&lt;N$5,1,0))</f>
        <v>1</v>
      </c>
      <c r="O214" s="30">
        <f>IF(T_学生別進路[[#This Row],[合格時期]]="",0,IF(T_学生別進路[[#This Row],[合格時期]]&lt;O$5,1,0))</f>
        <v>1</v>
      </c>
      <c r="P214" s="30"/>
      <c r="Q214" s="3"/>
      <c r="R214" s="3"/>
      <c r="S214" s="3"/>
      <c r="T214" s="3"/>
      <c r="U214" s="3"/>
    </row>
    <row r="215" spans="1:21" x14ac:dyDescent="0.15">
      <c r="A215" s="32">
        <v>2407031</v>
      </c>
      <c r="B215" s="30" t="str">
        <f>VLOOKUP(T_学生別進路[[#This Row],[学籍番号]],進路状況入力シート!A:B,2,FALSE)</f>
        <v>2-12</v>
      </c>
      <c r="C215" s="49" t="str">
        <f>VLOOKUP(T_学生別進路[[#This Row],[学籍番号]],進路状況入力シート!A:C,3,FALSE)</f>
        <v>AYE YADANAR MOE</v>
      </c>
      <c r="D215" s="30" t="str">
        <f>IF(AND(T_学生別進路[[#This Row],[進路確定]]="○",T_学生別進路[[#This Row],[進学希望フラグ]]=1),"○","")</f>
        <v/>
      </c>
      <c r="E215" s="30" t="str">
        <f>_xlfn.IFNA(RIGHT(VLOOKUP(T_学生別進路[[#This Row],[学籍番号]]&amp;"○",進路状況入力シート!K:K,1,FALSE),1),"")</f>
        <v/>
      </c>
      <c r="F215" s="30" t="str">
        <f>IF(T_学生別進路[[#This Row],[進学希望フラグ]]=0,"",IF(T_学生別進路[[#This Row],[進路確定]]="○",1,0))</f>
        <v/>
      </c>
      <c r="G21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15" s="30" t="str">
        <f>_xlfn.XLOOKUP(T_学生別進路[[#This Row],[学籍番号]]&amp;"○",進路状況入力シート!K:K,進路状況入力シート!D:D,"",0,1)</f>
        <v/>
      </c>
      <c r="I215" s="39"/>
      <c r="J215" s="31"/>
      <c r="K215" s="30">
        <f>IF(T_学生別進路[[#This Row],[合格時期]]="",0,IF(T_学生別進路[[#This Row],[合格時期]]&lt;K$5,1,0))</f>
        <v>0</v>
      </c>
      <c r="L215" s="30">
        <f>IF(T_学生別進路[[#This Row],[合格時期]]="",0,IF(T_学生別進路[[#This Row],[合格時期]]&lt;L$5,1,0))</f>
        <v>0</v>
      </c>
      <c r="M215" s="30">
        <f>IF(T_学生別進路[[#This Row],[合格時期]]="",0,IF(T_学生別進路[[#This Row],[合格時期]]&lt;M$5,1,0))</f>
        <v>0</v>
      </c>
      <c r="N215" s="30">
        <f>IF(T_学生別進路[[#This Row],[合格時期]]="",0,IF(T_学生別進路[[#This Row],[合格時期]]&lt;N$5,1,0))</f>
        <v>0</v>
      </c>
      <c r="O215" s="30">
        <f>IF(T_学生別進路[[#This Row],[合格時期]]="",0,IF(T_学生別進路[[#This Row],[合格時期]]&lt;O$5,1,0))</f>
        <v>0</v>
      </c>
      <c r="P215" s="30" t="s">
        <v>743</v>
      </c>
      <c r="Q215" s="3"/>
      <c r="R215" s="3"/>
      <c r="S215" s="3"/>
      <c r="T215" s="3"/>
      <c r="U215" s="3"/>
    </row>
    <row r="216" spans="1:21" hidden="1" x14ac:dyDescent="0.15">
      <c r="A216" s="32">
        <v>2407032</v>
      </c>
      <c r="B216" s="30" t="str">
        <f>VLOOKUP(T_学生別進路[[#This Row],[学籍番号]],進路状況入力シート!A:B,2,FALSE)</f>
        <v>2-12</v>
      </c>
      <c r="C216" s="30" t="str">
        <f>VLOOKUP(T_学生別進路[[#This Row],[学籍番号]],進路状況入力シート!A:C,3,FALSE)</f>
        <v>HEIN HTET ZAW</v>
      </c>
      <c r="D216" s="30" t="str">
        <f>IF(AND(T_学生別進路[[#This Row],[進路確定]]="○",T_学生別進路[[#This Row],[進学希望フラグ]]=1),"○","")</f>
        <v>○</v>
      </c>
      <c r="E216" s="30" t="str">
        <f>_xlfn.IFNA(RIGHT(VLOOKUP(T_学生別進路[[#This Row],[学籍番号]]&amp;"○",進路状況入力シート!K:K,1,FALSE),1),"")</f>
        <v>○</v>
      </c>
      <c r="F216" s="30">
        <f>IF(T_学生別進路[[#This Row],[進学希望フラグ]]=0,"",IF(T_学生別進路[[#This Row],[進路確定]]="○",1,0))</f>
        <v>1</v>
      </c>
      <c r="G21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6" s="30" t="str">
        <f>_xlfn.XLOOKUP(T_学生別進路[[#This Row],[学籍番号]]&amp;"○",進路状況入力シート!K:K,進路状況入力シート!D:D,"",0,1)</f>
        <v>ECC国際外語専門学校</v>
      </c>
      <c r="I216" s="39" t="s">
        <v>627</v>
      </c>
      <c r="J216" s="31">
        <v>45992</v>
      </c>
      <c r="K216" s="30">
        <f>IF(T_学生別進路[[#This Row],[合格時期]]="",0,IF(T_学生別進路[[#This Row],[合格時期]]&lt;K$5,1,0))</f>
        <v>0</v>
      </c>
      <c r="L216" s="30">
        <f>IF(T_学生別進路[[#This Row],[合格時期]]="",0,IF(T_学生別進路[[#This Row],[合格時期]]&lt;L$5,1,0))</f>
        <v>1</v>
      </c>
      <c r="M216" s="30">
        <f>IF(T_学生別進路[[#This Row],[合格時期]]="",0,IF(T_学生別進路[[#This Row],[合格時期]]&lt;M$5,1,0))</f>
        <v>1</v>
      </c>
      <c r="N216" s="30">
        <f>IF(T_学生別進路[[#This Row],[合格時期]]="",0,IF(T_学生別進路[[#This Row],[合格時期]]&lt;N$5,1,0))</f>
        <v>1</v>
      </c>
      <c r="O216" s="30">
        <f>IF(T_学生別進路[[#This Row],[合格時期]]="",0,IF(T_学生別進路[[#This Row],[合格時期]]&lt;O$5,1,0))</f>
        <v>1</v>
      </c>
      <c r="P216" s="30"/>
      <c r="Q216" s="3"/>
      <c r="R216" s="3"/>
      <c r="S216" s="3"/>
      <c r="T216" s="3"/>
      <c r="U216" s="3"/>
    </row>
    <row r="217" spans="1:21" hidden="1" x14ac:dyDescent="0.15">
      <c r="A217" s="32">
        <v>2407033</v>
      </c>
      <c r="B217" s="30" t="str">
        <f>VLOOKUP(T_学生別進路[[#This Row],[学籍番号]],進路状況入力シート!A:B,2,FALSE)</f>
        <v>2-12</v>
      </c>
      <c r="C217" s="30" t="str">
        <f>VLOOKUP(T_学生別進路[[#This Row],[学籍番号]],進路状況入力シート!A:C,3,FALSE)</f>
        <v>SABBIR SAJID AHMED</v>
      </c>
      <c r="D217" s="30" t="str">
        <f>IF(AND(T_学生別進路[[#This Row],[進路確定]]="○",T_学生別進路[[#This Row],[進学希望フラグ]]=1),"○","")</f>
        <v>○</v>
      </c>
      <c r="E217" s="30" t="str">
        <f>_xlfn.IFNA(RIGHT(VLOOKUP(T_学生別進路[[#This Row],[学籍番号]]&amp;"○",進路状況入力シート!K:K,1,FALSE),1),"")</f>
        <v>○</v>
      </c>
      <c r="F217" s="30">
        <f>IF(T_学生別進路[[#This Row],[進学希望フラグ]]=0,"",IF(T_学生別進路[[#This Row],[進路確定]]="○",1,0))</f>
        <v>1</v>
      </c>
      <c r="G21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7" s="30" t="str">
        <f>_xlfn.XLOOKUP(T_学生別進路[[#This Row],[学籍番号]]&amp;"○",進路状況入力シート!K:K,進路状況入力シート!D:D,"",0,1)</f>
        <v>東京工科自動車大学校世田谷校</v>
      </c>
      <c r="I217" s="30"/>
      <c r="J217" s="31">
        <v>45901</v>
      </c>
      <c r="K217" s="30">
        <f>IF(T_学生別進路[[#This Row],[合格時期]]="",0,IF(T_学生別進路[[#This Row],[合格時期]]&lt;K$5,1,0))</f>
        <v>1</v>
      </c>
      <c r="L217" s="30">
        <f>IF(T_学生別進路[[#This Row],[合格時期]]="",0,IF(T_学生別進路[[#This Row],[合格時期]]&lt;L$5,1,0))</f>
        <v>1</v>
      </c>
      <c r="M217" s="30">
        <f>IF(T_学生別進路[[#This Row],[合格時期]]="",0,IF(T_学生別進路[[#This Row],[合格時期]]&lt;M$5,1,0))</f>
        <v>1</v>
      </c>
      <c r="N217" s="30">
        <f>IF(T_学生別進路[[#This Row],[合格時期]]="",0,IF(T_学生別進路[[#This Row],[合格時期]]&lt;N$5,1,0))</f>
        <v>1</v>
      </c>
      <c r="O217" s="30">
        <f>IF(T_学生別進路[[#This Row],[合格時期]]="",0,IF(T_学生別進路[[#This Row],[合格時期]]&lt;O$5,1,0))</f>
        <v>1</v>
      </c>
      <c r="P217" s="30"/>
      <c r="Q217" s="3"/>
      <c r="R217" s="3"/>
      <c r="S217" s="3"/>
      <c r="T217" s="3"/>
      <c r="U217" s="3"/>
    </row>
    <row r="218" spans="1:21" hidden="1" x14ac:dyDescent="0.15">
      <c r="A218" s="32">
        <v>2407050</v>
      </c>
      <c r="B218" s="30" t="str">
        <f>VLOOKUP(T_学生別進路[[#This Row],[学籍番号]],進路状況入力シート!A:B,2,FALSE)</f>
        <v>2-12</v>
      </c>
      <c r="C218" s="30" t="str">
        <f>VLOOKUP(T_学生別進路[[#This Row],[学籍番号]],進路状況入力シート!A:C,3,FALSE)</f>
        <v>MIA ROMAN</v>
      </c>
      <c r="D218" s="30" t="str">
        <f>IF(AND(T_学生別進路[[#This Row],[進路確定]]="○",T_学生別進路[[#This Row],[進学希望フラグ]]=1),"○","")</f>
        <v>○</v>
      </c>
      <c r="E218" s="30" t="str">
        <f>_xlfn.IFNA(RIGHT(VLOOKUP(T_学生別進路[[#This Row],[学籍番号]]&amp;"○",進路状況入力シート!K:K,1,FALSE),1),"")</f>
        <v>○</v>
      </c>
      <c r="F218" s="30">
        <f>IF(T_学生別進路[[#This Row],[進学希望フラグ]]=0,"",IF(T_学生別進路[[#This Row],[進路確定]]="○",1,0))</f>
        <v>1</v>
      </c>
      <c r="G21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8" s="30" t="str">
        <f>_xlfn.XLOOKUP(T_学生別進路[[#This Row],[学籍番号]]&amp;"○",進路状況入力シート!K:K,進路状況入力シート!D:D,"",0,1)</f>
        <v>ECC国際外語専門学校</v>
      </c>
      <c r="I218" s="30"/>
      <c r="J218" s="31">
        <v>45992</v>
      </c>
      <c r="K218" s="30">
        <f>IF(T_学生別進路[[#This Row],[合格時期]]="",0,IF(T_学生別進路[[#This Row],[合格時期]]&lt;K$5,1,0))</f>
        <v>0</v>
      </c>
      <c r="L218" s="30">
        <f>IF(T_学生別進路[[#This Row],[合格時期]]="",0,IF(T_学生別進路[[#This Row],[合格時期]]&lt;L$5,1,0))</f>
        <v>1</v>
      </c>
      <c r="M218" s="30">
        <f>IF(T_学生別進路[[#This Row],[合格時期]]="",0,IF(T_学生別進路[[#This Row],[合格時期]]&lt;M$5,1,0))</f>
        <v>1</v>
      </c>
      <c r="N218" s="30">
        <f>IF(T_学生別進路[[#This Row],[合格時期]]="",0,IF(T_学生別進路[[#This Row],[合格時期]]&lt;N$5,1,0))</f>
        <v>1</v>
      </c>
      <c r="O218" s="30">
        <f>IF(T_学生別進路[[#This Row],[合格時期]]="",0,IF(T_学生別進路[[#This Row],[合格時期]]&lt;O$5,1,0))</f>
        <v>1</v>
      </c>
      <c r="P218" s="30"/>
      <c r="Q218" s="3"/>
      <c r="R218" s="3"/>
      <c r="S218" s="3"/>
      <c r="T218" s="3"/>
      <c r="U218" s="3"/>
    </row>
    <row r="219" spans="1:21" hidden="1" x14ac:dyDescent="0.15">
      <c r="A219" s="32">
        <v>2407057</v>
      </c>
      <c r="B219" s="30" t="str">
        <f>VLOOKUP(T_学生別進路[[#This Row],[学籍番号]],進路状況入力シート!A:B,2,FALSE)</f>
        <v>2-12</v>
      </c>
      <c r="C219" s="30" t="str">
        <f>VLOOKUP(T_学生別進路[[#This Row],[学籍番号]],進路状況入力シート!A:C,3,FALSE)</f>
        <v>MIZAN MD</v>
      </c>
      <c r="D219" s="30" t="str">
        <f>IF(AND(T_学生別進路[[#This Row],[進路確定]]="○",T_学生別進路[[#This Row],[進学希望フラグ]]=1),"○","")</f>
        <v>○</v>
      </c>
      <c r="E219" s="30" t="str">
        <f>_xlfn.IFNA(RIGHT(VLOOKUP(T_学生別進路[[#This Row],[学籍番号]]&amp;"○",進路状況入力シート!K:K,1,FALSE),1),"")</f>
        <v>○</v>
      </c>
      <c r="F219" s="30">
        <f>IF(T_学生別進路[[#This Row],[進学希望フラグ]]=0,"",IF(T_学生別進路[[#This Row],[進路確定]]="○",1,0))</f>
        <v>1</v>
      </c>
      <c r="G21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19" s="30" t="str">
        <f>_xlfn.XLOOKUP(T_学生別進路[[#This Row],[学籍番号]]&amp;"○",進路状況入力シート!K:K,進路状況入力シート!D:D,"",0,1)</f>
        <v>東京工科自動車大学校世田谷校</v>
      </c>
      <c r="I219" s="30"/>
      <c r="J219" s="31">
        <v>45901</v>
      </c>
      <c r="K219" s="30">
        <f>IF(T_学生別進路[[#This Row],[合格時期]]="",0,IF(T_学生別進路[[#This Row],[合格時期]]&lt;K$5,1,0))</f>
        <v>1</v>
      </c>
      <c r="L219" s="30">
        <f>IF(T_学生別進路[[#This Row],[合格時期]]="",0,IF(T_学生別進路[[#This Row],[合格時期]]&lt;L$5,1,0))</f>
        <v>1</v>
      </c>
      <c r="M219" s="30">
        <f>IF(T_学生別進路[[#This Row],[合格時期]]="",0,IF(T_学生別進路[[#This Row],[合格時期]]&lt;M$5,1,0))</f>
        <v>1</v>
      </c>
      <c r="N219" s="30">
        <f>IF(T_学生別進路[[#This Row],[合格時期]]="",0,IF(T_学生別進路[[#This Row],[合格時期]]&lt;N$5,1,0))</f>
        <v>1</v>
      </c>
      <c r="O219" s="30">
        <f>IF(T_学生別進路[[#This Row],[合格時期]]="",0,IF(T_学生別進路[[#This Row],[合格時期]]&lt;O$5,1,0))</f>
        <v>1</v>
      </c>
      <c r="P219" s="30"/>
      <c r="Q219" s="3"/>
      <c r="R219" s="3"/>
      <c r="S219" s="3"/>
      <c r="T219" s="3"/>
      <c r="U219" s="3"/>
    </row>
    <row r="220" spans="1:21" hidden="1" x14ac:dyDescent="0.15">
      <c r="A220" s="32">
        <v>2407058</v>
      </c>
      <c r="B220" s="30" t="str">
        <f>VLOOKUP(T_学生別進路[[#This Row],[学籍番号]],進路状況入力シート!A:B,2,FALSE)</f>
        <v>2-12</v>
      </c>
      <c r="C220" s="30" t="str">
        <f>VLOOKUP(T_学生別進路[[#This Row],[学籍番号]],進路状況入力シート!A:C,3,FALSE)</f>
        <v>ISLAM SAIFUL</v>
      </c>
      <c r="D220" s="30" t="str">
        <f>IF(AND(T_学生別進路[[#This Row],[進路確定]]="○",T_学生別進路[[#This Row],[進学希望フラグ]]=1),"○","")</f>
        <v>○</v>
      </c>
      <c r="E220" s="30" t="str">
        <f>_xlfn.IFNA(RIGHT(VLOOKUP(T_学生別進路[[#This Row],[学籍番号]]&amp;"○",進路状況入力シート!K:K,1,FALSE),1),"")</f>
        <v>○</v>
      </c>
      <c r="F220" s="30">
        <f>IF(T_学生別進路[[#This Row],[進学希望フラグ]]=0,"",IF(T_学生別進路[[#This Row],[進路確定]]="○",1,0))</f>
        <v>1</v>
      </c>
      <c r="G22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0" s="30" t="str">
        <f>_xlfn.XLOOKUP(T_学生別進路[[#This Row],[学籍番号]]&amp;"○",進路状況入力シート!K:K,進路状況入力シート!D:D,"",0,1)</f>
        <v>東京工科自動車大学校世田谷校</v>
      </c>
      <c r="I220" s="30"/>
      <c r="J220" s="31">
        <v>45901</v>
      </c>
      <c r="K220" s="30">
        <f>IF(T_学生別進路[[#This Row],[合格時期]]="",0,IF(T_学生別進路[[#This Row],[合格時期]]&lt;K$5,1,0))</f>
        <v>1</v>
      </c>
      <c r="L220" s="30">
        <f>IF(T_学生別進路[[#This Row],[合格時期]]="",0,IF(T_学生別進路[[#This Row],[合格時期]]&lt;L$5,1,0))</f>
        <v>1</v>
      </c>
      <c r="M220" s="30">
        <f>IF(T_学生別進路[[#This Row],[合格時期]]="",0,IF(T_学生別進路[[#This Row],[合格時期]]&lt;M$5,1,0))</f>
        <v>1</v>
      </c>
      <c r="N220" s="30">
        <f>IF(T_学生別進路[[#This Row],[合格時期]]="",0,IF(T_学生別進路[[#This Row],[合格時期]]&lt;N$5,1,0))</f>
        <v>1</v>
      </c>
      <c r="O220" s="30">
        <f>IF(T_学生別進路[[#This Row],[合格時期]]="",0,IF(T_学生別進路[[#This Row],[合格時期]]&lt;O$5,1,0))</f>
        <v>1</v>
      </c>
      <c r="P220" s="30"/>
      <c r="Q220" s="3"/>
      <c r="R220" s="3"/>
      <c r="S220" s="3"/>
      <c r="T220" s="3"/>
      <c r="U220" s="3"/>
    </row>
    <row r="221" spans="1:21" hidden="1" x14ac:dyDescent="0.15">
      <c r="A221" s="32">
        <v>2407063</v>
      </c>
      <c r="B221" s="30" t="str">
        <f>VLOOKUP(T_学生別進路[[#This Row],[学籍番号]],進路状況入力シート!A:B,2,FALSE)</f>
        <v>2-12</v>
      </c>
      <c r="C221" s="30" t="str">
        <f>VLOOKUP(T_学生別進路[[#This Row],[学籍番号]],進路状況入力シート!A:C,3,FALSE)</f>
        <v>SUSMITA ARYAL</v>
      </c>
      <c r="D221" s="30" t="str">
        <f>IF(AND(T_学生別進路[[#This Row],[進路確定]]="○",T_学生別進路[[#This Row],[進学希望フラグ]]=1),"○","")</f>
        <v>○</v>
      </c>
      <c r="E221" s="30" t="str">
        <f>_xlfn.IFNA(RIGHT(VLOOKUP(T_学生別進路[[#This Row],[学籍番号]]&amp;"○",進路状況入力シート!K:K,1,FALSE),1),"")</f>
        <v>○</v>
      </c>
      <c r="F221" s="30">
        <f>IF(T_学生別進路[[#This Row],[進学希望フラグ]]=0,"",IF(T_学生別進路[[#This Row],[進路確定]]="○",1,0))</f>
        <v>1</v>
      </c>
      <c r="G22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1" s="30" t="str">
        <f>_xlfn.XLOOKUP(T_学生別進路[[#This Row],[学籍番号]]&amp;"○",進路状況入力シート!K:K,進路状況入力シート!D:D,"",0,1)</f>
        <v>愛甲学院専門学校</v>
      </c>
      <c r="I221" s="30"/>
      <c r="J221" s="31">
        <v>45931</v>
      </c>
      <c r="K221" s="30">
        <f>IF(T_学生別進路[[#This Row],[合格時期]]="",0,IF(T_学生別進路[[#This Row],[合格時期]]&lt;K$5,1,0))</f>
        <v>1</v>
      </c>
      <c r="L221" s="30">
        <f>IF(T_学生別進路[[#This Row],[合格時期]]="",0,IF(T_学生別進路[[#This Row],[合格時期]]&lt;L$5,1,0))</f>
        <v>1</v>
      </c>
      <c r="M221" s="30">
        <f>IF(T_学生別進路[[#This Row],[合格時期]]="",0,IF(T_学生別進路[[#This Row],[合格時期]]&lt;M$5,1,0))</f>
        <v>1</v>
      </c>
      <c r="N221" s="30">
        <f>IF(T_学生別進路[[#This Row],[合格時期]]="",0,IF(T_学生別進路[[#This Row],[合格時期]]&lt;N$5,1,0))</f>
        <v>1</v>
      </c>
      <c r="O221" s="30">
        <f>IF(T_学生別進路[[#This Row],[合格時期]]="",0,IF(T_学生別進路[[#This Row],[合格時期]]&lt;O$5,1,0))</f>
        <v>1</v>
      </c>
      <c r="P221" s="30"/>
      <c r="Q221" s="3"/>
      <c r="R221" s="3"/>
      <c r="S221" s="3"/>
      <c r="T221" s="3"/>
      <c r="U221" s="3"/>
    </row>
    <row r="222" spans="1:21" hidden="1" x14ac:dyDescent="0.15">
      <c r="A222" s="32">
        <v>2407065</v>
      </c>
      <c r="B222" s="30" t="str">
        <f>VLOOKUP(T_学生別進路[[#This Row],[学籍番号]],進路状況入力シート!A:B,2,FALSE)</f>
        <v>2-12</v>
      </c>
      <c r="C222" s="30" t="str">
        <f>VLOOKUP(T_学生別進路[[#This Row],[学籍番号]],進路状況入力シート!A:C,3,FALSE)</f>
        <v>MAGAR SANDESH SAMAL</v>
      </c>
      <c r="D222" s="30" t="str">
        <f>IF(AND(T_学生別進路[[#This Row],[進路確定]]="○",T_学生別進路[[#This Row],[進学希望フラグ]]=1),"○","")</f>
        <v>○</v>
      </c>
      <c r="E222" s="30" t="str">
        <f>_xlfn.IFNA(RIGHT(VLOOKUP(T_学生別進路[[#This Row],[学籍番号]]&amp;"○",進路状況入力シート!K:K,1,FALSE),1),"")</f>
        <v>○</v>
      </c>
      <c r="F222" s="30">
        <f>IF(T_学生別進路[[#This Row],[進学希望フラグ]]=0,"",IF(T_学生別進路[[#This Row],[進路確定]]="○",1,0))</f>
        <v>1</v>
      </c>
      <c r="G22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2" s="30" t="str">
        <f>_xlfn.XLOOKUP(T_学生別進路[[#This Row],[学籍番号]]&amp;"○",進路状況入力シート!K:K,進路状況入力シート!D:D,"",0,1)</f>
        <v>日本経済大学</v>
      </c>
      <c r="I222" s="39" t="s">
        <v>627</v>
      </c>
      <c r="J222" s="31">
        <v>45992</v>
      </c>
      <c r="K222" s="30">
        <f>IF(T_学生別進路[[#This Row],[合格時期]]="",0,IF(T_学生別進路[[#This Row],[合格時期]]&lt;K$5,1,0))</f>
        <v>0</v>
      </c>
      <c r="L222" s="30">
        <f>IF(T_学生別進路[[#This Row],[合格時期]]="",0,IF(T_学生別進路[[#This Row],[合格時期]]&lt;L$5,1,0))</f>
        <v>1</v>
      </c>
      <c r="M222" s="30">
        <f>IF(T_学生別進路[[#This Row],[合格時期]]="",0,IF(T_学生別進路[[#This Row],[合格時期]]&lt;M$5,1,0))</f>
        <v>1</v>
      </c>
      <c r="N222" s="30">
        <f>IF(T_学生別進路[[#This Row],[合格時期]]="",0,IF(T_学生別進路[[#This Row],[合格時期]]&lt;N$5,1,0))</f>
        <v>1</v>
      </c>
      <c r="O222" s="30">
        <f>IF(T_学生別進路[[#This Row],[合格時期]]="",0,IF(T_学生別進路[[#This Row],[合格時期]]&lt;O$5,1,0))</f>
        <v>1</v>
      </c>
      <c r="P222" s="30"/>
      <c r="Q222" s="3"/>
      <c r="R222" s="3"/>
      <c r="S222" s="3"/>
      <c r="T222" s="3"/>
      <c r="U222" s="3"/>
    </row>
    <row r="223" spans="1:21" hidden="1" x14ac:dyDescent="0.15">
      <c r="A223" s="32">
        <v>2407069</v>
      </c>
      <c r="B223" s="30" t="str">
        <f>VLOOKUP(T_学生別進路[[#This Row],[学籍番号]],進路状況入力シート!A:B,2,FALSE)</f>
        <v>2-12</v>
      </c>
      <c r="C223" s="30" t="str">
        <f>VLOOKUP(T_学生別進路[[#This Row],[学籍番号]],進路状況入力シート!A:C,3,FALSE)</f>
        <v>OLI REKHA</v>
      </c>
      <c r="D223" s="30" t="str">
        <f>IF(AND(T_学生別進路[[#This Row],[進路確定]]="○",T_学生別進路[[#This Row],[進学希望フラグ]]=1),"○","")</f>
        <v>○</v>
      </c>
      <c r="E223" s="30" t="str">
        <f>_xlfn.IFNA(RIGHT(VLOOKUP(T_学生別進路[[#This Row],[学籍番号]]&amp;"○",進路状況入力シート!K:K,1,FALSE),1),"")</f>
        <v>○</v>
      </c>
      <c r="F223" s="30">
        <f>IF(T_学生別進路[[#This Row],[進学希望フラグ]]=0,"",IF(T_学生別進路[[#This Row],[進路確定]]="○",1,0))</f>
        <v>1</v>
      </c>
      <c r="G22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3" s="30" t="str">
        <f>_xlfn.XLOOKUP(T_学生別進路[[#This Row],[学籍番号]]&amp;"○",進路状況入力シート!K:K,進路状況入力シート!D:D,"",0,1)</f>
        <v>東京豊島IT医療福祉専門学校</v>
      </c>
      <c r="I223" s="30"/>
      <c r="J223" s="31">
        <v>45839</v>
      </c>
      <c r="K223" s="30">
        <f>IF(T_学生別進路[[#This Row],[合格時期]]="",0,IF(T_学生別進路[[#This Row],[合格時期]]&lt;K$5,1,0))</f>
        <v>1</v>
      </c>
      <c r="L223" s="30">
        <f>IF(T_学生別進路[[#This Row],[合格時期]]="",0,IF(T_学生別進路[[#This Row],[合格時期]]&lt;L$5,1,0))</f>
        <v>1</v>
      </c>
      <c r="M223" s="30">
        <f>IF(T_学生別進路[[#This Row],[合格時期]]="",0,IF(T_学生別進路[[#This Row],[合格時期]]&lt;M$5,1,0))</f>
        <v>1</v>
      </c>
      <c r="N223" s="30">
        <f>IF(T_学生別進路[[#This Row],[合格時期]]="",0,IF(T_学生別進路[[#This Row],[合格時期]]&lt;N$5,1,0))</f>
        <v>1</v>
      </c>
      <c r="O223" s="30">
        <f>IF(T_学生別進路[[#This Row],[合格時期]]="",0,IF(T_学生別進路[[#This Row],[合格時期]]&lt;O$5,1,0))</f>
        <v>1</v>
      </c>
      <c r="P223" s="30"/>
      <c r="Q223" s="3"/>
      <c r="R223" s="3"/>
      <c r="S223" s="3"/>
      <c r="T223" s="3"/>
      <c r="U223" s="3"/>
    </row>
    <row r="224" spans="1:21" hidden="1" x14ac:dyDescent="0.15">
      <c r="A224" s="32">
        <v>2407071</v>
      </c>
      <c r="B224" s="30" t="str">
        <f>VLOOKUP(T_学生別進路[[#This Row],[学籍番号]],進路状況入力シート!A:B,2,FALSE)</f>
        <v>2-12</v>
      </c>
      <c r="C224" s="30" t="str">
        <f>VLOOKUP(T_学生別進路[[#This Row],[学籍番号]],進路状況入力シート!A:C,3,FALSE)</f>
        <v>SHRESTHA ASMITA</v>
      </c>
      <c r="D224" s="30" t="str">
        <f>IF(AND(T_学生別進路[[#This Row],[進路確定]]="○",T_学生別進路[[#This Row],[進学希望フラグ]]=1),"○","")</f>
        <v>○</v>
      </c>
      <c r="E224" s="30" t="str">
        <f>_xlfn.IFNA(RIGHT(VLOOKUP(T_学生別進路[[#This Row],[学籍番号]]&amp;"○",進路状況入力シート!K:K,1,FALSE),1),"")</f>
        <v>○</v>
      </c>
      <c r="F224" s="30">
        <f>IF(T_学生別進路[[#This Row],[進学希望フラグ]]=0,"",IF(T_学生別進路[[#This Row],[進路確定]]="○",1,0))</f>
        <v>1</v>
      </c>
      <c r="G22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4" s="30" t="str">
        <f>_xlfn.XLOOKUP(T_学生別進路[[#This Row],[学籍番号]]&amp;"○",進路状況入力シート!K:K,進路状況入力シート!D:D,"",0,1)</f>
        <v>愛甲学院専門学校</v>
      </c>
      <c r="I224" s="30"/>
      <c r="J224" s="31">
        <v>45931</v>
      </c>
      <c r="K224" s="30">
        <f>IF(T_学生別進路[[#This Row],[合格時期]]="",0,IF(T_学生別進路[[#This Row],[合格時期]]&lt;K$5,1,0))</f>
        <v>1</v>
      </c>
      <c r="L224" s="30">
        <f>IF(T_学生別進路[[#This Row],[合格時期]]="",0,IF(T_学生別進路[[#This Row],[合格時期]]&lt;L$5,1,0))</f>
        <v>1</v>
      </c>
      <c r="M224" s="30">
        <f>IF(T_学生別進路[[#This Row],[合格時期]]="",0,IF(T_学生別進路[[#This Row],[合格時期]]&lt;M$5,1,0))</f>
        <v>1</v>
      </c>
      <c r="N224" s="30">
        <f>IF(T_学生別進路[[#This Row],[合格時期]]="",0,IF(T_学生別進路[[#This Row],[合格時期]]&lt;N$5,1,0))</f>
        <v>1</v>
      </c>
      <c r="O224" s="30">
        <f>IF(T_学生別進路[[#This Row],[合格時期]]="",0,IF(T_学生別進路[[#This Row],[合格時期]]&lt;O$5,1,0))</f>
        <v>1</v>
      </c>
      <c r="P224" s="30"/>
      <c r="Q224" s="3"/>
      <c r="R224" s="3"/>
      <c r="S224" s="3"/>
      <c r="T224" s="3"/>
      <c r="U224" s="3"/>
    </row>
    <row r="225" spans="1:21" hidden="1" x14ac:dyDescent="0.15">
      <c r="A225" s="32">
        <v>2407072</v>
      </c>
      <c r="B225" s="30" t="str">
        <f>VLOOKUP(T_学生別進路[[#This Row],[学籍番号]],進路状況入力シート!A:B,2,FALSE)</f>
        <v>2-12</v>
      </c>
      <c r="C225" s="30" t="str">
        <f>VLOOKUP(T_学生別進路[[#This Row],[学籍番号]],進路状況入力シート!A:C,3,FALSE)</f>
        <v>GURUNG YUG</v>
      </c>
      <c r="D225" s="30" t="str">
        <f>IF(AND(T_学生別進路[[#This Row],[進路確定]]="○",T_学生別進路[[#This Row],[進学希望フラグ]]=1),"○","")</f>
        <v>○</v>
      </c>
      <c r="E225" s="30" t="str">
        <f>_xlfn.IFNA(RIGHT(VLOOKUP(T_学生別進路[[#This Row],[学籍番号]]&amp;"○",進路状況入力シート!K:K,1,FALSE),1),"")</f>
        <v>○</v>
      </c>
      <c r="F225" s="30">
        <f>IF(T_学生別進路[[#This Row],[進学希望フラグ]]=0,"",IF(T_学生別進路[[#This Row],[進路確定]]="○",1,0))</f>
        <v>1</v>
      </c>
      <c r="G22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5" s="30" t="str">
        <f>_xlfn.XLOOKUP(T_学生別進路[[#This Row],[学籍番号]]&amp;"○",進路状況入力シート!K:K,進路状況入力シート!D:D,"",0,1)</f>
        <v>神戸親和大学</v>
      </c>
      <c r="I225" s="39" t="s">
        <v>626</v>
      </c>
      <c r="J225" s="31">
        <v>45962</v>
      </c>
      <c r="K225" s="30">
        <f>IF(T_学生別進路[[#This Row],[合格時期]]="",0,IF(T_学生別進路[[#This Row],[合格時期]]&lt;K$5,1,0))</f>
        <v>1</v>
      </c>
      <c r="L225" s="30">
        <f>IF(T_学生別進路[[#This Row],[合格時期]]="",0,IF(T_学生別進路[[#This Row],[合格時期]]&lt;L$5,1,0))</f>
        <v>1</v>
      </c>
      <c r="M225" s="30">
        <f>IF(T_学生別進路[[#This Row],[合格時期]]="",0,IF(T_学生別進路[[#This Row],[合格時期]]&lt;M$5,1,0))</f>
        <v>1</v>
      </c>
      <c r="N225" s="30">
        <f>IF(T_学生別進路[[#This Row],[合格時期]]="",0,IF(T_学生別進路[[#This Row],[合格時期]]&lt;N$5,1,0))</f>
        <v>1</v>
      </c>
      <c r="O225" s="30">
        <f>IF(T_学生別進路[[#This Row],[合格時期]]="",0,IF(T_学生別進路[[#This Row],[合格時期]]&lt;O$5,1,0))</f>
        <v>1</v>
      </c>
      <c r="P225" s="30"/>
      <c r="Q225" s="3"/>
      <c r="R225" s="3"/>
      <c r="S225" s="3"/>
      <c r="T225" s="3"/>
      <c r="U225" s="3"/>
    </row>
    <row r="226" spans="1:21" x14ac:dyDescent="0.15">
      <c r="A226" s="32">
        <v>2407076</v>
      </c>
      <c r="B226" s="30" t="str">
        <f>VLOOKUP(T_学生別進路[[#This Row],[学籍番号]],進路状況入力シート!A:B,2,FALSE)</f>
        <v>2-12</v>
      </c>
      <c r="C226" s="49" t="str">
        <f>VLOOKUP(T_学生別進路[[#This Row],[学籍番号]],進路状況入力シート!A:C,3,FALSE)</f>
        <v>RAI SUSMITA</v>
      </c>
      <c r="D226" s="30" t="str">
        <f>IF(AND(T_学生別進路[[#This Row],[進路確定]]="○",T_学生別進路[[#This Row],[進学希望フラグ]]=1),"○","")</f>
        <v/>
      </c>
      <c r="E226" s="30" t="str">
        <f>_xlfn.IFNA(RIGHT(VLOOKUP(T_学生別進路[[#This Row],[学籍番号]]&amp;"○",進路状況入力シート!K:K,1,FALSE),1),"")</f>
        <v/>
      </c>
      <c r="F226" s="30" t="str">
        <f>IF(T_学生別進路[[#This Row],[進学希望フラグ]]=0,"",IF(T_学生別進路[[#This Row],[進路確定]]="○",1,0))</f>
        <v/>
      </c>
      <c r="G22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26" s="30" t="str">
        <f>_xlfn.XLOOKUP(T_学生別進路[[#This Row],[学籍番号]]&amp;"○",進路状況入力シート!K:K,進路状況入力シート!D:D,"",0,1)</f>
        <v/>
      </c>
      <c r="I226" s="39"/>
      <c r="J226" s="31"/>
      <c r="K226" s="30">
        <f>IF(T_学生別進路[[#This Row],[合格時期]]="",0,IF(T_学生別進路[[#This Row],[合格時期]]&lt;K$5,1,0))</f>
        <v>0</v>
      </c>
      <c r="L226" s="30">
        <f>IF(T_学生別進路[[#This Row],[合格時期]]="",0,IF(T_学生別進路[[#This Row],[合格時期]]&lt;L$5,1,0))</f>
        <v>0</v>
      </c>
      <c r="M226" s="30">
        <f>IF(T_学生別進路[[#This Row],[合格時期]]="",0,IF(T_学生別進路[[#This Row],[合格時期]]&lt;M$5,1,0))</f>
        <v>0</v>
      </c>
      <c r="N226" s="30">
        <f>IF(T_学生別進路[[#This Row],[合格時期]]="",0,IF(T_学生別進路[[#This Row],[合格時期]]&lt;N$5,1,0))</f>
        <v>0</v>
      </c>
      <c r="O226" s="30">
        <f>IF(T_学生別進路[[#This Row],[合格時期]]="",0,IF(T_学生別進路[[#This Row],[合格時期]]&lt;O$5,1,0))</f>
        <v>0</v>
      </c>
      <c r="P226" s="30" t="s">
        <v>744</v>
      </c>
      <c r="Q226" s="3"/>
      <c r="R226" s="3"/>
      <c r="S226" s="3"/>
      <c r="T226" s="3"/>
      <c r="U226" s="3"/>
    </row>
    <row r="227" spans="1:21" hidden="1" x14ac:dyDescent="0.15">
      <c r="A227" s="32">
        <v>2404005</v>
      </c>
      <c r="B227" s="30" t="str">
        <f>VLOOKUP(T_学生別進路[[#This Row],[学籍番号]],進路状況入力シート!A:B,2,FALSE)</f>
        <v>2-13</v>
      </c>
      <c r="C227" s="30" t="str">
        <f>VLOOKUP(T_学生別進路[[#This Row],[学籍番号]],進路状況入力シート!A:C,3,FALSE)</f>
        <v>林 衛健</v>
      </c>
      <c r="D227" s="30" t="str">
        <f>IF(AND(T_学生別進路[[#This Row],[進路確定]]="○",T_学生別進路[[#This Row],[進学希望フラグ]]=1),"○","")</f>
        <v>○</v>
      </c>
      <c r="E227" s="30" t="str">
        <f>_xlfn.IFNA(RIGHT(VLOOKUP(T_学生別進路[[#This Row],[学籍番号]]&amp;"○",進路状況入力シート!K:K,1,FALSE),1),"")</f>
        <v>○</v>
      </c>
      <c r="F227" s="30">
        <f>IF(T_学生別進路[[#This Row],[進学希望フラグ]]=0,"",IF(T_学生別進路[[#This Row],[進路確定]]="○",1,0))</f>
        <v>1</v>
      </c>
      <c r="G22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27" s="30" t="str">
        <f>_xlfn.XLOOKUP(T_学生別進路[[#This Row],[学籍番号]]&amp;"○",進路状況入力シート!K:K,進路状況入力シート!D:D,"",0,1)</f>
        <v>大阪産業大学</v>
      </c>
      <c r="I227" s="30"/>
      <c r="J227" s="31">
        <v>46023</v>
      </c>
      <c r="K227" s="30">
        <f>IF(T_学生別進路[[#This Row],[合格時期]]="",0,IF(T_学生別進路[[#This Row],[合格時期]]&lt;K$5,1,0))</f>
        <v>0</v>
      </c>
      <c r="L227" s="30">
        <f>IF(T_学生別進路[[#This Row],[合格時期]]="",0,IF(T_学生別進路[[#This Row],[合格時期]]&lt;L$5,1,0))</f>
        <v>0</v>
      </c>
      <c r="M227" s="30">
        <f>IF(T_学生別進路[[#This Row],[合格時期]]="",0,IF(T_学生別進路[[#This Row],[合格時期]]&lt;M$5,1,0))</f>
        <v>1</v>
      </c>
      <c r="N227" s="30">
        <f>IF(T_学生別進路[[#This Row],[合格時期]]="",0,IF(T_学生別進路[[#This Row],[合格時期]]&lt;N$5,1,0))</f>
        <v>1</v>
      </c>
      <c r="O227" s="30">
        <f>IF(T_学生別進路[[#This Row],[合格時期]]="",0,IF(T_学生別進路[[#This Row],[合格時期]]&lt;O$5,1,0))</f>
        <v>1</v>
      </c>
      <c r="P227" s="30"/>
      <c r="Q227" s="3"/>
      <c r="R227" s="3"/>
      <c r="S227" s="3"/>
      <c r="T227" s="3"/>
      <c r="U227" s="3"/>
    </row>
    <row r="228" spans="1:21" x14ac:dyDescent="0.15">
      <c r="A228" s="32">
        <v>2404036</v>
      </c>
      <c r="B228" s="30" t="str">
        <f>VLOOKUP(T_学生別進路[[#This Row],[学籍番号]],進路状況入力シート!A:B,2,FALSE)</f>
        <v>2-13</v>
      </c>
      <c r="C228" s="49" t="str">
        <f>VLOOKUP(T_学生別進路[[#This Row],[学籍番号]],進路状況入力シート!A:C,3,FALSE)</f>
        <v>KAUNG WAI YAN</v>
      </c>
      <c r="D228" s="30" t="str">
        <f>IF(AND(T_学生別進路[[#This Row],[進路確定]]="○",T_学生別進路[[#This Row],[進学希望フラグ]]=1),"○","")</f>
        <v/>
      </c>
      <c r="E228" s="30" t="str">
        <f>_xlfn.IFNA(RIGHT(VLOOKUP(T_学生別進路[[#This Row],[学籍番号]]&amp;"○",進路状況入力シート!K:K,1,FALSE),1),"")</f>
        <v/>
      </c>
      <c r="F228" s="30" t="str">
        <f>IF(T_学生別進路[[#This Row],[進学希望フラグ]]=0,"",IF(T_学生別進路[[#This Row],[進路確定]]="○",1,0))</f>
        <v/>
      </c>
      <c r="G22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28" s="30" t="str">
        <f>_xlfn.XLOOKUP(T_学生別進路[[#This Row],[学籍番号]]&amp;"○",進路状況入力シート!K:K,進路状況入力シート!D:D,"",0,1)</f>
        <v/>
      </c>
      <c r="I228" s="39"/>
      <c r="J228" s="31"/>
      <c r="K228" s="30">
        <f>IF(T_学生別進路[[#This Row],[合格時期]]="",0,IF(T_学生別進路[[#This Row],[合格時期]]&lt;K$5,1,0))</f>
        <v>0</v>
      </c>
      <c r="L228" s="30">
        <f>IF(T_学生別進路[[#This Row],[合格時期]]="",0,IF(T_学生別進路[[#This Row],[合格時期]]&lt;L$5,1,0))</f>
        <v>0</v>
      </c>
      <c r="M228" s="30">
        <f>IF(T_学生別進路[[#This Row],[合格時期]]="",0,IF(T_学生別進路[[#This Row],[合格時期]]&lt;M$5,1,0))</f>
        <v>0</v>
      </c>
      <c r="N228" s="30">
        <f>IF(T_学生別進路[[#This Row],[合格時期]]="",0,IF(T_学生別進路[[#This Row],[合格時期]]&lt;N$5,1,0))</f>
        <v>0</v>
      </c>
      <c r="O228" s="30">
        <f>IF(T_学生別進路[[#This Row],[合格時期]]="",0,IF(T_学生別進路[[#This Row],[合格時期]]&lt;O$5,1,0))</f>
        <v>0</v>
      </c>
      <c r="P228" s="30" t="s">
        <v>745</v>
      </c>
      <c r="Q228" s="3"/>
      <c r="R228" s="3"/>
      <c r="S228" s="3"/>
      <c r="T228" s="3"/>
      <c r="U228" s="3"/>
    </row>
    <row r="229" spans="1:21" x14ac:dyDescent="0.15">
      <c r="A229" s="32">
        <v>2404041</v>
      </c>
      <c r="B229" s="30" t="str">
        <f>VLOOKUP(T_学生別進路[[#This Row],[学籍番号]],進路状況入力シート!A:B,2,FALSE)</f>
        <v>2-13</v>
      </c>
      <c r="C229" s="49" t="str">
        <f>VLOOKUP(T_学生別進路[[#This Row],[学籍番号]],進路状況入力シート!A:C,3,FALSE)</f>
        <v>SAI KAUNG KHANT AUNG</v>
      </c>
      <c r="D229" s="30" t="str">
        <f>IF(AND(T_学生別進路[[#This Row],[進路確定]]="○",T_学生別進路[[#This Row],[進学希望フラグ]]=1),"○","")</f>
        <v/>
      </c>
      <c r="E229" s="30" t="str">
        <f>_xlfn.IFNA(RIGHT(VLOOKUP(T_学生別進路[[#This Row],[学籍番号]]&amp;"○",進路状況入力シート!K:K,1,FALSE),1),"")</f>
        <v/>
      </c>
      <c r="F229" s="30" t="str">
        <f>IF(T_学生別進路[[#This Row],[進学希望フラグ]]=0,"",IF(T_学生別進路[[#This Row],[進路確定]]="○",1,0))</f>
        <v/>
      </c>
      <c r="G22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29" s="30" t="str">
        <f>_xlfn.XLOOKUP(T_学生別進路[[#This Row],[学籍番号]]&amp;"○",進路状況入力シート!K:K,進路状況入力シート!D:D,"",0,1)</f>
        <v/>
      </c>
      <c r="I229" s="39" t="s">
        <v>627</v>
      </c>
      <c r="J229" s="31"/>
      <c r="K229" s="30">
        <f>IF(T_学生別進路[[#This Row],[合格時期]]="",0,IF(T_学生別進路[[#This Row],[合格時期]]&lt;K$5,1,0))</f>
        <v>0</v>
      </c>
      <c r="L229" s="30">
        <f>IF(T_学生別進路[[#This Row],[合格時期]]="",0,IF(T_学生別進路[[#This Row],[合格時期]]&lt;L$5,1,0))</f>
        <v>0</v>
      </c>
      <c r="M229" s="30">
        <f>IF(T_学生別進路[[#This Row],[合格時期]]="",0,IF(T_学生別進路[[#This Row],[合格時期]]&lt;M$5,1,0))</f>
        <v>0</v>
      </c>
      <c r="N229" s="30">
        <f>IF(T_学生別進路[[#This Row],[合格時期]]="",0,IF(T_学生別進路[[#This Row],[合格時期]]&lt;N$5,1,0))</f>
        <v>0</v>
      </c>
      <c r="O229" s="30">
        <f>IF(T_学生別進路[[#This Row],[合格時期]]="",0,IF(T_学生別進路[[#This Row],[合格時期]]&lt;O$5,1,0))</f>
        <v>0</v>
      </c>
      <c r="P229" s="30" t="s">
        <v>746</v>
      </c>
      <c r="Q229" s="3"/>
      <c r="R229" s="3"/>
      <c r="S229" s="3"/>
      <c r="T229" s="3"/>
      <c r="U229" s="3"/>
    </row>
    <row r="230" spans="1:21" hidden="1" x14ac:dyDescent="0.15">
      <c r="A230" s="32">
        <v>2404055</v>
      </c>
      <c r="B230" s="30" t="str">
        <f>VLOOKUP(T_学生別進路[[#This Row],[学籍番号]],進路状況入力シート!A:B,2,FALSE)</f>
        <v>2-13</v>
      </c>
      <c r="C230" s="42" t="str">
        <f>VLOOKUP(T_学生別進路[[#This Row],[学籍番号]],進路状況入力シート!A:C,3,FALSE)</f>
        <v>HAN ZIN PHYO</v>
      </c>
      <c r="D230" s="30" t="str">
        <f>IF(AND(T_学生別進路[[#This Row],[進路確定]]="○",T_学生別進路[[#This Row],[進学希望フラグ]]=1),"○","")</f>
        <v/>
      </c>
      <c r="E230" s="30" t="str">
        <f>_xlfn.IFNA(RIGHT(VLOOKUP(T_学生別進路[[#This Row],[学籍番号]]&amp;"○",進路状況入力シート!K:K,1,FALSE),1),"")</f>
        <v>○</v>
      </c>
      <c r="F230" s="30" t="str">
        <f>IF(T_学生別進路[[#This Row],[進学希望フラグ]]=0,"",IF(T_学生別進路[[#This Row],[進路確定]]="○",1,0))</f>
        <v/>
      </c>
      <c r="G23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30" s="30">
        <f>_xlfn.XLOOKUP(T_学生別進路[[#This Row],[学籍番号]]&amp;"○",進路状況入力シート!K:K,進路状況入力シート!D:D,"",0,1)</f>
        <v>0</v>
      </c>
      <c r="I230" s="39"/>
      <c r="J230" s="31"/>
      <c r="K230" s="30">
        <f>IF(T_学生別進路[[#This Row],[合格時期]]="",0,IF(T_学生別進路[[#This Row],[合格時期]]&lt;K$5,1,0))</f>
        <v>0</v>
      </c>
      <c r="L230" s="30">
        <f>IF(T_学生別進路[[#This Row],[合格時期]]="",0,IF(T_学生別進路[[#This Row],[合格時期]]&lt;L$5,1,0))</f>
        <v>0</v>
      </c>
      <c r="M230" s="30">
        <f>IF(T_学生別進路[[#This Row],[合格時期]]="",0,IF(T_学生別進路[[#This Row],[合格時期]]&lt;M$5,1,0))</f>
        <v>0</v>
      </c>
      <c r="N230" s="30">
        <f>IF(T_学生別進路[[#This Row],[合格時期]]="",0,IF(T_学生別進路[[#This Row],[合格時期]]&lt;N$5,1,0))</f>
        <v>0</v>
      </c>
      <c r="O230" s="30">
        <f>IF(T_学生別進路[[#This Row],[合格時期]]="",0,IF(T_学生別進路[[#This Row],[合格時期]]&lt;O$5,1,0))</f>
        <v>0</v>
      </c>
      <c r="P230" s="30" t="s">
        <v>738</v>
      </c>
      <c r="Q230" s="3"/>
      <c r="R230" s="3"/>
      <c r="S230" s="3"/>
      <c r="T230" s="3"/>
      <c r="U230" s="3"/>
    </row>
    <row r="231" spans="1:21" hidden="1" x14ac:dyDescent="0.15">
      <c r="A231" s="32">
        <v>2404066</v>
      </c>
      <c r="B231" s="30" t="str">
        <f>VLOOKUP(T_学生別進路[[#This Row],[学籍番号]],進路状況入力シート!A:B,2,FALSE)</f>
        <v>2-13</v>
      </c>
      <c r="C231" s="30" t="str">
        <f>VLOOKUP(T_学生別進路[[#This Row],[学籍番号]],進路状況入力シート!A:C,3,FALSE)</f>
        <v>SIFAT</v>
      </c>
      <c r="D231" s="30" t="str">
        <f>IF(AND(T_学生別進路[[#This Row],[進路確定]]="○",T_学生別進路[[#This Row],[進学希望フラグ]]=1),"○","")</f>
        <v>○</v>
      </c>
      <c r="E231" s="30" t="str">
        <f>_xlfn.IFNA(RIGHT(VLOOKUP(T_学生別進路[[#This Row],[学籍番号]]&amp;"○",進路状況入力シート!K:K,1,FALSE),1),"")</f>
        <v>○</v>
      </c>
      <c r="F231" s="30">
        <f>IF(T_学生別進路[[#This Row],[進学希望フラグ]]=0,"",IF(T_学生別進路[[#This Row],[進路確定]]="○",1,0))</f>
        <v>1</v>
      </c>
      <c r="G23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1" s="30" t="str">
        <f>_xlfn.XLOOKUP(T_学生別進路[[#This Row],[学籍番号]]&amp;"○",進路状況入力シート!K:K,進路状況入力シート!D:D,"",0,1)</f>
        <v>東京国際ビジネスカレッジ神戸校</v>
      </c>
      <c r="I231" s="30"/>
      <c r="J231" s="31">
        <v>45901</v>
      </c>
      <c r="K231" s="30">
        <f>IF(T_学生別進路[[#This Row],[合格時期]]="",0,IF(T_学生別進路[[#This Row],[合格時期]]&lt;K$5,1,0))</f>
        <v>1</v>
      </c>
      <c r="L231" s="30">
        <f>IF(T_学生別進路[[#This Row],[合格時期]]="",0,IF(T_学生別進路[[#This Row],[合格時期]]&lt;L$5,1,0))</f>
        <v>1</v>
      </c>
      <c r="M231" s="30">
        <f>IF(T_学生別進路[[#This Row],[合格時期]]="",0,IF(T_学生別進路[[#This Row],[合格時期]]&lt;M$5,1,0))</f>
        <v>1</v>
      </c>
      <c r="N231" s="30">
        <f>IF(T_学生別進路[[#This Row],[合格時期]]="",0,IF(T_学生別進路[[#This Row],[合格時期]]&lt;N$5,1,0))</f>
        <v>1</v>
      </c>
      <c r="O231" s="30">
        <f>IF(T_学生別進路[[#This Row],[合格時期]]="",0,IF(T_学生別進路[[#This Row],[合格時期]]&lt;O$5,1,0))</f>
        <v>1</v>
      </c>
      <c r="P231" s="30"/>
      <c r="Q231" s="3"/>
      <c r="R231" s="3"/>
      <c r="S231" s="3"/>
      <c r="T231" s="3"/>
      <c r="U231" s="3"/>
    </row>
    <row r="232" spans="1:21" hidden="1" x14ac:dyDescent="0.15">
      <c r="A232" s="32">
        <v>2404071</v>
      </c>
      <c r="B232" s="30" t="str">
        <f>VLOOKUP(T_学生別進路[[#This Row],[学籍番号]],進路状況入力シート!A:B,2,FALSE)</f>
        <v>2-13</v>
      </c>
      <c r="C232" s="30" t="str">
        <f>VLOOKUP(T_学生別進路[[#This Row],[学籍番号]],進路状況入力シート!A:C,3,FALSE)</f>
        <v>RAIHAN INTISHAR BIN</v>
      </c>
      <c r="D232" s="30" t="str">
        <f>IF(AND(T_学生別進路[[#This Row],[進路確定]]="○",T_学生別進路[[#This Row],[進学希望フラグ]]=1),"○","")</f>
        <v>○</v>
      </c>
      <c r="E232" s="30" t="str">
        <f>_xlfn.IFNA(RIGHT(VLOOKUP(T_学生別進路[[#This Row],[学籍番号]]&amp;"○",進路状況入力シート!K:K,1,FALSE),1),"")</f>
        <v>○</v>
      </c>
      <c r="F232" s="30">
        <f>IF(T_学生別進路[[#This Row],[進学希望フラグ]]=0,"",IF(T_学生別進路[[#This Row],[進路確定]]="○",1,0))</f>
        <v>1</v>
      </c>
      <c r="G23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2" s="30" t="str">
        <f>_xlfn.XLOOKUP(T_学生別進路[[#This Row],[学籍番号]]&amp;"○",進路状況入力シート!K:K,進路状況入力シート!D:D,"",0,1)</f>
        <v>兵庫大学</v>
      </c>
      <c r="I232" s="30"/>
      <c r="J232" s="31">
        <v>45962</v>
      </c>
      <c r="K232" s="30">
        <f>IF(T_学生別進路[[#This Row],[合格時期]]="",0,IF(T_学生別進路[[#This Row],[合格時期]]&lt;K$5,1,0))</f>
        <v>1</v>
      </c>
      <c r="L232" s="30">
        <f>IF(T_学生別進路[[#This Row],[合格時期]]="",0,IF(T_学生別進路[[#This Row],[合格時期]]&lt;L$5,1,0))</f>
        <v>1</v>
      </c>
      <c r="M232" s="30">
        <f>IF(T_学生別進路[[#This Row],[合格時期]]="",0,IF(T_学生別進路[[#This Row],[合格時期]]&lt;M$5,1,0))</f>
        <v>1</v>
      </c>
      <c r="N232" s="30">
        <f>IF(T_学生別進路[[#This Row],[合格時期]]="",0,IF(T_学生別進路[[#This Row],[合格時期]]&lt;N$5,1,0))</f>
        <v>1</v>
      </c>
      <c r="O232" s="30">
        <f>IF(T_学生別進路[[#This Row],[合格時期]]="",0,IF(T_学生別進路[[#This Row],[合格時期]]&lt;O$5,1,0))</f>
        <v>1</v>
      </c>
      <c r="P232" s="30"/>
      <c r="Q232" s="3"/>
      <c r="R232" s="3"/>
      <c r="S232" s="3"/>
      <c r="T232" s="3"/>
      <c r="U232" s="3"/>
    </row>
    <row r="233" spans="1:21" hidden="1" x14ac:dyDescent="0.15">
      <c r="A233" s="32">
        <v>2404072</v>
      </c>
      <c r="B233" s="30" t="str">
        <f>VLOOKUP(T_学生別進路[[#This Row],[学籍番号]],進路状況入力シート!A:B,2,FALSE)</f>
        <v>2-13</v>
      </c>
      <c r="C233" s="30" t="str">
        <f>VLOOKUP(T_学生別進路[[#This Row],[学籍番号]],進路状況入力シート!A:C,3,FALSE)</f>
        <v>FAHAD TAZNUR AHAMED</v>
      </c>
      <c r="D233" s="30" t="str">
        <f>IF(AND(T_学生別進路[[#This Row],[進路確定]]="○",T_学生別進路[[#This Row],[進学希望フラグ]]=1),"○","")</f>
        <v>○</v>
      </c>
      <c r="E233" s="30" t="str">
        <f>_xlfn.IFNA(RIGHT(VLOOKUP(T_学生別進路[[#This Row],[学籍番号]]&amp;"○",進路状況入力シート!K:K,1,FALSE),1),"")</f>
        <v>○</v>
      </c>
      <c r="F233" s="30">
        <f>IF(T_学生別進路[[#This Row],[進学希望フラグ]]=0,"",IF(T_学生別進路[[#This Row],[進路確定]]="○",1,0))</f>
        <v>1</v>
      </c>
      <c r="G23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3" s="30" t="str">
        <f>_xlfn.XLOOKUP(T_学生別進路[[#This Row],[学籍番号]]&amp;"○",進路状況入力シート!K:K,進路状況入力シート!D:D,"",0,1)</f>
        <v>新潟国際自動車大学校</v>
      </c>
      <c r="I233" s="30"/>
      <c r="J233" s="31">
        <v>45839</v>
      </c>
      <c r="K233" s="30">
        <f>IF(T_学生別進路[[#This Row],[合格時期]]="",0,IF(T_学生別進路[[#This Row],[合格時期]]&lt;K$5,1,0))</f>
        <v>1</v>
      </c>
      <c r="L233" s="30">
        <f>IF(T_学生別進路[[#This Row],[合格時期]]="",0,IF(T_学生別進路[[#This Row],[合格時期]]&lt;L$5,1,0))</f>
        <v>1</v>
      </c>
      <c r="M233" s="30">
        <f>IF(T_学生別進路[[#This Row],[合格時期]]="",0,IF(T_学生別進路[[#This Row],[合格時期]]&lt;M$5,1,0))</f>
        <v>1</v>
      </c>
      <c r="N233" s="30">
        <f>IF(T_学生別進路[[#This Row],[合格時期]]="",0,IF(T_学生別進路[[#This Row],[合格時期]]&lt;N$5,1,0))</f>
        <v>1</v>
      </c>
      <c r="O233" s="30">
        <f>IF(T_学生別進路[[#This Row],[合格時期]]="",0,IF(T_学生別進路[[#This Row],[合格時期]]&lt;O$5,1,0))</f>
        <v>1</v>
      </c>
      <c r="P233" s="30"/>
      <c r="Q233" s="3"/>
      <c r="R233" s="3"/>
      <c r="S233" s="3"/>
      <c r="T233" s="3"/>
      <c r="U233" s="3"/>
    </row>
    <row r="234" spans="1:21" hidden="1" x14ac:dyDescent="0.15">
      <c r="A234" s="32">
        <v>2404079</v>
      </c>
      <c r="B234" s="30" t="str">
        <f>VLOOKUP(T_学生別進路[[#This Row],[学籍番号]],進路状況入力シート!A:B,2,FALSE)</f>
        <v>2-13</v>
      </c>
      <c r="C234" s="30" t="str">
        <f>VLOOKUP(T_学生別進路[[#This Row],[学籍番号]],進路状況入力シート!A:C,3,FALSE)</f>
        <v>JESMIN AKTER</v>
      </c>
      <c r="D234" s="30" t="str">
        <f>IF(AND(T_学生別進路[[#This Row],[進路確定]]="○",T_学生別進路[[#This Row],[進学希望フラグ]]=1),"○","")</f>
        <v>○</v>
      </c>
      <c r="E234" s="30" t="str">
        <f>_xlfn.IFNA(RIGHT(VLOOKUP(T_学生別進路[[#This Row],[学籍番号]]&amp;"○",進路状況入力シート!K:K,1,FALSE),1),"")</f>
        <v>○</v>
      </c>
      <c r="F234" s="30">
        <f>IF(T_学生別進路[[#This Row],[進学希望フラグ]]=0,"",IF(T_学生別進路[[#This Row],[進路確定]]="○",1,0))</f>
        <v>1</v>
      </c>
      <c r="G23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4" s="30" t="str">
        <f>_xlfn.XLOOKUP(T_学生別進路[[#This Row],[学籍番号]]&amp;"○",進路状況入力シート!K:K,進路状況入力シート!D:D,"",0,1)</f>
        <v>中央情報専門学校</v>
      </c>
      <c r="I234" s="30"/>
      <c r="J234" s="31">
        <v>45870</v>
      </c>
      <c r="K234" s="30">
        <f>IF(T_学生別進路[[#This Row],[合格時期]]="",0,IF(T_学生別進路[[#This Row],[合格時期]]&lt;K$5,1,0))</f>
        <v>1</v>
      </c>
      <c r="L234" s="30">
        <f>IF(T_学生別進路[[#This Row],[合格時期]]="",0,IF(T_学生別進路[[#This Row],[合格時期]]&lt;L$5,1,0))</f>
        <v>1</v>
      </c>
      <c r="M234" s="30">
        <f>IF(T_学生別進路[[#This Row],[合格時期]]="",0,IF(T_学生別進路[[#This Row],[合格時期]]&lt;M$5,1,0))</f>
        <v>1</v>
      </c>
      <c r="N234" s="30">
        <f>IF(T_学生別進路[[#This Row],[合格時期]]="",0,IF(T_学生別進路[[#This Row],[合格時期]]&lt;N$5,1,0))</f>
        <v>1</v>
      </c>
      <c r="O234" s="30">
        <f>IF(T_学生別進路[[#This Row],[合格時期]]="",0,IF(T_学生別進路[[#This Row],[合格時期]]&lt;O$5,1,0))</f>
        <v>1</v>
      </c>
      <c r="P234" s="30"/>
      <c r="Q234" s="3"/>
      <c r="R234" s="3"/>
      <c r="S234" s="3"/>
      <c r="T234" s="3"/>
      <c r="U234" s="3"/>
    </row>
    <row r="235" spans="1:21" hidden="1" x14ac:dyDescent="0.15">
      <c r="A235" s="32">
        <v>2404101</v>
      </c>
      <c r="B235" s="30" t="str">
        <f>VLOOKUP(T_学生別進路[[#This Row],[学籍番号]],進路状況入力シート!A:B,2,FALSE)</f>
        <v>2-13</v>
      </c>
      <c r="C235" s="30" t="str">
        <f>VLOOKUP(T_学生別進路[[#This Row],[学籍番号]],進路状況入力シート!A:C,3,FALSE)</f>
        <v>SAEM MD</v>
      </c>
      <c r="D235" s="30" t="str">
        <f>IF(AND(T_学生別進路[[#This Row],[進路確定]]="○",T_学生別進路[[#This Row],[進学希望フラグ]]=1),"○","")</f>
        <v>○</v>
      </c>
      <c r="E235" s="30" t="str">
        <f>_xlfn.IFNA(RIGHT(VLOOKUP(T_学生別進路[[#This Row],[学籍番号]]&amp;"○",進路状況入力シート!K:K,1,FALSE),1),"")</f>
        <v>○</v>
      </c>
      <c r="F235" s="30">
        <f>IF(T_学生別進路[[#This Row],[進学希望フラグ]]=0,"",IF(T_学生別進路[[#This Row],[進路確定]]="○",1,0))</f>
        <v>1</v>
      </c>
      <c r="G23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5" s="30" t="str">
        <f>_xlfn.XLOOKUP(T_学生別進路[[#This Row],[学籍番号]]&amp;"○",進路状況入力シート!K:K,進路状況入力シート!D:D,"",0,1)</f>
        <v>新潟国際自動車大学校</v>
      </c>
      <c r="I235" s="30"/>
      <c r="J235" s="31">
        <v>45901</v>
      </c>
      <c r="K235" s="30">
        <f>IF(T_学生別進路[[#This Row],[合格時期]]="",0,IF(T_学生別進路[[#This Row],[合格時期]]&lt;K$5,1,0))</f>
        <v>1</v>
      </c>
      <c r="L235" s="30">
        <f>IF(T_学生別進路[[#This Row],[合格時期]]="",0,IF(T_学生別進路[[#This Row],[合格時期]]&lt;L$5,1,0))</f>
        <v>1</v>
      </c>
      <c r="M235" s="30">
        <f>IF(T_学生別進路[[#This Row],[合格時期]]="",0,IF(T_学生別進路[[#This Row],[合格時期]]&lt;M$5,1,0))</f>
        <v>1</v>
      </c>
      <c r="N235" s="30">
        <f>IF(T_学生別進路[[#This Row],[合格時期]]="",0,IF(T_学生別進路[[#This Row],[合格時期]]&lt;N$5,1,0))</f>
        <v>1</v>
      </c>
      <c r="O235" s="30">
        <f>IF(T_学生別進路[[#This Row],[合格時期]]="",0,IF(T_学生別進路[[#This Row],[合格時期]]&lt;O$5,1,0))</f>
        <v>1</v>
      </c>
      <c r="P235" s="30"/>
      <c r="Q235" s="3"/>
      <c r="R235" s="3"/>
      <c r="S235" s="3"/>
      <c r="T235" s="3"/>
      <c r="U235" s="3"/>
    </row>
    <row r="236" spans="1:21" hidden="1" x14ac:dyDescent="0.15">
      <c r="A236" s="32">
        <v>2404135</v>
      </c>
      <c r="B236" s="30" t="str">
        <f>VLOOKUP(T_学生別進路[[#This Row],[学籍番号]],進路状況入力シート!A:B,2,FALSE)</f>
        <v>2-13</v>
      </c>
      <c r="C236" s="30" t="str">
        <f>VLOOKUP(T_学生別進路[[#This Row],[学籍番号]],進路状況入力シート!A:C,3,FALSE)</f>
        <v>ROSHAN GAUTAM</v>
      </c>
      <c r="D236" s="30" t="str">
        <f>IF(AND(T_学生別進路[[#This Row],[進路確定]]="○",T_学生別進路[[#This Row],[進学希望フラグ]]=1),"○","")</f>
        <v>○</v>
      </c>
      <c r="E236" s="30" t="str">
        <f>_xlfn.IFNA(RIGHT(VLOOKUP(T_学生別進路[[#This Row],[学籍番号]]&amp;"○",進路状況入力シート!K:K,1,FALSE),1),"")</f>
        <v>○</v>
      </c>
      <c r="F236" s="30">
        <f>IF(T_学生別進路[[#This Row],[進学希望フラグ]]=0,"",IF(T_学生別進路[[#This Row],[進路確定]]="○",1,0))</f>
        <v>1</v>
      </c>
      <c r="G23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6" s="30" t="str">
        <f>_xlfn.XLOOKUP(T_学生別進路[[#This Row],[学籍番号]]&amp;"○",進路状況入力シート!K:K,進路状況入力シート!D:D,"",0,1)</f>
        <v>中央美術学園</v>
      </c>
      <c r="I236" s="30"/>
      <c r="J236" s="31">
        <v>45870</v>
      </c>
      <c r="K236" s="30">
        <f>IF(T_学生別進路[[#This Row],[合格時期]]="",0,IF(T_学生別進路[[#This Row],[合格時期]]&lt;K$5,1,0))</f>
        <v>1</v>
      </c>
      <c r="L236" s="30">
        <f>IF(T_学生別進路[[#This Row],[合格時期]]="",0,IF(T_学生別進路[[#This Row],[合格時期]]&lt;L$5,1,0))</f>
        <v>1</v>
      </c>
      <c r="M236" s="30">
        <f>IF(T_学生別進路[[#This Row],[合格時期]]="",0,IF(T_学生別進路[[#This Row],[合格時期]]&lt;M$5,1,0))</f>
        <v>1</v>
      </c>
      <c r="N236" s="30">
        <f>IF(T_学生別進路[[#This Row],[合格時期]]="",0,IF(T_学生別進路[[#This Row],[合格時期]]&lt;N$5,1,0))</f>
        <v>1</v>
      </c>
      <c r="O236" s="30">
        <f>IF(T_学生別進路[[#This Row],[合格時期]]="",0,IF(T_学生別進路[[#This Row],[合格時期]]&lt;O$5,1,0))</f>
        <v>1</v>
      </c>
      <c r="P236" s="30"/>
      <c r="Q236" s="3"/>
      <c r="R236" s="3"/>
      <c r="S236" s="3"/>
      <c r="T236" s="3"/>
      <c r="U236" s="3"/>
    </row>
    <row r="237" spans="1:21" hidden="1" x14ac:dyDescent="0.15">
      <c r="A237" s="32">
        <v>2404147</v>
      </c>
      <c r="B237" s="30" t="str">
        <f>VLOOKUP(T_学生別進路[[#This Row],[学籍番号]],進路状況入力シート!A:B,2,FALSE)</f>
        <v>2-13</v>
      </c>
      <c r="C237" s="30" t="str">
        <f>VLOOKUP(T_学生別進路[[#This Row],[学籍番号]],進路状況入力シート!A:C,3,FALSE)</f>
        <v>TARA KUMARI BOHARA</v>
      </c>
      <c r="D237" s="30" t="str">
        <f>IF(AND(T_学生別進路[[#This Row],[進路確定]]="○",T_学生別進路[[#This Row],[進学希望フラグ]]=1),"○","")</f>
        <v>○</v>
      </c>
      <c r="E237" s="30" t="str">
        <f>_xlfn.IFNA(RIGHT(VLOOKUP(T_学生別進路[[#This Row],[学籍番号]]&amp;"○",進路状況入力シート!K:K,1,FALSE),1),"")</f>
        <v>○</v>
      </c>
      <c r="F237" s="30">
        <f>IF(T_学生別進路[[#This Row],[進学希望フラグ]]=0,"",IF(T_学生別進路[[#This Row],[進路確定]]="○",1,0))</f>
        <v>1</v>
      </c>
      <c r="G237"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7" s="30" t="str">
        <f>_xlfn.XLOOKUP(T_学生別進路[[#This Row],[学籍番号]]&amp;"○",進路状況入力シート!K:K,進路状況入力シート!D:D,"",0,1)</f>
        <v>専門学校アートカレッジ神戸</v>
      </c>
      <c r="I237" s="30"/>
      <c r="J237" s="31">
        <v>45870</v>
      </c>
      <c r="K237" s="30">
        <f>IF(T_学生別進路[[#This Row],[合格時期]]="",0,IF(T_学生別進路[[#This Row],[合格時期]]&lt;K$5,1,0))</f>
        <v>1</v>
      </c>
      <c r="L237" s="30">
        <f>IF(T_学生別進路[[#This Row],[合格時期]]="",0,IF(T_学生別進路[[#This Row],[合格時期]]&lt;L$5,1,0))</f>
        <v>1</v>
      </c>
      <c r="M237" s="30">
        <f>IF(T_学生別進路[[#This Row],[合格時期]]="",0,IF(T_学生別進路[[#This Row],[合格時期]]&lt;M$5,1,0))</f>
        <v>1</v>
      </c>
      <c r="N237" s="30">
        <f>IF(T_学生別進路[[#This Row],[合格時期]]="",0,IF(T_学生別進路[[#This Row],[合格時期]]&lt;N$5,1,0))</f>
        <v>1</v>
      </c>
      <c r="O237" s="30">
        <f>IF(T_学生別進路[[#This Row],[合格時期]]="",0,IF(T_学生別進路[[#This Row],[合格時期]]&lt;O$5,1,0))</f>
        <v>1</v>
      </c>
      <c r="P237" s="30"/>
      <c r="Q237" s="3"/>
      <c r="R237" s="3"/>
      <c r="S237" s="3"/>
      <c r="T237" s="3"/>
      <c r="U237" s="3"/>
    </row>
    <row r="238" spans="1:21" hidden="1" x14ac:dyDescent="0.15">
      <c r="A238" s="32">
        <v>2404161</v>
      </c>
      <c r="B238" s="30" t="str">
        <f>VLOOKUP(T_学生別進路[[#This Row],[学籍番号]],進路状況入力シート!A:B,2,FALSE)</f>
        <v>2-13</v>
      </c>
      <c r="C238" s="30" t="str">
        <f>VLOOKUP(T_学生別進路[[#This Row],[学籍番号]],進路状況入力シート!A:C,3,FALSE)</f>
        <v>SHRESTHA ROJINA</v>
      </c>
      <c r="D238" s="30" t="str">
        <f>IF(AND(T_学生別進路[[#This Row],[進路確定]]="○",T_学生別進路[[#This Row],[進学希望フラグ]]=1),"○","")</f>
        <v>○</v>
      </c>
      <c r="E238" s="30" t="str">
        <f>_xlfn.IFNA(RIGHT(VLOOKUP(T_学生別進路[[#This Row],[学籍番号]]&amp;"○",進路状況入力シート!K:K,1,FALSE),1),"")</f>
        <v>○</v>
      </c>
      <c r="F238" s="30">
        <f>IF(T_学生別進路[[#This Row],[進学希望フラグ]]=0,"",IF(T_学生別進路[[#This Row],[進路確定]]="○",1,0))</f>
        <v>1</v>
      </c>
      <c r="G238"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8" s="30" t="str">
        <f>_xlfn.XLOOKUP(T_学生別進路[[#This Row],[学籍番号]]&amp;"○",進路状況入力シート!K:K,進路状況入力シート!D:D,"",0,1)</f>
        <v>専門学校アートカレッジ神戸</v>
      </c>
      <c r="I238" s="30"/>
      <c r="J238" s="31">
        <v>45839</v>
      </c>
      <c r="K238" s="30">
        <f>IF(T_学生別進路[[#This Row],[合格時期]]="",0,IF(T_学生別進路[[#This Row],[合格時期]]&lt;K$5,1,0))</f>
        <v>1</v>
      </c>
      <c r="L238" s="30">
        <f>IF(T_学生別進路[[#This Row],[合格時期]]="",0,IF(T_学生別進路[[#This Row],[合格時期]]&lt;L$5,1,0))</f>
        <v>1</v>
      </c>
      <c r="M238" s="30">
        <f>IF(T_学生別進路[[#This Row],[合格時期]]="",0,IF(T_学生別進路[[#This Row],[合格時期]]&lt;M$5,1,0))</f>
        <v>1</v>
      </c>
      <c r="N238" s="30">
        <f>IF(T_学生別進路[[#This Row],[合格時期]]="",0,IF(T_学生別進路[[#This Row],[合格時期]]&lt;N$5,1,0))</f>
        <v>1</v>
      </c>
      <c r="O238" s="30">
        <f>IF(T_学生別進路[[#This Row],[合格時期]]="",0,IF(T_学生別進路[[#This Row],[合格時期]]&lt;O$5,1,0))</f>
        <v>1</v>
      </c>
      <c r="P238" s="30"/>
      <c r="Q238" s="3"/>
      <c r="R238" s="3"/>
      <c r="S238" s="3"/>
      <c r="T238" s="3"/>
      <c r="U238" s="3"/>
    </row>
    <row r="239" spans="1:21" hidden="1" x14ac:dyDescent="0.15">
      <c r="A239" s="32">
        <v>2404167</v>
      </c>
      <c r="B239" s="30" t="str">
        <f>VLOOKUP(T_学生別進路[[#This Row],[学籍番号]],進路状況入力シート!A:B,2,FALSE)</f>
        <v>2-13</v>
      </c>
      <c r="C239" s="30" t="str">
        <f>VLOOKUP(T_学生別進路[[#This Row],[学籍番号]],進路状況入力シート!A:C,3,FALSE)</f>
        <v>ANUSHA PURI</v>
      </c>
      <c r="D239" s="30" t="str">
        <f>IF(AND(T_学生別進路[[#This Row],[進路確定]]="○",T_学生別進路[[#This Row],[進学希望フラグ]]=1),"○","")</f>
        <v>○</v>
      </c>
      <c r="E239" s="30" t="str">
        <f>_xlfn.IFNA(RIGHT(VLOOKUP(T_学生別進路[[#This Row],[学籍番号]]&amp;"○",進路状況入力シート!K:K,1,FALSE),1),"")</f>
        <v>○</v>
      </c>
      <c r="F239" s="30">
        <f>IF(T_学生別進路[[#This Row],[進学希望フラグ]]=0,"",IF(T_学生別進路[[#This Row],[進路確定]]="○",1,0))</f>
        <v>1</v>
      </c>
      <c r="G239"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39" s="30" t="str">
        <f>_xlfn.XLOOKUP(T_学生別進路[[#This Row],[学籍番号]]&amp;"○",進路状況入力シート!K:K,進路状況入力シート!D:D,"",0,1)</f>
        <v>中央美術学園</v>
      </c>
      <c r="I239" s="30"/>
      <c r="J239" s="31">
        <v>45870</v>
      </c>
      <c r="K239" s="30">
        <f>IF(T_学生別進路[[#This Row],[合格時期]]="",0,IF(T_学生別進路[[#This Row],[合格時期]]&lt;K$5,1,0))</f>
        <v>1</v>
      </c>
      <c r="L239" s="30">
        <f>IF(T_学生別進路[[#This Row],[合格時期]]="",0,IF(T_学生別進路[[#This Row],[合格時期]]&lt;L$5,1,0))</f>
        <v>1</v>
      </c>
      <c r="M239" s="30">
        <f>IF(T_学生別進路[[#This Row],[合格時期]]="",0,IF(T_学生別進路[[#This Row],[合格時期]]&lt;M$5,1,0))</f>
        <v>1</v>
      </c>
      <c r="N239" s="30">
        <f>IF(T_学生別進路[[#This Row],[合格時期]]="",0,IF(T_学生別進路[[#This Row],[合格時期]]&lt;N$5,1,0))</f>
        <v>1</v>
      </c>
      <c r="O239" s="30">
        <f>IF(T_学生別進路[[#This Row],[合格時期]]="",0,IF(T_学生別進路[[#This Row],[合格時期]]&lt;O$5,1,0))</f>
        <v>1</v>
      </c>
      <c r="P239" s="30"/>
      <c r="Q239" s="3"/>
      <c r="R239" s="3"/>
      <c r="S239" s="3"/>
      <c r="T239" s="3"/>
      <c r="U239" s="3"/>
    </row>
    <row r="240" spans="1:21" hidden="1" x14ac:dyDescent="0.15">
      <c r="A240" s="32">
        <v>2404168</v>
      </c>
      <c r="B240" s="30" t="str">
        <f>VLOOKUP(T_学生別進路[[#This Row],[学籍番号]],進路状況入力シート!A:B,2,FALSE)</f>
        <v>2-13</v>
      </c>
      <c r="C240" s="30" t="str">
        <f>VLOOKUP(T_学生別進路[[#This Row],[学籍番号]],進路状況入力シート!A:C,3,FALSE)</f>
        <v>LAMICHHANE BHUWANESHOWARI</v>
      </c>
      <c r="D240" s="30" t="str">
        <f>IF(AND(T_学生別進路[[#This Row],[進路確定]]="○",T_学生別進路[[#This Row],[進学希望フラグ]]=1),"○","")</f>
        <v>○</v>
      </c>
      <c r="E240" s="30" t="str">
        <f>_xlfn.IFNA(RIGHT(VLOOKUP(T_学生別進路[[#This Row],[学籍番号]]&amp;"○",進路状況入力シート!K:K,1,FALSE),1),"")</f>
        <v>○</v>
      </c>
      <c r="F240" s="30">
        <f>IF(T_学生別進路[[#This Row],[進学希望フラグ]]=0,"",IF(T_学生別進路[[#This Row],[進路確定]]="○",1,0))</f>
        <v>1</v>
      </c>
      <c r="G240"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0" s="30" t="str">
        <f>_xlfn.XLOOKUP(T_学生別進路[[#This Row],[学籍番号]]&amp;"○",進路状況入力シート!K:K,進路状況入力シート!D:D,"",0,1)</f>
        <v>専門学校アートカレッジ神戸</v>
      </c>
      <c r="I240" s="30"/>
      <c r="J240" s="31">
        <v>45870</v>
      </c>
      <c r="K240" s="30">
        <f>IF(T_学生別進路[[#This Row],[合格時期]]="",0,IF(T_学生別進路[[#This Row],[合格時期]]&lt;K$5,1,0))</f>
        <v>1</v>
      </c>
      <c r="L240" s="30">
        <f>IF(T_学生別進路[[#This Row],[合格時期]]="",0,IF(T_学生別進路[[#This Row],[合格時期]]&lt;L$5,1,0))</f>
        <v>1</v>
      </c>
      <c r="M240" s="30">
        <f>IF(T_学生別進路[[#This Row],[合格時期]]="",0,IF(T_学生別進路[[#This Row],[合格時期]]&lt;M$5,1,0))</f>
        <v>1</v>
      </c>
      <c r="N240" s="30">
        <f>IF(T_学生別進路[[#This Row],[合格時期]]="",0,IF(T_学生別進路[[#This Row],[合格時期]]&lt;N$5,1,0))</f>
        <v>1</v>
      </c>
      <c r="O240" s="30">
        <f>IF(T_学生別進路[[#This Row],[合格時期]]="",0,IF(T_学生別進路[[#This Row],[合格時期]]&lt;O$5,1,0))</f>
        <v>1</v>
      </c>
      <c r="P240" s="30"/>
      <c r="Q240" s="3"/>
      <c r="R240" s="3"/>
      <c r="S240" s="3"/>
      <c r="T240" s="3"/>
      <c r="U240" s="3"/>
    </row>
    <row r="241" spans="1:21" hidden="1" x14ac:dyDescent="0.15">
      <c r="A241" s="32">
        <v>2407034</v>
      </c>
      <c r="B241" s="30" t="str">
        <f>VLOOKUP(T_学生別進路[[#This Row],[学籍番号]],進路状況入力シート!A:B,2,FALSE)</f>
        <v>2-13</v>
      </c>
      <c r="C241" s="30" t="str">
        <f>VLOOKUP(T_学生別進路[[#This Row],[学籍番号]],進路状況入力シート!A:C,3,FALSE)</f>
        <v>MD JAHID PRODHANIA</v>
      </c>
      <c r="D241" s="30" t="str">
        <f>IF(AND(T_学生別進路[[#This Row],[進路確定]]="○",T_学生別進路[[#This Row],[進学希望フラグ]]=1),"○","")</f>
        <v>○</v>
      </c>
      <c r="E241" s="30" t="str">
        <f>_xlfn.IFNA(RIGHT(VLOOKUP(T_学生別進路[[#This Row],[学籍番号]]&amp;"○",進路状況入力シート!K:K,1,FALSE),1),"")</f>
        <v>○</v>
      </c>
      <c r="F241" s="30">
        <f>IF(T_学生別進路[[#This Row],[進学希望フラグ]]=0,"",IF(T_学生別進路[[#This Row],[進路確定]]="○",1,0))</f>
        <v>1</v>
      </c>
      <c r="G241"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1" s="30" t="str">
        <f>_xlfn.XLOOKUP(T_学生別進路[[#This Row],[学籍番号]]&amp;"○",進路状況入力シート!K:K,進路状況入力シート!D:D,"",0,1)</f>
        <v>エール学園</v>
      </c>
      <c r="I241" s="30"/>
      <c r="J241" s="31">
        <v>45962</v>
      </c>
      <c r="K241" s="30">
        <f>IF(T_学生別進路[[#This Row],[合格時期]]="",0,IF(T_学生別進路[[#This Row],[合格時期]]&lt;K$5,1,0))</f>
        <v>1</v>
      </c>
      <c r="L241" s="30">
        <f>IF(T_学生別進路[[#This Row],[合格時期]]="",0,IF(T_学生別進路[[#This Row],[合格時期]]&lt;L$5,1,0))</f>
        <v>1</v>
      </c>
      <c r="M241" s="30">
        <f>IF(T_学生別進路[[#This Row],[合格時期]]="",0,IF(T_学生別進路[[#This Row],[合格時期]]&lt;M$5,1,0))</f>
        <v>1</v>
      </c>
      <c r="N241" s="30">
        <f>IF(T_学生別進路[[#This Row],[合格時期]]="",0,IF(T_学生別進路[[#This Row],[合格時期]]&lt;N$5,1,0))</f>
        <v>1</v>
      </c>
      <c r="O241" s="30">
        <f>IF(T_学生別進路[[#This Row],[合格時期]]="",0,IF(T_学生別進路[[#This Row],[合格時期]]&lt;O$5,1,0))</f>
        <v>1</v>
      </c>
      <c r="P241" s="30"/>
      <c r="Q241" s="3"/>
      <c r="R241" s="3"/>
      <c r="S241" s="3"/>
      <c r="T241" s="3"/>
      <c r="U241" s="3"/>
    </row>
    <row r="242" spans="1:21" hidden="1" x14ac:dyDescent="0.15">
      <c r="A242" s="32">
        <v>2407045</v>
      </c>
      <c r="B242" s="30" t="str">
        <f>VLOOKUP(T_学生別進路[[#This Row],[学籍番号]],進路状況入力シート!A:B,2,FALSE)</f>
        <v>2-13</v>
      </c>
      <c r="C242" s="30" t="str">
        <f>VLOOKUP(T_学生別進路[[#This Row],[学籍番号]],進路状況入力シート!A:C,3,FALSE)</f>
        <v>RATUL TANVIR HASAN</v>
      </c>
      <c r="D242" s="30" t="str">
        <f>IF(AND(T_学生別進路[[#This Row],[進路確定]]="○",T_学生別進路[[#This Row],[進学希望フラグ]]=1),"○","")</f>
        <v>○</v>
      </c>
      <c r="E242" s="30" t="str">
        <f>_xlfn.IFNA(RIGHT(VLOOKUP(T_学生別進路[[#This Row],[学籍番号]]&amp;"○",進路状況入力シート!K:K,1,FALSE),1),"")</f>
        <v>○</v>
      </c>
      <c r="F242" s="30">
        <f>IF(T_学生別進路[[#This Row],[進学希望フラグ]]=0,"",IF(T_学生別進路[[#This Row],[進路確定]]="○",1,0))</f>
        <v>1</v>
      </c>
      <c r="G242"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2" s="30" t="str">
        <f>_xlfn.XLOOKUP(T_学生別進路[[#This Row],[学籍番号]]&amp;"○",進路状況入力シート!K:K,進路状況入力シート!D:D,"",0,1)</f>
        <v>東京テクニカルカレッジ中野校</v>
      </c>
      <c r="I242" s="30"/>
      <c r="J242" s="31">
        <v>45870</v>
      </c>
      <c r="K242" s="30">
        <f>IF(T_学生別進路[[#This Row],[合格時期]]="",0,IF(T_学生別進路[[#This Row],[合格時期]]&lt;K$5,1,0))</f>
        <v>1</v>
      </c>
      <c r="L242" s="30">
        <f>IF(T_学生別進路[[#This Row],[合格時期]]="",0,IF(T_学生別進路[[#This Row],[合格時期]]&lt;L$5,1,0))</f>
        <v>1</v>
      </c>
      <c r="M242" s="30">
        <f>IF(T_学生別進路[[#This Row],[合格時期]]="",0,IF(T_学生別進路[[#This Row],[合格時期]]&lt;M$5,1,0))</f>
        <v>1</v>
      </c>
      <c r="N242" s="30">
        <f>IF(T_学生別進路[[#This Row],[合格時期]]="",0,IF(T_学生別進路[[#This Row],[合格時期]]&lt;N$5,1,0))</f>
        <v>1</v>
      </c>
      <c r="O242" s="30">
        <f>IF(T_学生別進路[[#This Row],[合格時期]]="",0,IF(T_学生別進路[[#This Row],[合格時期]]&lt;O$5,1,0))</f>
        <v>1</v>
      </c>
      <c r="P242" s="30"/>
      <c r="Q242" s="3"/>
      <c r="R242" s="3"/>
      <c r="S242" s="3"/>
      <c r="T242" s="3"/>
      <c r="U242" s="3"/>
    </row>
    <row r="243" spans="1:21" hidden="1" x14ac:dyDescent="0.15">
      <c r="A243" s="32">
        <v>2407046</v>
      </c>
      <c r="B243" s="30" t="str">
        <f>VLOOKUP(T_学生別進路[[#This Row],[学籍番号]],進路状況入力シート!A:B,2,FALSE)</f>
        <v>2-13</v>
      </c>
      <c r="C243" s="30" t="str">
        <f>VLOOKUP(T_学生別進路[[#This Row],[学籍番号]],進路状況入力シート!A:C,3,FALSE)</f>
        <v>DEBNATH EMON</v>
      </c>
      <c r="D243" s="30" t="str">
        <f>IF(AND(T_学生別進路[[#This Row],[進路確定]]="○",T_学生別進路[[#This Row],[進学希望フラグ]]=1),"○","")</f>
        <v>○</v>
      </c>
      <c r="E243" s="30" t="str">
        <f>_xlfn.IFNA(RIGHT(VLOOKUP(T_学生別進路[[#This Row],[学籍番号]]&amp;"○",進路状況入力シート!K:K,1,FALSE),1),"")</f>
        <v>○</v>
      </c>
      <c r="F243" s="30">
        <f>IF(T_学生別進路[[#This Row],[進学希望フラグ]]=0,"",IF(T_学生別進路[[#This Row],[進路確定]]="○",1,0))</f>
        <v>1</v>
      </c>
      <c r="G243"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3" s="30" t="str">
        <f>_xlfn.XLOOKUP(T_学生別進路[[#This Row],[学籍番号]]&amp;"○",進路状況入力シート!K:K,進路状況入力シート!D:D,"",0,1)</f>
        <v>名古屋経済大学</v>
      </c>
      <c r="I243" s="30"/>
      <c r="J243" s="31">
        <v>45962</v>
      </c>
      <c r="K243" s="30">
        <f>IF(T_学生別進路[[#This Row],[合格時期]]="",0,IF(T_学生別進路[[#This Row],[合格時期]]&lt;K$5,1,0))</f>
        <v>1</v>
      </c>
      <c r="L243" s="30">
        <f>IF(T_学生別進路[[#This Row],[合格時期]]="",0,IF(T_学生別進路[[#This Row],[合格時期]]&lt;L$5,1,0))</f>
        <v>1</v>
      </c>
      <c r="M243" s="30">
        <f>IF(T_学生別進路[[#This Row],[合格時期]]="",0,IF(T_学生別進路[[#This Row],[合格時期]]&lt;M$5,1,0))</f>
        <v>1</v>
      </c>
      <c r="N243" s="30">
        <f>IF(T_学生別進路[[#This Row],[合格時期]]="",0,IF(T_学生別進路[[#This Row],[合格時期]]&lt;N$5,1,0))</f>
        <v>1</v>
      </c>
      <c r="O243" s="30">
        <f>IF(T_学生別進路[[#This Row],[合格時期]]="",0,IF(T_学生別進路[[#This Row],[合格時期]]&lt;O$5,1,0))</f>
        <v>1</v>
      </c>
      <c r="P243" s="30"/>
      <c r="Q243" s="3"/>
      <c r="R243" s="3"/>
      <c r="S243" s="3"/>
      <c r="T243" s="3"/>
      <c r="U243" s="3"/>
    </row>
    <row r="244" spans="1:21" hidden="1" x14ac:dyDescent="0.15">
      <c r="A244" s="32">
        <v>2407059</v>
      </c>
      <c r="B244" s="30" t="str">
        <f>VLOOKUP(T_学生別進路[[#This Row],[学籍番号]],進路状況入力シート!A:B,2,FALSE)</f>
        <v>2-13</v>
      </c>
      <c r="C244" s="30" t="str">
        <f>VLOOKUP(T_学生別進路[[#This Row],[学籍番号]],進路状況入力シート!A:C,3,FALSE)</f>
        <v>MIA MD RAHIM</v>
      </c>
      <c r="D244" s="30" t="str">
        <f>IF(AND(T_学生別進路[[#This Row],[進路確定]]="○",T_学生別進路[[#This Row],[進学希望フラグ]]=1),"○","")</f>
        <v>○</v>
      </c>
      <c r="E244" s="30" t="str">
        <f>_xlfn.IFNA(RIGHT(VLOOKUP(T_学生別進路[[#This Row],[学籍番号]]&amp;"○",進路状況入力シート!K:K,1,FALSE),1),"")</f>
        <v>○</v>
      </c>
      <c r="F244" s="30">
        <f>IF(T_学生別進路[[#This Row],[進学希望フラグ]]=0,"",IF(T_学生別進路[[#This Row],[進路確定]]="○",1,0))</f>
        <v>1</v>
      </c>
      <c r="G244"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4" s="30" t="str">
        <f>_xlfn.XLOOKUP(T_学生別進路[[#This Row],[学籍番号]]&amp;"○",進路状況入力シート!K:K,進路状況入力シート!D:D,"",0,1)</f>
        <v>日本経済大学</v>
      </c>
      <c r="I244" s="30"/>
      <c r="J244" s="31">
        <v>45931</v>
      </c>
      <c r="K244" s="30">
        <f>IF(T_学生別進路[[#This Row],[合格時期]]="",0,IF(T_学生別進路[[#This Row],[合格時期]]&lt;K$5,1,0))</f>
        <v>1</v>
      </c>
      <c r="L244" s="30">
        <f>IF(T_学生別進路[[#This Row],[合格時期]]="",0,IF(T_学生別進路[[#This Row],[合格時期]]&lt;L$5,1,0))</f>
        <v>1</v>
      </c>
      <c r="M244" s="30">
        <f>IF(T_学生別進路[[#This Row],[合格時期]]="",0,IF(T_学生別進路[[#This Row],[合格時期]]&lt;M$5,1,0))</f>
        <v>1</v>
      </c>
      <c r="N244" s="30">
        <f>IF(T_学生別進路[[#This Row],[合格時期]]="",0,IF(T_学生別進路[[#This Row],[合格時期]]&lt;N$5,1,0))</f>
        <v>1</v>
      </c>
      <c r="O244" s="30">
        <f>IF(T_学生別進路[[#This Row],[合格時期]]="",0,IF(T_学生別進路[[#This Row],[合格時期]]&lt;O$5,1,0))</f>
        <v>1</v>
      </c>
      <c r="P244" s="30"/>
      <c r="Q244" s="3"/>
      <c r="R244" s="3"/>
      <c r="S244" s="3"/>
      <c r="T244" s="3"/>
      <c r="U244" s="3"/>
    </row>
    <row r="245" spans="1:21" hidden="1" x14ac:dyDescent="0.15">
      <c r="A245" s="32">
        <v>2407073</v>
      </c>
      <c r="B245" s="30" t="str">
        <f>VLOOKUP(T_学生別進路[[#This Row],[学籍番号]],進路状況入力シート!A:B,2,FALSE)</f>
        <v>2-13</v>
      </c>
      <c r="C245" s="30" t="str">
        <f>VLOOKUP(T_学生別進路[[#This Row],[学籍番号]],進路状況入力シート!A:C,3,FALSE)</f>
        <v>HIMAL THAPA</v>
      </c>
      <c r="D245" s="30" t="str">
        <f>IF(AND(T_学生別進路[[#This Row],[進路確定]]="○",T_学生別進路[[#This Row],[進学希望フラグ]]=1),"○","")</f>
        <v>○</v>
      </c>
      <c r="E245" s="30" t="str">
        <f>_xlfn.IFNA(RIGHT(VLOOKUP(T_学生別進路[[#This Row],[学籍番号]]&amp;"○",進路状況入力シート!K:K,1,FALSE),1),"")</f>
        <v>○</v>
      </c>
      <c r="F245" s="30">
        <f>IF(T_学生別進路[[#This Row],[進学希望フラグ]]=0,"",IF(T_学生別進路[[#This Row],[進路確定]]="○",1,0))</f>
        <v>1</v>
      </c>
      <c r="G245"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1</v>
      </c>
      <c r="H245" s="30" t="str">
        <f>_xlfn.XLOOKUP(T_学生別進路[[#This Row],[学籍番号]]&amp;"○",進路状況入力シート!K:K,進路状況入力シート!D:D,"",0,1)</f>
        <v>専門学校アートカレッジ神戸</v>
      </c>
      <c r="I245" s="30"/>
      <c r="J245" s="31">
        <v>45839</v>
      </c>
      <c r="K245" s="30">
        <f>IF(T_学生別進路[[#This Row],[合格時期]]="",0,IF(T_学生別進路[[#This Row],[合格時期]]&lt;K$5,1,0))</f>
        <v>1</v>
      </c>
      <c r="L245" s="30">
        <f>IF(T_学生別進路[[#This Row],[合格時期]]="",0,IF(T_学生別進路[[#This Row],[合格時期]]&lt;L$5,1,0))</f>
        <v>1</v>
      </c>
      <c r="M245" s="30">
        <f>IF(T_学生別進路[[#This Row],[合格時期]]="",0,IF(T_学生別進路[[#This Row],[合格時期]]&lt;M$5,1,0))</f>
        <v>1</v>
      </c>
      <c r="N245" s="30">
        <f>IF(T_学生別進路[[#This Row],[合格時期]]="",0,IF(T_学生別進路[[#This Row],[合格時期]]&lt;N$5,1,0))</f>
        <v>1</v>
      </c>
      <c r="O245" s="30">
        <f>IF(T_学生別進路[[#This Row],[合格時期]]="",0,IF(T_学生別進路[[#This Row],[合格時期]]&lt;O$5,1,0))</f>
        <v>1</v>
      </c>
      <c r="P245" s="30"/>
      <c r="Q245" s="3"/>
      <c r="R245" s="3"/>
      <c r="S245" s="3"/>
      <c r="T245" s="3"/>
      <c r="U245" s="3"/>
    </row>
    <row r="246" spans="1:21" x14ac:dyDescent="0.15">
      <c r="A246" s="32">
        <v>2501003</v>
      </c>
      <c r="B246" s="30" t="str">
        <f>VLOOKUP(T_学生別進路[[#This Row],[学籍番号]],進路状況入力シート!A:B,2,FALSE)</f>
        <v>2-13</v>
      </c>
      <c r="C246" s="49" t="str">
        <f>VLOOKUP(T_学生別進路[[#This Row],[学籍番号]],進路状況入力シート!A:C,3,FALSE)</f>
        <v>DANG PHI HUNG</v>
      </c>
      <c r="D246" s="30" t="str">
        <f>IF(AND(T_学生別進路[[#This Row],[進路確定]]="○",T_学生別進路[[#This Row],[進学希望フラグ]]=1),"○","")</f>
        <v/>
      </c>
      <c r="E246" s="30" t="str">
        <f>_xlfn.IFNA(RIGHT(VLOOKUP(T_学生別進路[[#This Row],[学籍番号]]&amp;"○",進路状況入力シート!K:K,1,FALSE),1),"")</f>
        <v/>
      </c>
      <c r="F246" s="30" t="str">
        <f>IF(T_学生別進路[[#This Row],[進学希望フラグ]]=0,"",IF(T_学生別進路[[#This Row],[進路確定]]="○",1,0))</f>
        <v/>
      </c>
      <c r="G246" s="30">
        <f>IF(
  AND(
    COUNTIFS(T_進路入力[学籍番号],T_学生別進路[[#This Row],[学籍番号]], T_進路入力[状況],"進学以外")&gt;0,
    COUNTIFS(T_進路入力[学籍番号],T_学生別進路[[#This Row],[学籍番号]], T_進路入力[状況],"&lt;&gt;進学以外")&gt;0
  ),
  0,
  IF(VLOOKUP(T_学生別進路[[#This Row],[学籍番号]],T_進路入力[],6,FALSE)="進学以外",0,1)
)</f>
        <v>0</v>
      </c>
      <c r="H246" s="30" t="str">
        <f>_xlfn.XLOOKUP(T_学生別進路[[#This Row],[学籍番号]]&amp;"○",進路状況入力シート!K:K,進路状況入力シート!D:D,"",0,1)</f>
        <v/>
      </c>
      <c r="I246" s="39"/>
      <c r="J246" s="31"/>
      <c r="K246" s="30">
        <f>IF(T_学生別進路[[#This Row],[合格時期]]="",0,IF(T_学生別進路[[#This Row],[合格時期]]&lt;K$5,1,0))</f>
        <v>0</v>
      </c>
      <c r="L246" s="30">
        <f>IF(T_学生別進路[[#This Row],[合格時期]]="",0,IF(T_学生別進路[[#This Row],[合格時期]]&lt;L$5,1,0))</f>
        <v>0</v>
      </c>
      <c r="M246" s="30">
        <f>IF(T_学生別進路[[#This Row],[合格時期]]="",0,IF(T_学生別進路[[#This Row],[合格時期]]&lt;M$5,1,0))</f>
        <v>0</v>
      </c>
      <c r="N246" s="30">
        <f>IF(T_学生別進路[[#This Row],[合格時期]]="",0,IF(T_学生別進路[[#This Row],[合格時期]]&lt;N$5,1,0))</f>
        <v>0</v>
      </c>
      <c r="O246" s="30">
        <f>IF(T_学生別進路[[#This Row],[合格時期]]="",0,IF(T_学生別進路[[#This Row],[合格時期]]&lt;O$5,1,0))</f>
        <v>0</v>
      </c>
      <c r="P246" s="30" t="s">
        <v>740</v>
      </c>
      <c r="Q246" s="3"/>
      <c r="R246" s="3"/>
      <c r="S246" s="3"/>
      <c r="T246" s="3"/>
      <c r="U246" s="3"/>
    </row>
  </sheetData>
  <sheetProtection autoFilter="0"/>
  <protectedRanges>
    <protectedRange sqref="J7:J246" name="合格時期"/>
  </protectedRanges>
  <phoneticPr fontId="1"/>
  <dataValidations count="2">
    <dataValidation type="list" allowBlank="1" showInputMessage="1" showErrorMessage="1" sqref="J7:J246" xr:uid="{0D4123F0-FB83-4FEA-ADA6-5911A42E1153}">
      <formula1>時期選択肢</formula1>
    </dataValidation>
    <dataValidation type="list" allowBlank="1" showInputMessage="1" showErrorMessage="1" sqref="I7:I246" xr:uid="{3A301A77-0F26-4E4C-AFD1-70AC403C8A40}">
      <formula1>"A,B,C"</formula1>
    </dataValidation>
  </dataValidations>
  <pageMargins left="0.7" right="0.7" top="0.75" bottom="0.75" header="0.3" footer="0.3"/>
  <pageSetup paperSize="9" orientation="landscape" horizontalDpi="1200" verticalDpi="120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A7CF-8BFC-4DA3-9473-1AB26F04072F}">
  <dimension ref="A1:L251"/>
  <sheetViews>
    <sheetView workbookViewId="0"/>
  </sheetViews>
  <sheetFormatPr defaultRowHeight="13.5" x14ac:dyDescent="0.15"/>
  <cols>
    <col min="1" max="1" width="8.5" bestFit="1" customWidth="1"/>
    <col min="2" max="2" width="5.5" bestFit="1" customWidth="1"/>
    <col min="3" max="3" width="31.75" bestFit="1" customWidth="1"/>
    <col min="4" max="4" width="3.375" bestFit="1" customWidth="1"/>
    <col min="5" max="5" width="33.875" bestFit="1" customWidth="1"/>
    <col min="6" max="7" width="33.875" customWidth="1"/>
    <col min="9" max="9" width="14.625" bestFit="1" customWidth="1"/>
    <col min="10" max="10" width="13.5" bestFit="1" customWidth="1"/>
    <col min="11" max="11" width="16.625" bestFit="1" customWidth="1"/>
  </cols>
  <sheetData>
    <row r="1" spans="1:12" x14ac:dyDescent="0.15">
      <c r="A1" t="s">
        <v>428</v>
      </c>
      <c r="B1" t="s">
        <v>26</v>
      </c>
      <c r="C1" t="s">
        <v>429</v>
      </c>
      <c r="D1" t="s">
        <v>431</v>
      </c>
      <c r="G1" t="s">
        <v>433</v>
      </c>
      <c r="H1" t="s">
        <v>458</v>
      </c>
      <c r="I1" t="s">
        <v>460</v>
      </c>
      <c r="J1" t="s">
        <v>461</v>
      </c>
      <c r="K1" t="s">
        <v>459</v>
      </c>
      <c r="L1" t="s">
        <v>462</v>
      </c>
    </row>
    <row r="2" spans="1:12" x14ac:dyDescent="0.15">
      <c r="A2" t="e" cm="1" vm="1">
        <f t="array" aca="1" ref="A2" ca="1">_xlfn._xlws.FILTER(T_学生別進路[[学籍番号]:[合格校]],(T_学生別進路[進路確定]="○")*(T_学生別進路[進学希望フラグ]=1))</f>
        <v>#VALUE!</v>
      </c>
      <c r="H2">
        <v>1</v>
      </c>
      <c r="I2">
        <v>1</v>
      </c>
      <c r="J2">
        <f>_xlfn.CEILING.MATH(H2/10)</f>
        <v>1</v>
      </c>
      <c r="K2">
        <f>MOD(H2,10)+IF(MOD(H2,10)=0,10,0)</f>
        <v>1</v>
      </c>
      <c r="L2" t="str">
        <f>I2&amp;"-"&amp;K2</f>
        <v>1-1</v>
      </c>
    </row>
    <row r="3" spans="1:12" x14ac:dyDescent="0.15">
      <c r="H3">
        <f>IF(B3=B2,H2+1,1)</f>
        <v>2</v>
      </c>
      <c r="I3">
        <f>IF(B3&lt;&gt;B2,I2+1,IF(J2&lt;&gt;J3,I2+1,I2))</f>
        <v>1</v>
      </c>
      <c r="J3">
        <f t="shared" ref="J3:J66" si="0">_xlfn.CEILING.MATH(H3/10)</f>
        <v>1</v>
      </c>
      <c r="K3">
        <f t="shared" ref="K3:K66" si="1">MOD(H3,10)+IF(MOD(H3,10)=0,10,0)</f>
        <v>2</v>
      </c>
      <c r="L3" t="str">
        <f t="shared" ref="L3:L66" si="2">I3&amp;"-"&amp;K3</f>
        <v>1-2</v>
      </c>
    </row>
    <row r="4" spans="1:12" x14ac:dyDescent="0.15">
      <c r="H4">
        <f t="shared" ref="H4:H67" si="3">IF(B4=B3,H3+1,1)</f>
        <v>3</v>
      </c>
      <c r="I4">
        <f t="shared" ref="I4:I67" si="4">IF(B4&lt;&gt;B3,I3+1,IF(J3&lt;&gt;J4,I3+1,I3))</f>
        <v>1</v>
      </c>
      <c r="J4">
        <f t="shared" si="0"/>
        <v>1</v>
      </c>
      <c r="K4">
        <f t="shared" si="1"/>
        <v>3</v>
      </c>
      <c r="L4" t="str">
        <f t="shared" si="2"/>
        <v>1-3</v>
      </c>
    </row>
    <row r="5" spans="1:12" x14ac:dyDescent="0.15">
      <c r="H5">
        <f t="shared" si="3"/>
        <v>4</v>
      </c>
      <c r="I5">
        <f t="shared" si="4"/>
        <v>1</v>
      </c>
      <c r="J5">
        <f t="shared" si="0"/>
        <v>1</v>
      </c>
      <c r="K5">
        <f t="shared" si="1"/>
        <v>4</v>
      </c>
      <c r="L5" t="str">
        <f t="shared" si="2"/>
        <v>1-4</v>
      </c>
    </row>
    <row r="6" spans="1:12" x14ac:dyDescent="0.15">
      <c r="H6">
        <f t="shared" si="3"/>
        <v>5</v>
      </c>
      <c r="I6">
        <f t="shared" si="4"/>
        <v>1</v>
      </c>
      <c r="J6">
        <f t="shared" si="0"/>
        <v>1</v>
      </c>
      <c r="K6">
        <f t="shared" si="1"/>
        <v>5</v>
      </c>
      <c r="L6" t="str">
        <f t="shared" si="2"/>
        <v>1-5</v>
      </c>
    </row>
    <row r="7" spans="1:12" x14ac:dyDescent="0.15">
      <c r="H7">
        <f t="shared" si="3"/>
        <v>6</v>
      </c>
      <c r="I7">
        <f t="shared" si="4"/>
        <v>1</v>
      </c>
      <c r="J7">
        <f t="shared" si="0"/>
        <v>1</v>
      </c>
      <c r="K7">
        <f t="shared" si="1"/>
        <v>6</v>
      </c>
      <c r="L7" t="str">
        <f t="shared" si="2"/>
        <v>1-6</v>
      </c>
    </row>
    <row r="8" spans="1:12" x14ac:dyDescent="0.15">
      <c r="H8">
        <f t="shared" si="3"/>
        <v>7</v>
      </c>
      <c r="I8">
        <f t="shared" si="4"/>
        <v>1</v>
      </c>
      <c r="J8">
        <f t="shared" si="0"/>
        <v>1</v>
      </c>
      <c r="K8">
        <f t="shared" si="1"/>
        <v>7</v>
      </c>
      <c r="L8" t="str">
        <f t="shared" si="2"/>
        <v>1-7</v>
      </c>
    </row>
    <row r="9" spans="1:12" x14ac:dyDescent="0.15">
      <c r="H9">
        <f t="shared" si="3"/>
        <v>8</v>
      </c>
      <c r="I9">
        <f t="shared" si="4"/>
        <v>1</v>
      </c>
      <c r="J9">
        <f t="shared" si="0"/>
        <v>1</v>
      </c>
      <c r="K9">
        <f t="shared" si="1"/>
        <v>8</v>
      </c>
      <c r="L9" t="str">
        <f t="shared" si="2"/>
        <v>1-8</v>
      </c>
    </row>
    <row r="10" spans="1:12" x14ac:dyDescent="0.15">
      <c r="H10">
        <f t="shared" si="3"/>
        <v>9</v>
      </c>
      <c r="I10">
        <f t="shared" si="4"/>
        <v>1</v>
      </c>
      <c r="J10">
        <f t="shared" si="0"/>
        <v>1</v>
      </c>
      <c r="K10">
        <f t="shared" si="1"/>
        <v>9</v>
      </c>
      <c r="L10" t="str">
        <f t="shared" si="2"/>
        <v>1-9</v>
      </c>
    </row>
    <row r="11" spans="1:12" x14ac:dyDescent="0.15">
      <c r="H11">
        <f t="shared" si="3"/>
        <v>10</v>
      </c>
      <c r="I11">
        <f t="shared" si="4"/>
        <v>1</v>
      </c>
      <c r="J11">
        <f t="shared" si="0"/>
        <v>1</v>
      </c>
      <c r="K11">
        <f t="shared" si="1"/>
        <v>10</v>
      </c>
      <c r="L11" t="str">
        <f t="shared" si="2"/>
        <v>1-10</v>
      </c>
    </row>
    <row r="12" spans="1:12" x14ac:dyDescent="0.15">
      <c r="H12">
        <f t="shared" si="3"/>
        <v>11</v>
      </c>
      <c r="I12">
        <f t="shared" si="4"/>
        <v>2</v>
      </c>
      <c r="J12">
        <f t="shared" si="0"/>
        <v>2</v>
      </c>
      <c r="K12">
        <f t="shared" si="1"/>
        <v>1</v>
      </c>
      <c r="L12" t="str">
        <f t="shared" si="2"/>
        <v>2-1</v>
      </c>
    </row>
    <row r="13" spans="1:12" x14ac:dyDescent="0.15">
      <c r="H13">
        <f t="shared" si="3"/>
        <v>12</v>
      </c>
      <c r="I13">
        <f t="shared" si="4"/>
        <v>2</v>
      </c>
      <c r="J13">
        <f t="shared" si="0"/>
        <v>2</v>
      </c>
      <c r="K13">
        <f t="shared" si="1"/>
        <v>2</v>
      </c>
      <c r="L13" t="str">
        <f t="shared" si="2"/>
        <v>2-2</v>
      </c>
    </row>
    <row r="14" spans="1:12" x14ac:dyDescent="0.15">
      <c r="H14">
        <f t="shared" si="3"/>
        <v>13</v>
      </c>
      <c r="I14">
        <f t="shared" si="4"/>
        <v>2</v>
      </c>
      <c r="J14">
        <f t="shared" si="0"/>
        <v>2</v>
      </c>
      <c r="K14">
        <f t="shared" si="1"/>
        <v>3</v>
      </c>
      <c r="L14" t="str">
        <f t="shared" si="2"/>
        <v>2-3</v>
      </c>
    </row>
    <row r="15" spans="1:12" x14ac:dyDescent="0.15">
      <c r="H15">
        <f t="shared" si="3"/>
        <v>14</v>
      </c>
      <c r="I15">
        <f t="shared" si="4"/>
        <v>2</v>
      </c>
      <c r="J15">
        <f t="shared" si="0"/>
        <v>2</v>
      </c>
      <c r="K15">
        <f t="shared" si="1"/>
        <v>4</v>
      </c>
      <c r="L15" t="str">
        <f t="shared" si="2"/>
        <v>2-4</v>
      </c>
    </row>
    <row r="16" spans="1:12" x14ac:dyDescent="0.15">
      <c r="H16">
        <f t="shared" si="3"/>
        <v>15</v>
      </c>
      <c r="I16">
        <f t="shared" si="4"/>
        <v>2</v>
      </c>
      <c r="J16">
        <f t="shared" si="0"/>
        <v>2</v>
      </c>
      <c r="K16">
        <f t="shared" si="1"/>
        <v>5</v>
      </c>
      <c r="L16" t="str">
        <f t="shared" si="2"/>
        <v>2-5</v>
      </c>
    </row>
    <row r="17" spans="8:12" x14ac:dyDescent="0.15">
      <c r="H17">
        <f t="shared" si="3"/>
        <v>16</v>
      </c>
      <c r="I17">
        <f t="shared" si="4"/>
        <v>2</v>
      </c>
      <c r="J17">
        <f t="shared" si="0"/>
        <v>2</v>
      </c>
      <c r="K17">
        <f t="shared" si="1"/>
        <v>6</v>
      </c>
      <c r="L17" t="str">
        <f t="shared" si="2"/>
        <v>2-6</v>
      </c>
    </row>
    <row r="18" spans="8:12" x14ac:dyDescent="0.15">
      <c r="H18">
        <f t="shared" si="3"/>
        <v>17</v>
      </c>
      <c r="I18">
        <f t="shared" si="4"/>
        <v>2</v>
      </c>
      <c r="J18">
        <f t="shared" si="0"/>
        <v>2</v>
      </c>
      <c r="K18">
        <f t="shared" si="1"/>
        <v>7</v>
      </c>
      <c r="L18" t="str">
        <f t="shared" si="2"/>
        <v>2-7</v>
      </c>
    </row>
    <row r="19" spans="8:12" x14ac:dyDescent="0.15">
      <c r="H19">
        <f t="shared" si="3"/>
        <v>18</v>
      </c>
      <c r="I19">
        <f t="shared" si="4"/>
        <v>2</v>
      </c>
      <c r="J19">
        <f t="shared" si="0"/>
        <v>2</v>
      </c>
      <c r="K19">
        <f t="shared" si="1"/>
        <v>8</v>
      </c>
      <c r="L19" t="str">
        <f t="shared" si="2"/>
        <v>2-8</v>
      </c>
    </row>
    <row r="20" spans="8:12" x14ac:dyDescent="0.15">
      <c r="H20">
        <f t="shared" si="3"/>
        <v>19</v>
      </c>
      <c r="I20">
        <f t="shared" si="4"/>
        <v>2</v>
      </c>
      <c r="J20">
        <f t="shared" si="0"/>
        <v>2</v>
      </c>
      <c r="K20">
        <f t="shared" si="1"/>
        <v>9</v>
      </c>
      <c r="L20" t="str">
        <f t="shared" si="2"/>
        <v>2-9</v>
      </c>
    </row>
    <row r="21" spans="8:12" x14ac:dyDescent="0.15">
      <c r="H21">
        <f t="shared" si="3"/>
        <v>20</v>
      </c>
      <c r="I21">
        <f t="shared" si="4"/>
        <v>2</v>
      </c>
      <c r="J21">
        <f t="shared" si="0"/>
        <v>2</v>
      </c>
      <c r="K21">
        <f t="shared" si="1"/>
        <v>10</v>
      </c>
      <c r="L21" t="str">
        <f t="shared" si="2"/>
        <v>2-10</v>
      </c>
    </row>
    <row r="22" spans="8:12" x14ac:dyDescent="0.15">
      <c r="H22">
        <f t="shared" si="3"/>
        <v>21</v>
      </c>
      <c r="I22">
        <f t="shared" si="4"/>
        <v>3</v>
      </c>
      <c r="J22">
        <f t="shared" si="0"/>
        <v>3</v>
      </c>
      <c r="K22">
        <f t="shared" si="1"/>
        <v>1</v>
      </c>
      <c r="L22" t="str">
        <f t="shared" si="2"/>
        <v>3-1</v>
      </c>
    </row>
    <row r="23" spans="8:12" x14ac:dyDescent="0.15">
      <c r="H23">
        <f t="shared" si="3"/>
        <v>22</v>
      </c>
      <c r="I23">
        <f t="shared" si="4"/>
        <v>3</v>
      </c>
      <c r="J23">
        <f t="shared" si="0"/>
        <v>3</v>
      </c>
      <c r="K23">
        <f t="shared" si="1"/>
        <v>2</v>
      </c>
      <c r="L23" t="str">
        <f t="shared" si="2"/>
        <v>3-2</v>
      </c>
    </row>
    <row r="24" spans="8:12" x14ac:dyDescent="0.15">
      <c r="H24">
        <f t="shared" si="3"/>
        <v>23</v>
      </c>
      <c r="I24">
        <f t="shared" si="4"/>
        <v>3</v>
      </c>
      <c r="J24">
        <f t="shared" si="0"/>
        <v>3</v>
      </c>
      <c r="K24">
        <f t="shared" si="1"/>
        <v>3</v>
      </c>
      <c r="L24" t="str">
        <f t="shared" si="2"/>
        <v>3-3</v>
      </c>
    </row>
    <row r="25" spans="8:12" x14ac:dyDescent="0.15">
      <c r="H25">
        <f t="shared" si="3"/>
        <v>24</v>
      </c>
      <c r="I25">
        <f t="shared" si="4"/>
        <v>3</v>
      </c>
      <c r="J25">
        <f t="shared" si="0"/>
        <v>3</v>
      </c>
      <c r="K25">
        <f t="shared" si="1"/>
        <v>4</v>
      </c>
      <c r="L25" t="str">
        <f t="shared" si="2"/>
        <v>3-4</v>
      </c>
    </row>
    <row r="26" spans="8:12" x14ac:dyDescent="0.15">
      <c r="H26">
        <f t="shared" si="3"/>
        <v>25</v>
      </c>
      <c r="I26">
        <f t="shared" si="4"/>
        <v>3</v>
      </c>
      <c r="J26">
        <f t="shared" si="0"/>
        <v>3</v>
      </c>
      <c r="K26">
        <f t="shared" si="1"/>
        <v>5</v>
      </c>
      <c r="L26" t="str">
        <f t="shared" si="2"/>
        <v>3-5</v>
      </c>
    </row>
    <row r="27" spans="8:12" x14ac:dyDescent="0.15">
      <c r="H27">
        <f t="shared" si="3"/>
        <v>26</v>
      </c>
      <c r="I27">
        <f t="shared" si="4"/>
        <v>3</v>
      </c>
      <c r="J27">
        <f t="shared" si="0"/>
        <v>3</v>
      </c>
      <c r="K27">
        <f t="shared" si="1"/>
        <v>6</v>
      </c>
      <c r="L27" t="str">
        <f t="shared" si="2"/>
        <v>3-6</v>
      </c>
    </row>
    <row r="28" spans="8:12" x14ac:dyDescent="0.15">
      <c r="H28">
        <f t="shared" si="3"/>
        <v>27</v>
      </c>
      <c r="I28">
        <f t="shared" si="4"/>
        <v>3</v>
      </c>
      <c r="J28">
        <f t="shared" si="0"/>
        <v>3</v>
      </c>
      <c r="K28">
        <f t="shared" si="1"/>
        <v>7</v>
      </c>
      <c r="L28" t="str">
        <f t="shared" si="2"/>
        <v>3-7</v>
      </c>
    </row>
    <row r="29" spans="8:12" x14ac:dyDescent="0.15">
      <c r="H29">
        <f t="shared" si="3"/>
        <v>28</v>
      </c>
      <c r="I29">
        <f t="shared" si="4"/>
        <v>3</v>
      </c>
      <c r="J29">
        <f t="shared" si="0"/>
        <v>3</v>
      </c>
      <c r="K29">
        <f t="shared" si="1"/>
        <v>8</v>
      </c>
      <c r="L29" t="str">
        <f t="shared" si="2"/>
        <v>3-8</v>
      </c>
    </row>
    <row r="30" spans="8:12" x14ac:dyDescent="0.15">
      <c r="H30">
        <f t="shared" si="3"/>
        <v>29</v>
      </c>
      <c r="I30">
        <f t="shared" si="4"/>
        <v>3</v>
      </c>
      <c r="J30">
        <f t="shared" si="0"/>
        <v>3</v>
      </c>
      <c r="K30">
        <f t="shared" si="1"/>
        <v>9</v>
      </c>
      <c r="L30" t="str">
        <f t="shared" si="2"/>
        <v>3-9</v>
      </c>
    </row>
    <row r="31" spans="8:12" x14ac:dyDescent="0.15">
      <c r="H31">
        <f t="shared" si="3"/>
        <v>30</v>
      </c>
      <c r="I31">
        <f t="shared" si="4"/>
        <v>3</v>
      </c>
      <c r="J31">
        <f t="shared" si="0"/>
        <v>3</v>
      </c>
      <c r="K31">
        <f t="shared" si="1"/>
        <v>10</v>
      </c>
      <c r="L31" t="str">
        <f t="shared" si="2"/>
        <v>3-10</v>
      </c>
    </row>
    <row r="32" spans="8:12" x14ac:dyDescent="0.15">
      <c r="H32">
        <f t="shared" si="3"/>
        <v>31</v>
      </c>
      <c r="I32">
        <f t="shared" si="4"/>
        <v>4</v>
      </c>
      <c r="J32">
        <f t="shared" si="0"/>
        <v>4</v>
      </c>
      <c r="K32">
        <f t="shared" si="1"/>
        <v>1</v>
      </c>
      <c r="L32" t="str">
        <f t="shared" si="2"/>
        <v>4-1</v>
      </c>
    </row>
    <row r="33" spans="8:12" x14ac:dyDescent="0.15">
      <c r="H33">
        <f t="shared" si="3"/>
        <v>32</v>
      </c>
      <c r="I33">
        <f t="shared" si="4"/>
        <v>4</v>
      </c>
      <c r="J33">
        <f t="shared" si="0"/>
        <v>4</v>
      </c>
      <c r="K33">
        <f t="shared" si="1"/>
        <v>2</v>
      </c>
      <c r="L33" t="str">
        <f t="shared" si="2"/>
        <v>4-2</v>
      </c>
    </row>
    <row r="34" spans="8:12" x14ac:dyDescent="0.15">
      <c r="H34">
        <f t="shared" si="3"/>
        <v>33</v>
      </c>
      <c r="I34">
        <f t="shared" si="4"/>
        <v>4</v>
      </c>
      <c r="J34">
        <f t="shared" si="0"/>
        <v>4</v>
      </c>
      <c r="K34">
        <f t="shared" si="1"/>
        <v>3</v>
      </c>
      <c r="L34" t="str">
        <f t="shared" si="2"/>
        <v>4-3</v>
      </c>
    </row>
    <row r="35" spans="8:12" x14ac:dyDescent="0.15">
      <c r="H35">
        <f t="shared" si="3"/>
        <v>34</v>
      </c>
      <c r="I35">
        <f t="shared" si="4"/>
        <v>4</v>
      </c>
      <c r="J35">
        <f t="shared" si="0"/>
        <v>4</v>
      </c>
      <c r="K35">
        <f t="shared" si="1"/>
        <v>4</v>
      </c>
      <c r="L35" t="str">
        <f t="shared" si="2"/>
        <v>4-4</v>
      </c>
    </row>
    <row r="36" spans="8:12" x14ac:dyDescent="0.15">
      <c r="H36">
        <f t="shared" si="3"/>
        <v>35</v>
      </c>
      <c r="I36">
        <f t="shared" si="4"/>
        <v>4</v>
      </c>
      <c r="J36">
        <f t="shared" si="0"/>
        <v>4</v>
      </c>
      <c r="K36">
        <f t="shared" si="1"/>
        <v>5</v>
      </c>
      <c r="L36" t="str">
        <f t="shared" si="2"/>
        <v>4-5</v>
      </c>
    </row>
    <row r="37" spans="8:12" x14ac:dyDescent="0.15">
      <c r="H37">
        <f t="shared" si="3"/>
        <v>36</v>
      </c>
      <c r="I37">
        <f t="shared" si="4"/>
        <v>4</v>
      </c>
      <c r="J37">
        <f t="shared" si="0"/>
        <v>4</v>
      </c>
      <c r="K37">
        <f t="shared" si="1"/>
        <v>6</v>
      </c>
      <c r="L37" t="str">
        <f t="shared" si="2"/>
        <v>4-6</v>
      </c>
    </row>
    <row r="38" spans="8:12" x14ac:dyDescent="0.15">
      <c r="H38">
        <f t="shared" si="3"/>
        <v>37</v>
      </c>
      <c r="I38">
        <f t="shared" si="4"/>
        <v>4</v>
      </c>
      <c r="J38">
        <f t="shared" si="0"/>
        <v>4</v>
      </c>
      <c r="K38">
        <f t="shared" si="1"/>
        <v>7</v>
      </c>
      <c r="L38" t="str">
        <f t="shared" si="2"/>
        <v>4-7</v>
      </c>
    </row>
    <row r="39" spans="8:12" x14ac:dyDescent="0.15">
      <c r="H39">
        <f t="shared" si="3"/>
        <v>38</v>
      </c>
      <c r="I39">
        <f t="shared" si="4"/>
        <v>4</v>
      </c>
      <c r="J39">
        <f t="shared" si="0"/>
        <v>4</v>
      </c>
      <c r="K39">
        <f t="shared" si="1"/>
        <v>8</v>
      </c>
      <c r="L39" t="str">
        <f t="shared" si="2"/>
        <v>4-8</v>
      </c>
    </row>
    <row r="40" spans="8:12" x14ac:dyDescent="0.15">
      <c r="H40">
        <f t="shared" si="3"/>
        <v>39</v>
      </c>
      <c r="I40">
        <f t="shared" si="4"/>
        <v>4</v>
      </c>
      <c r="J40">
        <f t="shared" si="0"/>
        <v>4</v>
      </c>
      <c r="K40">
        <f t="shared" si="1"/>
        <v>9</v>
      </c>
      <c r="L40" t="str">
        <f t="shared" si="2"/>
        <v>4-9</v>
      </c>
    </row>
    <row r="41" spans="8:12" x14ac:dyDescent="0.15">
      <c r="H41">
        <f t="shared" si="3"/>
        <v>40</v>
      </c>
      <c r="I41">
        <f t="shared" si="4"/>
        <v>4</v>
      </c>
      <c r="J41">
        <f t="shared" si="0"/>
        <v>4</v>
      </c>
      <c r="K41">
        <f t="shared" si="1"/>
        <v>10</v>
      </c>
      <c r="L41" t="str">
        <f t="shared" si="2"/>
        <v>4-10</v>
      </c>
    </row>
    <row r="42" spans="8:12" x14ac:dyDescent="0.15">
      <c r="H42">
        <f t="shared" si="3"/>
        <v>41</v>
      </c>
      <c r="I42">
        <f t="shared" si="4"/>
        <v>5</v>
      </c>
      <c r="J42">
        <f t="shared" si="0"/>
        <v>5</v>
      </c>
      <c r="K42">
        <f t="shared" si="1"/>
        <v>1</v>
      </c>
      <c r="L42" t="str">
        <f t="shared" si="2"/>
        <v>5-1</v>
      </c>
    </row>
    <row r="43" spans="8:12" x14ac:dyDescent="0.15">
      <c r="H43">
        <f t="shared" si="3"/>
        <v>42</v>
      </c>
      <c r="I43">
        <f t="shared" si="4"/>
        <v>5</v>
      </c>
      <c r="J43">
        <f t="shared" si="0"/>
        <v>5</v>
      </c>
      <c r="K43">
        <f t="shared" si="1"/>
        <v>2</v>
      </c>
      <c r="L43" t="str">
        <f t="shared" si="2"/>
        <v>5-2</v>
      </c>
    </row>
    <row r="44" spans="8:12" x14ac:dyDescent="0.15">
      <c r="H44">
        <f t="shared" si="3"/>
        <v>43</v>
      </c>
      <c r="I44">
        <f t="shared" si="4"/>
        <v>5</v>
      </c>
      <c r="J44">
        <f t="shared" si="0"/>
        <v>5</v>
      </c>
      <c r="K44">
        <f t="shared" si="1"/>
        <v>3</v>
      </c>
      <c r="L44" t="str">
        <f t="shared" si="2"/>
        <v>5-3</v>
      </c>
    </row>
    <row r="45" spans="8:12" x14ac:dyDescent="0.15">
      <c r="H45">
        <f t="shared" si="3"/>
        <v>44</v>
      </c>
      <c r="I45">
        <f t="shared" si="4"/>
        <v>5</v>
      </c>
      <c r="J45">
        <f t="shared" si="0"/>
        <v>5</v>
      </c>
      <c r="K45">
        <f t="shared" si="1"/>
        <v>4</v>
      </c>
      <c r="L45" t="str">
        <f t="shared" si="2"/>
        <v>5-4</v>
      </c>
    </row>
    <row r="46" spans="8:12" x14ac:dyDescent="0.15">
      <c r="H46">
        <f t="shared" si="3"/>
        <v>45</v>
      </c>
      <c r="I46">
        <f t="shared" si="4"/>
        <v>5</v>
      </c>
      <c r="J46">
        <f t="shared" si="0"/>
        <v>5</v>
      </c>
      <c r="K46">
        <f t="shared" si="1"/>
        <v>5</v>
      </c>
      <c r="L46" t="str">
        <f t="shared" si="2"/>
        <v>5-5</v>
      </c>
    </row>
    <row r="47" spans="8:12" x14ac:dyDescent="0.15">
      <c r="H47">
        <f t="shared" si="3"/>
        <v>46</v>
      </c>
      <c r="I47">
        <f t="shared" si="4"/>
        <v>5</v>
      </c>
      <c r="J47">
        <f t="shared" si="0"/>
        <v>5</v>
      </c>
      <c r="K47">
        <f t="shared" si="1"/>
        <v>6</v>
      </c>
      <c r="L47" t="str">
        <f t="shared" si="2"/>
        <v>5-6</v>
      </c>
    </row>
    <row r="48" spans="8:12" x14ac:dyDescent="0.15">
      <c r="H48">
        <f t="shared" si="3"/>
        <v>47</v>
      </c>
      <c r="I48">
        <f t="shared" si="4"/>
        <v>5</v>
      </c>
      <c r="J48">
        <f t="shared" si="0"/>
        <v>5</v>
      </c>
      <c r="K48">
        <f t="shared" si="1"/>
        <v>7</v>
      </c>
      <c r="L48" t="str">
        <f t="shared" si="2"/>
        <v>5-7</v>
      </c>
    </row>
    <row r="49" spans="8:12" x14ac:dyDescent="0.15">
      <c r="H49">
        <f t="shared" si="3"/>
        <v>48</v>
      </c>
      <c r="I49">
        <f t="shared" si="4"/>
        <v>5</v>
      </c>
      <c r="J49">
        <f t="shared" si="0"/>
        <v>5</v>
      </c>
      <c r="K49">
        <f t="shared" si="1"/>
        <v>8</v>
      </c>
      <c r="L49" t="str">
        <f t="shared" si="2"/>
        <v>5-8</v>
      </c>
    </row>
    <row r="50" spans="8:12" x14ac:dyDescent="0.15">
      <c r="H50">
        <f t="shared" si="3"/>
        <v>49</v>
      </c>
      <c r="I50">
        <f t="shared" si="4"/>
        <v>5</v>
      </c>
      <c r="J50">
        <f t="shared" si="0"/>
        <v>5</v>
      </c>
      <c r="K50">
        <f t="shared" si="1"/>
        <v>9</v>
      </c>
      <c r="L50" t="str">
        <f t="shared" si="2"/>
        <v>5-9</v>
      </c>
    </row>
    <row r="51" spans="8:12" x14ac:dyDescent="0.15">
      <c r="H51">
        <f t="shared" si="3"/>
        <v>50</v>
      </c>
      <c r="I51">
        <f t="shared" si="4"/>
        <v>5</v>
      </c>
      <c r="J51">
        <f t="shared" si="0"/>
        <v>5</v>
      </c>
      <c r="K51">
        <f t="shared" si="1"/>
        <v>10</v>
      </c>
      <c r="L51" t="str">
        <f t="shared" si="2"/>
        <v>5-10</v>
      </c>
    </row>
    <row r="52" spans="8:12" x14ac:dyDescent="0.15">
      <c r="H52">
        <f t="shared" si="3"/>
        <v>51</v>
      </c>
      <c r="I52">
        <f t="shared" si="4"/>
        <v>6</v>
      </c>
      <c r="J52">
        <f t="shared" si="0"/>
        <v>6</v>
      </c>
      <c r="K52">
        <f t="shared" si="1"/>
        <v>1</v>
      </c>
      <c r="L52" t="str">
        <f t="shared" si="2"/>
        <v>6-1</v>
      </c>
    </row>
    <row r="53" spans="8:12" x14ac:dyDescent="0.15">
      <c r="H53">
        <f t="shared" si="3"/>
        <v>52</v>
      </c>
      <c r="I53">
        <f t="shared" si="4"/>
        <v>6</v>
      </c>
      <c r="J53">
        <f t="shared" si="0"/>
        <v>6</v>
      </c>
      <c r="K53">
        <f t="shared" si="1"/>
        <v>2</v>
      </c>
      <c r="L53" t="str">
        <f t="shared" si="2"/>
        <v>6-2</v>
      </c>
    </row>
    <row r="54" spans="8:12" x14ac:dyDescent="0.15">
      <c r="H54">
        <f t="shared" si="3"/>
        <v>53</v>
      </c>
      <c r="I54">
        <f t="shared" si="4"/>
        <v>6</v>
      </c>
      <c r="J54">
        <f t="shared" si="0"/>
        <v>6</v>
      </c>
      <c r="K54">
        <f t="shared" si="1"/>
        <v>3</v>
      </c>
      <c r="L54" t="str">
        <f t="shared" si="2"/>
        <v>6-3</v>
      </c>
    </row>
    <row r="55" spans="8:12" x14ac:dyDescent="0.15">
      <c r="H55">
        <f t="shared" si="3"/>
        <v>54</v>
      </c>
      <c r="I55">
        <f t="shared" si="4"/>
        <v>6</v>
      </c>
      <c r="J55">
        <f t="shared" si="0"/>
        <v>6</v>
      </c>
      <c r="K55">
        <f t="shared" si="1"/>
        <v>4</v>
      </c>
      <c r="L55" t="str">
        <f t="shared" si="2"/>
        <v>6-4</v>
      </c>
    </row>
    <row r="56" spans="8:12" x14ac:dyDescent="0.15">
      <c r="H56">
        <f t="shared" si="3"/>
        <v>55</v>
      </c>
      <c r="I56">
        <f t="shared" si="4"/>
        <v>6</v>
      </c>
      <c r="J56">
        <f t="shared" si="0"/>
        <v>6</v>
      </c>
      <c r="K56">
        <f t="shared" si="1"/>
        <v>5</v>
      </c>
      <c r="L56" t="str">
        <f t="shared" si="2"/>
        <v>6-5</v>
      </c>
    </row>
    <row r="57" spans="8:12" x14ac:dyDescent="0.15">
      <c r="H57">
        <f t="shared" si="3"/>
        <v>56</v>
      </c>
      <c r="I57">
        <f t="shared" si="4"/>
        <v>6</v>
      </c>
      <c r="J57">
        <f t="shared" si="0"/>
        <v>6</v>
      </c>
      <c r="K57">
        <f t="shared" si="1"/>
        <v>6</v>
      </c>
      <c r="L57" t="str">
        <f t="shared" si="2"/>
        <v>6-6</v>
      </c>
    </row>
    <row r="58" spans="8:12" x14ac:dyDescent="0.15">
      <c r="H58">
        <f t="shared" si="3"/>
        <v>57</v>
      </c>
      <c r="I58">
        <f t="shared" si="4"/>
        <v>6</v>
      </c>
      <c r="J58">
        <f t="shared" si="0"/>
        <v>6</v>
      </c>
      <c r="K58">
        <f t="shared" si="1"/>
        <v>7</v>
      </c>
      <c r="L58" t="str">
        <f t="shared" si="2"/>
        <v>6-7</v>
      </c>
    </row>
    <row r="59" spans="8:12" x14ac:dyDescent="0.15">
      <c r="H59">
        <f t="shared" si="3"/>
        <v>58</v>
      </c>
      <c r="I59">
        <f t="shared" si="4"/>
        <v>6</v>
      </c>
      <c r="J59">
        <f t="shared" si="0"/>
        <v>6</v>
      </c>
      <c r="K59">
        <f t="shared" si="1"/>
        <v>8</v>
      </c>
      <c r="L59" t="str">
        <f t="shared" si="2"/>
        <v>6-8</v>
      </c>
    </row>
    <row r="60" spans="8:12" x14ac:dyDescent="0.15">
      <c r="H60">
        <f t="shared" si="3"/>
        <v>59</v>
      </c>
      <c r="I60">
        <f t="shared" si="4"/>
        <v>6</v>
      </c>
      <c r="J60">
        <f t="shared" si="0"/>
        <v>6</v>
      </c>
      <c r="K60">
        <f t="shared" si="1"/>
        <v>9</v>
      </c>
      <c r="L60" t="str">
        <f t="shared" si="2"/>
        <v>6-9</v>
      </c>
    </row>
    <row r="61" spans="8:12" x14ac:dyDescent="0.15">
      <c r="H61">
        <f t="shared" si="3"/>
        <v>60</v>
      </c>
      <c r="I61">
        <f t="shared" si="4"/>
        <v>6</v>
      </c>
      <c r="J61">
        <f t="shared" si="0"/>
        <v>6</v>
      </c>
      <c r="K61">
        <f t="shared" si="1"/>
        <v>10</v>
      </c>
      <c r="L61" t="str">
        <f t="shared" si="2"/>
        <v>6-10</v>
      </c>
    </row>
    <row r="62" spans="8:12" x14ac:dyDescent="0.15">
      <c r="H62">
        <f t="shared" si="3"/>
        <v>61</v>
      </c>
      <c r="I62">
        <f t="shared" si="4"/>
        <v>7</v>
      </c>
      <c r="J62">
        <f t="shared" si="0"/>
        <v>7</v>
      </c>
      <c r="K62">
        <f t="shared" si="1"/>
        <v>1</v>
      </c>
      <c r="L62" t="str">
        <f t="shared" si="2"/>
        <v>7-1</v>
      </c>
    </row>
    <row r="63" spans="8:12" x14ac:dyDescent="0.15">
      <c r="H63">
        <f t="shared" si="3"/>
        <v>62</v>
      </c>
      <c r="I63">
        <f t="shared" si="4"/>
        <v>7</v>
      </c>
      <c r="J63">
        <f t="shared" si="0"/>
        <v>7</v>
      </c>
      <c r="K63">
        <f t="shared" si="1"/>
        <v>2</v>
      </c>
      <c r="L63" t="str">
        <f t="shared" si="2"/>
        <v>7-2</v>
      </c>
    </row>
    <row r="64" spans="8:12" x14ac:dyDescent="0.15">
      <c r="H64">
        <f t="shared" si="3"/>
        <v>63</v>
      </c>
      <c r="I64">
        <f t="shared" si="4"/>
        <v>7</v>
      </c>
      <c r="J64">
        <f t="shared" si="0"/>
        <v>7</v>
      </c>
      <c r="K64">
        <f t="shared" si="1"/>
        <v>3</v>
      </c>
      <c r="L64" t="str">
        <f t="shared" si="2"/>
        <v>7-3</v>
      </c>
    </row>
    <row r="65" spans="8:12" x14ac:dyDescent="0.15">
      <c r="H65">
        <f t="shared" si="3"/>
        <v>64</v>
      </c>
      <c r="I65">
        <f t="shared" si="4"/>
        <v>7</v>
      </c>
      <c r="J65">
        <f t="shared" si="0"/>
        <v>7</v>
      </c>
      <c r="K65">
        <f t="shared" si="1"/>
        <v>4</v>
      </c>
      <c r="L65" t="str">
        <f t="shared" si="2"/>
        <v>7-4</v>
      </c>
    </row>
    <row r="66" spans="8:12" x14ac:dyDescent="0.15">
      <c r="H66">
        <f t="shared" si="3"/>
        <v>65</v>
      </c>
      <c r="I66">
        <f t="shared" si="4"/>
        <v>7</v>
      </c>
      <c r="J66">
        <f t="shared" si="0"/>
        <v>7</v>
      </c>
      <c r="K66">
        <f t="shared" si="1"/>
        <v>5</v>
      </c>
      <c r="L66" t="str">
        <f t="shared" si="2"/>
        <v>7-5</v>
      </c>
    </row>
    <row r="67" spans="8:12" x14ac:dyDescent="0.15">
      <c r="H67">
        <f t="shared" si="3"/>
        <v>66</v>
      </c>
      <c r="I67">
        <f t="shared" si="4"/>
        <v>7</v>
      </c>
      <c r="J67">
        <f t="shared" ref="J67:J130" si="5">_xlfn.CEILING.MATH(H67/10)</f>
        <v>7</v>
      </c>
      <c r="K67">
        <f t="shared" ref="K67:K85" si="6">MOD(H67,10)+IF(MOD(H67,10)=0,10,0)</f>
        <v>6</v>
      </c>
      <c r="L67" t="str">
        <f t="shared" ref="L67:L85" si="7">I67&amp;"-"&amp;K67</f>
        <v>7-6</v>
      </c>
    </row>
    <row r="68" spans="8:12" x14ac:dyDescent="0.15">
      <c r="H68">
        <f t="shared" ref="H68:H85" si="8">IF(B68=B67,H67+1,1)</f>
        <v>67</v>
      </c>
      <c r="I68">
        <f t="shared" ref="I68:I85" si="9">IF(B68&lt;&gt;B67,I67+1,IF(J67&lt;&gt;J68,I67+1,I67))</f>
        <v>7</v>
      </c>
      <c r="J68">
        <f t="shared" si="5"/>
        <v>7</v>
      </c>
      <c r="K68">
        <f t="shared" si="6"/>
        <v>7</v>
      </c>
      <c r="L68" t="str">
        <f t="shared" si="7"/>
        <v>7-7</v>
      </c>
    </row>
    <row r="69" spans="8:12" x14ac:dyDescent="0.15">
      <c r="H69">
        <f t="shared" si="8"/>
        <v>68</v>
      </c>
      <c r="I69">
        <f t="shared" si="9"/>
        <v>7</v>
      </c>
      <c r="J69">
        <f t="shared" si="5"/>
        <v>7</v>
      </c>
      <c r="K69">
        <f t="shared" si="6"/>
        <v>8</v>
      </c>
      <c r="L69" t="str">
        <f t="shared" si="7"/>
        <v>7-8</v>
      </c>
    </row>
    <row r="70" spans="8:12" x14ac:dyDescent="0.15">
      <c r="H70">
        <f t="shared" si="8"/>
        <v>69</v>
      </c>
      <c r="I70">
        <f t="shared" si="9"/>
        <v>7</v>
      </c>
      <c r="J70">
        <f t="shared" si="5"/>
        <v>7</v>
      </c>
      <c r="K70">
        <f t="shared" si="6"/>
        <v>9</v>
      </c>
      <c r="L70" t="str">
        <f t="shared" si="7"/>
        <v>7-9</v>
      </c>
    </row>
    <row r="71" spans="8:12" x14ac:dyDescent="0.15">
      <c r="H71">
        <f t="shared" si="8"/>
        <v>70</v>
      </c>
      <c r="I71">
        <f t="shared" si="9"/>
        <v>7</v>
      </c>
      <c r="J71">
        <f t="shared" si="5"/>
        <v>7</v>
      </c>
      <c r="K71">
        <f t="shared" si="6"/>
        <v>10</v>
      </c>
      <c r="L71" t="str">
        <f t="shared" si="7"/>
        <v>7-10</v>
      </c>
    </row>
    <row r="72" spans="8:12" x14ac:dyDescent="0.15">
      <c r="H72">
        <f t="shared" si="8"/>
        <v>71</v>
      </c>
      <c r="I72">
        <f t="shared" si="9"/>
        <v>8</v>
      </c>
      <c r="J72">
        <f t="shared" si="5"/>
        <v>8</v>
      </c>
      <c r="K72">
        <f t="shared" si="6"/>
        <v>1</v>
      </c>
      <c r="L72" t="str">
        <f t="shared" si="7"/>
        <v>8-1</v>
      </c>
    </row>
    <row r="73" spans="8:12" x14ac:dyDescent="0.15">
      <c r="H73">
        <f t="shared" si="8"/>
        <v>72</v>
      </c>
      <c r="I73">
        <f t="shared" si="9"/>
        <v>8</v>
      </c>
      <c r="J73">
        <f t="shared" si="5"/>
        <v>8</v>
      </c>
      <c r="K73">
        <f t="shared" si="6"/>
        <v>2</v>
      </c>
      <c r="L73" t="str">
        <f t="shared" si="7"/>
        <v>8-2</v>
      </c>
    </row>
    <row r="74" spans="8:12" x14ac:dyDescent="0.15">
      <c r="H74">
        <f t="shared" si="8"/>
        <v>73</v>
      </c>
      <c r="I74">
        <f t="shared" si="9"/>
        <v>8</v>
      </c>
      <c r="J74">
        <f t="shared" si="5"/>
        <v>8</v>
      </c>
      <c r="K74">
        <f t="shared" si="6"/>
        <v>3</v>
      </c>
      <c r="L74" t="str">
        <f t="shared" si="7"/>
        <v>8-3</v>
      </c>
    </row>
    <row r="75" spans="8:12" x14ac:dyDescent="0.15">
      <c r="H75">
        <f t="shared" si="8"/>
        <v>74</v>
      </c>
      <c r="I75">
        <f t="shared" si="9"/>
        <v>8</v>
      </c>
      <c r="J75">
        <f t="shared" si="5"/>
        <v>8</v>
      </c>
      <c r="K75">
        <f t="shared" si="6"/>
        <v>4</v>
      </c>
      <c r="L75" t="str">
        <f t="shared" si="7"/>
        <v>8-4</v>
      </c>
    </row>
    <row r="76" spans="8:12" x14ac:dyDescent="0.15">
      <c r="H76">
        <f t="shared" si="8"/>
        <v>75</v>
      </c>
      <c r="I76">
        <f t="shared" si="9"/>
        <v>8</v>
      </c>
      <c r="J76">
        <f t="shared" si="5"/>
        <v>8</v>
      </c>
      <c r="K76">
        <f t="shared" si="6"/>
        <v>5</v>
      </c>
      <c r="L76" t="str">
        <f t="shared" si="7"/>
        <v>8-5</v>
      </c>
    </row>
    <row r="77" spans="8:12" x14ac:dyDescent="0.15">
      <c r="H77">
        <f t="shared" si="8"/>
        <v>76</v>
      </c>
      <c r="I77">
        <f t="shared" si="9"/>
        <v>8</v>
      </c>
      <c r="J77">
        <f t="shared" si="5"/>
        <v>8</v>
      </c>
      <c r="K77">
        <f t="shared" si="6"/>
        <v>6</v>
      </c>
      <c r="L77" t="str">
        <f t="shared" si="7"/>
        <v>8-6</v>
      </c>
    </row>
    <row r="78" spans="8:12" x14ac:dyDescent="0.15">
      <c r="H78">
        <f t="shared" si="8"/>
        <v>77</v>
      </c>
      <c r="I78">
        <f t="shared" si="9"/>
        <v>8</v>
      </c>
      <c r="J78">
        <f t="shared" si="5"/>
        <v>8</v>
      </c>
      <c r="K78">
        <f t="shared" si="6"/>
        <v>7</v>
      </c>
      <c r="L78" t="str">
        <f t="shared" si="7"/>
        <v>8-7</v>
      </c>
    </row>
    <row r="79" spans="8:12" x14ac:dyDescent="0.15">
      <c r="H79">
        <f t="shared" si="8"/>
        <v>78</v>
      </c>
      <c r="I79">
        <f t="shared" si="9"/>
        <v>8</v>
      </c>
      <c r="J79">
        <f t="shared" si="5"/>
        <v>8</v>
      </c>
      <c r="K79">
        <f t="shared" si="6"/>
        <v>8</v>
      </c>
      <c r="L79" t="str">
        <f t="shared" si="7"/>
        <v>8-8</v>
      </c>
    </row>
    <row r="80" spans="8:12" x14ac:dyDescent="0.15">
      <c r="H80">
        <f t="shared" si="8"/>
        <v>79</v>
      </c>
      <c r="I80">
        <f t="shared" si="9"/>
        <v>8</v>
      </c>
      <c r="J80">
        <f t="shared" si="5"/>
        <v>8</v>
      </c>
      <c r="K80">
        <f t="shared" si="6"/>
        <v>9</v>
      </c>
      <c r="L80" t="str">
        <f t="shared" si="7"/>
        <v>8-9</v>
      </c>
    </row>
    <row r="81" spans="8:12" x14ac:dyDescent="0.15">
      <c r="H81">
        <f t="shared" si="8"/>
        <v>80</v>
      </c>
      <c r="I81">
        <f t="shared" si="9"/>
        <v>8</v>
      </c>
      <c r="J81">
        <f t="shared" si="5"/>
        <v>8</v>
      </c>
      <c r="K81">
        <f t="shared" si="6"/>
        <v>10</v>
      </c>
      <c r="L81" t="str">
        <f t="shared" si="7"/>
        <v>8-10</v>
      </c>
    </row>
    <row r="82" spans="8:12" x14ac:dyDescent="0.15">
      <c r="H82">
        <f t="shared" si="8"/>
        <v>81</v>
      </c>
      <c r="I82">
        <f t="shared" si="9"/>
        <v>9</v>
      </c>
      <c r="J82">
        <f t="shared" si="5"/>
        <v>9</v>
      </c>
      <c r="K82">
        <f t="shared" si="6"/>
        <v>1</v>
      </c>
      <c r="L82" t="str">
        <f t="shared" si="7"/>
        <v>9-1</v>
      </c>
    </row>
    <row r="83" spans="8:12" x14ac:dyDescent="0.15">
      <c r="H83">
        <f t="shared" si="8"/>
        <v>82</v>
      </c>
      <c r="I83">
        <f t="shared" si="9"/>
        <v>9</v>
      </c>
      <c r="J83">
        <f t="shared" si="5"/>
        <v>9</v>
      </c>
      <c r="K83">
        <f t="shared" si="6"/>
        <v>2</v>
      </c>
      <c r="L83" t="str">
        <f t="shared" si="7"/>
        <v>9-2</v>
      </c>
    </row>
    <row r="84" spans="8:12" x14ac:dyDescent="0.15">
      <c r="H84">
        <f t="shared" si="8"/>
        <v>83</v>
      </c>
      <c r="I84">
        <f t="shared" si="9"/>
        <v>9</v>
      </c>
      <c r="J84">
        <f t="shared" si="5"/>
        <v>9</v>
      </c>
      <c r="K84">
        <f t="shared" si="6"/>
        <v>3</v>
      </c>
      <c r="L84" t="str">
        <f t="shared" si="7"/>
        <v>9-3</v>
      </c>
    </row>
    <row r="85" spans="8:12" x14ac:dyDescent="0.15">
      <c r="H85">
        <f t="shared" si="8"/>
        <v>84</v>
      </c>
      <c r="I85">
        <f t="shared" si="9"/>
        <v>9</v>
      </c>
      <c r="J85">
        <f t="shared" si="5"/>
        <v>9</v>
      </c>
      <c r="K85">
        <f t="shared" si="6"/>
        <v>4</v>
      </c>
      <c r="L85" t="str">
        <f t="shared" si="7"/>
        <v>9-4</v>
      </c>
    </row>
    <row r="86" spans="8:12" x14ac:dyDescent="0.15">
      <c r="H86">
        <f t="shared" ref="H86" si="10">IF(B86=B85,H85+1,1)</f>
        <v>85</v>
      </c>
      <c r="I86">
        <f t="shared" ref="I86" si="11">IF(B86&lt;&gt;B85,I85+1,IF(J85&lt;&gt;J86,I85+1,I85))</f>
        <v>9</v>
      </c>
      <c r="J86">
        <f t="shared" si="5"/>
        <v>9</v>
      </c>
      <c r="K86">
        <f t="shared" ref="K86" si="12">MOD(H86,10)+IF(MOD(H86,10)=0,10,0)</f>
        <v>5</v>
      </c>
      <c r="L86" t="str">
        <f t="shared" ref="L86" si="13">I86&amp;"-"&amp;K86</f>
        <v>9-5</v>
      </c>
    </row>
    <row r="87" spans="8:12" x14ac:dyDescent="0.15">
      <c r="H87">
        <f t="shared" ref="H87:H150" si="14">IF(B87=B86,H86+1,1)</f>
        <v>86</v>
      </c>
      <c r="I87">
        <f t="shared" ref="I87:I150" si="15">IF(B87&lt;&gt;B86,I86+1,IF(J86&lt;&gt;J87,I86+1,I86))</f>
        <v>9</v>
      </c>
      <c r="J87">
        <f t="shared" si="5"/>
        <v>9</v>
      </c>
      <c r="K87">
        <f t="shared" ref="K87:K150" si="16">MOD(H87,10)+IF(MOD(H87,10)=0,10,0)</f>
        <v>6</v>
      </c>
      <c r="L87" t="str">
        <f t="shared" ref="L87:L150" si="17">I87&amp;"-"&amp;K87</f>
        <v>9-6</v>
      </c>
    </row>
    <row r="88" spans="8:12" x14ac:dyDescent="0.15">
      <c r="H88">
        <f t="shared" si="14"/>
        <v>87</v>
      </c>
      <c r="I88">
        <f t="shared" si="15"/>
        <v>9</v>
      </c>
      <c r="J88">
        <f t="shared" si="5"/>
        <v>9</v>
      </c>
      <c r="K88">
        <f t="shared" si="16"/>
        <v>7</v>
      </c>
      <c r="L88" t="str">
        <f t="shared" si="17"/>
        <v>9-7</v>
      </c>
    </row>
    <row r="89" spans="8:12" x14ac:dyDescent="0.15">
      <c r="H89">
        <f t="shared" si="14"/>
        <v>88</v>
      </c>
      <c r="I89">
        <f t="shared" si="15"/>
        <v>9</v>
      </c>
      <c r="J89">
        <f t="shared" si="5"/>
        <v>9</v>
      </c>
      <c r="K89">
        <f t="shared" si="16"/>
        <v>8</v>
      </c>
      <c r="L89" t="str">
        <f t="shared" si="17"/>
        <v>9-8</v>
      </c>
    </row>
    <row r="90" spans="8:12" x14ac:dyDescent="0.15">
      <c r="H90">
        <f t="shared" si="14"/>
        <v>89</v>
      </c>
      <c r="I90">
        <f t="shared" si="15"/>
        <v>9</v>
      </c>
      <c r="J90">
        <f t="shared" si="5"/>
        <v>9</v>
      </c>
      <c r="K90">
        <f t="shared" si="16"/>
        <v>9</v>
      </c>
      <c r="L90" t="str">
        <f t="shared" si="17"/>
        <v>9-9</v>
      </c>
    </row>
    <row r="91" spans="8:12" x14ac:dyDescent="0.15">
      <c r="H91">
        <f t="shared" si="14"/>
        <v>90</v>
      </c>
      <c r="I91">
        <f t="shared" si="15"/>
        <v>9</v>
      </c>
      <c r="J91">
        <f t="shared" si="5"/>
        <v>9</v>
      </c>
      <c r="K91">
        <f t="shared" si="16"/>
        <v>10</v>
      </c>
      <c r="L91" t="str">
        <f t="shared" si="17"/>
        <v>9-10</v>
      </c>
    </row>
    <row r="92" spans="8:12" x14ac:dyDescent="0.15">
      <c r="H92">
        <f t="shared" si="14"/>
        <v>91</v>
      </c>
      <c r="I92">
        <f t="shared" si="15"/>
        <v>10</v>
      </c>
      <c r="J92">
        <f t="shared" si="5"/>
        <v>10</v>
      </c>
      <c r="K92">
        <f t="shared" si="16"/>
        <v>1</v>
      </c>
      <c r="L92" t="str">
        <f t="shared" si="17"/>
        <v>10-1</v>
      </c>
    </row>
    <row r="93" spans="8:12" x14ac:dyDescent="0.15">
      <c r="H93">
        <f t="shared" si="14"/>
        <v>92</v>
      </c>
      <c r="I93">
        <f t="shared" si="15"/>
        <v>10</v>
      </c>
      <c r="J93">
        <f t="shared" si="5"/>
        <v>10</v>
      </c>
      <c r="K93">
        <f t="shared" si="16"/>
        <v>2</v>
      </c>
      <c r="L93" t="str">
        <f t="shared" si="17"/>
        <v>10-2</v>
      </c>
    </row>
    <row r="94" spans="8:12" x14ac:dyDescent="0.15">
      <c r="H94">
        <f t="shared" si="14"/>
        <v>93</v>
      </c>
      <c r="I94">
        <f t="shared" si="15"/>
        <v>10</v>
      </c>
      <c r="J94">
        <f t="shared" si="5"/>
        <v>10</v>
      </c>
      <c r="K94">
        <f t="shared" si="16"/>
        <v>3</v>
      </c>
      <c r="L94" t="str">
        <f t="shared" si="17"/>
        <v>10-3</v>
      </c>
    </row>
    <row r="95" spans="8:12" x14ac:dyDescent="0.15">
      <c r="H95">
        <f t="shared" si="14"/>
        <v>94</v>
      </c>
      <c r="I95">
        <f t="shared" si="15"/>
        <v>10</v>
      </c>
      <c r="J95">
        <f t="shared" si="5"/>
        <v>10</v>
      </c>
      <c r="K95">
        <f t="shared" si="16"/>
        <v>4</v>
      </c>
      <c r="L95" t="str">
        <f t="shared" si="17"/>
        <v>10-4</v>
      </c>
    </row>
    <row r="96" spans="8:12" x14ac:dyDescent="0.15">
      <c r="H96">
        <f t="shared" si="14"/>
        <v>95</v>
      </c>
      <c r="I96">
        <f t="shared" si="15"/>
        <v>10</v>
      </c>
      <c r="J96">
        <f t="shared" si="5"/>
        <v>10</v>
      </c>
      <c r="K96">
        <f t="shared" si="16"/>
        <v>5</v>
      </c>
      <c r="L96" t="str">
        <f t="shared" si="17"/>
        <v>10-5</v>
      </c>
    </row>
    <row r="97" spans="8:12" x14ac:dyDescent="0.15">
      <c r="H97">
        <f t="shared" si="14"/>
        <v>96</v>
      </c>
      <c r="I97">
        <f t="shared" si="15"/>
        <v>10</v>
      </c>
      <c r="J97">
        <f t="shared" si="5"/>
        <v>10</v>
      </c>
      <c r="K97">
        <f t="shared" si="16"/>
        <v>6</v>
      </c>
      <c r="L97" t="str">
        <f t="shared" si="17"/>
        <v>10-6</v>
      </c>
    </row>
    <row r="98" spans="8:12" x14ac:dyDescent="0.15">
      <c r="H98">
        <f t="shared" si="14"/>
        <v>97</v>
      </c>
      <c r="I98">
        <f t="shared" si="15"/>
        <v>10</v>
      </c>
      <c r="J98">
        <f t="shared" si="5"/>
        <v>10</v>
      </c>
      <c r="K98">
        <f t="shared" si="16"/>
        <v>7</v>
      </c>
      <c r="L98" t="str">
        <f t="shared" si="17"/>
        <v>10-7</v>
      </c>
    </row>
    <row r="99" spans="8:12" x14ac:dyDescent="0.15">
      <c r="H99">
        <f t="shared" si="14"/>
        <v>98</v>
      </c>
      <c r="I99">
        <f t="shared" si="15"/>
        <v>10</v>
      </c>
      <c r="J99">
        <f t="shared" si="5"/>
        <v>10</v>
      </c>
      <c r="K99">
        <f t="shared" si="16"/>
        <v>8</v>
      </c>
      <c r="L99" t="str">
        <f t="shared" si="17"/>
        <v>10-8</v>
      </c>
    </row>
    <row r="100" spans="8:12" x14ac:dyDescent="0.15">
      <c r="H100">
        <f t="shared" si="14"/>
        <v>99</v>
      </c>
      <c r="I100">
        <f t="shared" si="15"/>
        <v>10</v>
      </c>
      <c r="J100">
        <f t="shared" si="5"/>
        <v>10</v>
      </c>
      <c r="K100">
        <f t="shared" si="16"/>
        <v>9</v>
      </c>
      <c r="L100" t="str">
        <f t="shared" si="17"/>
        <v>10-9</v>
      </c>
    </row>
    <row r="101" spans="8:12" x14ac:dyDescent="0.15">
      <c r="H101">
        <f t="shared" si="14"/>
        <v>100</v>
      </c>
      <c r="I101">
        <f t="shared" si="15"/>
        <v>10</v>
      </c>
      <c r="J101">
        <f t="shared" si="5"/>
        <v>10</v>
      </c>
      <c r="K101">
        <f t="shared" si="16"/>
        <v>10</v>
      </c>
      <c r="L101" t="str">
        <f t="shared" si="17"/>
        <v>10-10</v>
      </c>
    </row>
    <row r="102" spans="8:12" x14ac:dyDescent="0.15">
      <c r="H102">
        <f t="shared" si="14"/>
        <v>101</v>
      </c>
      <c r="I102">
        <f t="shared" si="15"/>
        <v>11</v>
      </c>
      <c r="J102">
        <f t="shared" si="5"/>
        <v>11</v>
      </c>
      <c r="K102">
        <f t="shared" si="16"/>
        <v>1</v>
      </c>
      <c r="L102" t="str">
        <f t="shared" si="17"/>
        <v>11-1</v>
      </c>
    </row>
    <row r="103" spans="8:12" x14ac:dyDescent="0.15">
      <c r="H103">
        <f t="shared" si="14"/>
        <v>102</v>
      </c>
      <c r="I103">
        <f t="shared" si="15"/>
        <v>11</v>
      </c>
      <c r="J103">
        <f t="shared" si="5"/>
        <v>11</v>
      </c>
      <c r="K103">
        <f t="shared" si="16"/>
        <v>2</v>
      </c>
      <c r="L103" t="str">
        <f t="shared" si="17"/>
        <v>11-2</v>
      </c>
    </row>
    <row r="104" spans="8:12" x14ac:dyDescent="0.15">
      <c r="H104">
        <f t="shared" si="14"/>
        <v>103</v>
      </c>
      <c r="I104">
        <f t="shared" si="15"/>
        <v>11</v>
      </c>
      <c r="J104">
        <f t="shared" si="5"/>
        <v>11</v>
      </c>
      <c r="K104">
        <f t="shared" si="16"/>
        <v>3</v>
      </c>
      <c r="L104" t="str">
        <f t="shared" si="17"/>
        <v>11-3</v>
      </c>
    </row>
    <row r="105" spans="8:12" x14ac:dyDescent="0.15">
      <c r="H105">
        <f t="shared" si="14"/>
        <v>104</v>
      </c>
      <c r="I105">
        <f t="shared" si="15"/>
        <v>11</v>
      </c>
      <c r="J105">
        <f t="shared" si="5"/>
        <v>11</v>
      </c>
      <c r="K105">
        <f t="shared" si="16"/>
        <v>4</v>
      </c>
      <c r="L105" t="str">
        <f t="shared" si="17"/>
        <v>11-4</v>
      </c>
    </row>
    <row r="106" spans="8:12" x14ac:dyDescent="0.15">
      <c r="H106">
        <f t="shared" si="14"/>
        <v>105</v>
      </c>
      <c r="I106">
        <f t="shared" si="15"/>
        <v>11</v>
      </c>
      <c r="J106">
        <f t="shared" si="5"/>
        <v>11</v>
      </c>
      <c r="K106">
        <f t="shared" si="16"/>
        <v>5</v>
      </c>
      <c r="L106" t="str">
        <f t="shared" si="17"/>
        <v>11-5</v>
      </c>
    </row>
    <row r="107" spans="8:12" x14ac:dyDescent="0.15">
      <c r="H107">
        <f t="shared" si="14"/>
        <v>106</v>
      </c>
      <c r="I107">
        <f t="shared" si="15"/>
        <v>11</v>
      </c>
      <c r="J107">
        <f t="shared" si="5"/>
        <v>11</v>
      </c>
      <c r="K107">
        <f t="shared" si="16"/>
        <v>6</v>
      </c>
      <c r="L107" t="str">
        <f t="shared" si="17"/>
        <v>11-6</v>
      </c>
    </row>
    <row r="108" spans="8:12" x14ac:dyDescent="0.15">
      <c r="H108">
        <f t="shared" si="14"/>
        <v>107</v>
      </c>
      <c r="I108">
        <f t="shared" si="15"/>
        <v>11</v>
      </c>
      <c r="J108">
        <f t="shared" si="5"/>
        <v>11</v>
      </c>
      <c r="K108">
        <f t="shared" si="16"/>
        <v>7</v>
      </c>
      <c r="L108" t="str">
        <f t="shared" si="17"/>
        <v>11-7</v>
      </c>
    </row>
    <row r="109" spans="8:12" x14ac:dyDescent="0.15">
      <c r="H109">
        <f t="shared" si="14"/>
        <v>108</v>
      </c>
      <c r="I109">
        <f t="shared" si="15"/>
        <v>11</v>
      </c>
      <c r="J109">
        <f t="shared" si="5"/>
        <v>11</v>
      </c>
      <c r="K109">
        <f t="shared" si="16"/>
        <v>8</v>
      </c>
      <c r="L109" t="str">
        <f t="shared" si="17"/>
        <v>11-8</v>
      </c>
    </row>
    <row r="110" spans="8:12" x14ac:dyDescent="0.15">
      <c r="H110">
        <f t="shared" si="14"/>
        <v>109</v>
      </c>
      <c r="I110">
        <f t="shared" si="15"/>
        <v>11</v>
      </c>
      <c r="J110">
        <f t="shared" si="5"/>
        <v>11</v>
      </c>
      <c r="K110">
        <f t="shared" si="16"/>
        <v>9</v>
      </c>
      <c r="L110" t="str">
        <f t="shared" si="17"/>
        <v>11-9</v>
      </c>
    </row>
    <row r="111" spans="8:12" x14ac:dyDescent="0.15">
      <c r="H111">
        <f t="shared" si="14"/>
        <v>110</v>
      </c>
      <c r="I111">
        <f t="shared" si="15"/>
        <v>11</v>
      </c>
      <c r="J111">
        <f t="shared" si="5"/>
        <v>11</v>
      </c>
      <c r="K111">
        <f t="shared" si="16"/>
        <v>10</v>
      </c>
      <c r="L111" t="str">
        <f t="shared" si="17"/>
        <v>11-10</v>
      </c>
    </row>
    <row r="112" spans="8:12" x14ac:dyDescent="0.15">
      <c r="H112">
        <f t="shared" si="14"/>
        <v>111</v>
      </c>
      <c r="I112">
        <f t="shared" si="15"/>
        <v>12</v>
      </c>
      <c r="J112">
        <f t="shared" si="5"/>
        <v>12</v>
      </c>
      <c r="K112">
        <f t="shared" si="16"/>
        <v>1</v>
      </c>
      <c r="L112" t="str">
        <f t="shared" si="17"/>
        <v>12-1</v>
      </c>
    </row>
    <row r="113" spans="8:12" x14ac:dyDescent="0.15">
      <c r="H113">
        <f t="shared" si="14"/>
        <v>112</v>
      </c>
      <c r="I113">
        <f t="shared" si="15"/>
        <v>12</v>
      </c>
      <c r="J113">
        <f t="shared" si="5"/>
        <v>12</v>
      </c>
      <c r="K113">
        <f t="shared" si="16"/>
        <v>2</v>
      </c>
      <c r="L113" t="str">
        <f t="shared" si="17"/>
        <v>12-2</v>
      </c>
    </row>
    <row r="114" spans="8:12" x14ac:dyDescent="0.15">
      <c r="H114">
        <f t="shared" si="14"/>
        <v>113</v>
      </c>
      <c r="I114">
        <f t="shared" si="15"/>
        <v>12</v>
      </c>
      <c r="J114">
        <f t="shared" si="5"/>
        <v>12</v>
      </c>
      <c r="K114">
        <f t="shared" si="16"/>
        <v>3</v>
      </c>
      <c r="L114" t="str">
        <f t="shared" si="17"/>
        <v>12-3</v>
      </c>
    </row>
    <row r="115" spans="8:12" x14ac:dyDescent="0.15">
      <c r="H115">
        <f t="shared" si="14"/>
        <v>114</v>
      </c>
      <c r="I115">
        <f t="shared" si="15"/>
        <v>12</v>
      </c>
      <c r="J115">
        <f t="shared" si="5"/>
        <v>12</v>
      </c>
      <c r="K115">
        <f t="shared" si="16"/>
        <v>4</v>
      </c>
      <c r="L115" t="str">
        <f t="shared" si="17"/>
        <v>12-4</v>
      </c>
    </row>
    <row r="116" spans="8:12" x14ac:dyDescent="0.15">
      <c r="H116">
        <f t="shared" si="14"/>
        <v>115</v>
      </c>
      <c r="I116">
        <f t="shared" si="15"/>
        <v>12</v>
      </c>
      <c r="J116">
        <f t="shared" si="5"/>
        <v>12</v>
      </c>
      <c r="K116">
        <f t="shared" si="16"/>
        <v>5</v>
      </c>
      <c r="L116" t="str">
        <f t="shared" si="17"/>
        <v>12-5</v>
      </c>
    </row>
    <row r="117" spans="8:12" x14ac:dyDescent="0.15">
      <c r="H117">
        <f t="shared" si="14"/>
        <v>116</v>
      </c>
      <c r="I117">
        <f t="shared" si="15"/>
        <v>12</v>
      </c>
      <c r="J117">
        <f t="shared" si="5"/>
        <v>12</v>
      </c>
      <c r="K117">
        <f t="shared" si="16"/>
        <v>6</v>
      </c>
      <c r="L117" t="str">
        <f t="shared" si="17"/>
        <v>12-6</v>
      </c>
    </row>
    <row r="118" spans="8:12" x14ac:dyDescent="0.15">
      <c r="H118">
        <f t="shared" si="14"/>
        <v>117</v>
      </c>
      <c r="I118">
        <f t="shared" si="15"/>
        <v>12</v>
      </c>
      <c r="J118">
        <f t="shared" si="5"/>
        <v>12</v>
      </c>
      <c r="K118">
        <f t="shared" si="16"/>
        <v>7</v>
      </c>
      <c r="L118" t="str">
        <f t="shared" si="17"/>
        <v>12-7</v>
      </c>
    </row>
    <row r="119" spans="8:12" x14ac:dyDescent="0.15">
      <c r="H119">
        <f t="shared" si="14"/>
        <v>118</v>
      </c>
      <c r="I119">
        <f t="shared" si="15"/>
        <v>12</v>
      </c>
      <c r="J119">
        <f t="shared" si="5"/>
        <v>12</v>
      </c>
      <c r="K119">
        <f t="shared" si="16"/>
        <v>8</v>
      </c>
      <c r="L119" t="str">
        <f t="shared" si="17"/>
        <v>12-8</v>
      </c>
    </row>
    <row r="120" spans="8:12" x14ac:dyDescent="0.15">
      <c r="H120">
        <f t="shared" si="14"/>
        <v>119</v>
      </c>
      <c r="I120">
        <f t="shared" si="15"/>
        <v>12</v>
      </c>
      <c r="J120">
        <f t="shared" si="5"/>
        <v>12</v>
      </c>
      <c r="K120">
        <f t="shared" si="16"/>
        <v>9</v>
      </c>
      <c r="L120" t="str">
        <f t="shared" si="17"/>
        <v>12-9</v>
      </c>
    </row>
    <row r="121" spans="8:12" x14ac:dyDescent="0.15">
      <c r="H121">
        <f t="shared" si="14"/>
        <v>120</v>
      </c>
      <c r="I121">
        <f t="shared" si="15"/>
        <v>12</v>
      </c>
      <c r="J121">
        <f t="shared" si="5"/>
        <v>12</v>
      </c>
      <c r="K121">
        <f t="shared" si="16"/>
        <v>10</v>
      </c>
      <c r="L121" t="str">
        <f t="shared" si="17"/>
        <v>12-10</v>
      </c>
    </row>
    <row r="122" spans="8:12" x14ac:dyDescent="0.15">
      <c r="H122">
        <f t="shared" si="14"/>
        <v>121</v>
      </c>
      <c r="I122">
        <f t="shared" si="15"/>
        <v>13</v>
      </c>
      <c r="J122">
        <f t="shared" si="5"/>
        <v>13</v>
      </c>
      <c r="K122">
        <f t="shared" si="16"/>
        <v>1</v>
      </c>
      <c r="L122" t="str">
        <f t="shared" si="17"/>
        <v>13-1</v>
      </c>
    </row>
    <row r="123" spans="8:12" x14ac:dyDescent="0.15">
      <c r="H123">
        <f t="shared" si="14"/>
        <v>122</v>
      </c>
      <c r="I123">
        <f t="shared" si="15"/>
        <v>13</v>
      </c>
      <c r="J123">
        <f t="shared" si="5"/>
        <v>13</v>
      </c>
      <c r="K123">
        <f t="shared" si="16"/>
        <v>2</v>
      </c>
      <c r="L123" t="str">
        <f t="shared" si="17"/>
        <v>13-2</v>
      </c>
    </row>
    <row r="124" spans="8:12" x14ac:dyDescent="0.15">
      <c r="H124">
        <f t="shared" si="14"/>
        <v>123</v>
      </c>
      <c r="I124">
        <f t="shared" si="15"/>
        <v>13</v>
      </c>
      <c r="J124">
        <f t="shared" si="5"/>
        <v>13</v>
      </c>
      <c r="K124">
        <f t="shared" si="16"/>
        <v>3</v>
      </c>
      <c r="L124" t="str">
        <f t="shared" si="17"/>
        <v>13-3</v>
      </c>
    </row>
    <row r="125" spans="8:12" x14ac:dyDescent="0.15">
      <c r="H125">
        <f t="shared" si="14"/>
        <v>124</v>
      </c>
      <c r="I125">
        <f t="shared" si="15"/>
        <v>13</v>
      </c>
      <c r="J125">
        <f t="shared" si="5"/>
        <v>13</v>
      </c>
      <c r="K125">
        <f t="shared" si="16"/>
        <v>4</v>
      </c>
      <c r="L125" t="str">
        <f t="shared" si="17"/>
        <v>13-4</v>
      </c>
    </row>
    <row r="126" spans="8:12" x14ac:dyDescent="0.15">
      <c r="H126">
        <f t="shared" si="14"/>
        <v>125</v>
      </c>
      <c r="I126">
        <f t="shared" si="15"/>
        <v>13</v>
      </c>
      <c r="J126">
        <f t="shared" si="5"/>
        <v>13</v>
      </c>
      <c r="K126">
        <f t="shared" si="16"/>
        <v>5</v>
      </c>
      <c r="L126" t="str">
        <f t="shared" si="17"/>
        <v>13-5</v>
      </c>
    </row>
    <row r="127" spans="8:12" x14ac:dyDescent="0.15">
      <c r="H127">
        <f t="shared" si="14"/>
        <v>126</v>
      </c>
      <c r="I127">
        <f t="shared" si="15"/>
        <v>13</v>
      </c>
      <c r="J127">
        <f t="shared" si="5"/>
        <v>13</v>
      </c>
      <c r="K127">
        <f t="shared" si="16"/>
        <v>6</v>
      </c>
      <c r="L127" t="str">
        <f t="shared" si="17"/>
        <v>13-6</v>
      </c>
    </row>
    <row r="128" spans="8:12" x14ac:dyDescent="0.15">
      <c r="H128">
        <f t="shared" si="14"/>
        <v>127</v>
      </c>
      <c r="I128">
        <f t="shared" si="15"/>
        <v>13</v>
      </c>
      <c r="J128">
        <f t="shared" si="5"/>
        <v>13</v>
      </c>
      <c r="K128">
        <f t="shared" si="16"/>
        <v>7</v>
      </c>
      <c r="L128" t="str">
        <f t="shared" si="17"/>
        <v>13-7</v>
      </c>
    </row>
    <row r="129" spans="8:12" x14ac:dyDescent="0.15">
      <c r="H129">
        <f t="shared" si="14"/>
        <v>128</v>
      </c>
      <c r="I129">
        <f t="shared" si="15"/>
        <v>13</v>
      </c>
      <c r="J129">
        <f t="shared" si="5"/>
        <v>13</v>
      </c>
      <c r="K129">
        <f t="shared" si="16"/>
        <v>8</v>
      </c>
      <c r="L129" t="str">
        <f t="shared" si="17"/>
        <v>13-8</v>
      </c>
    </row>
    <row r="130" spans="8:12" x14ac:dyDescent="0.15">
      <c r="H130">
        <f t="shared" si="14"/>
        <v>129</v>
      </c>
      <c r="I130">
        <f t="shared" si="15"/>
        <v>13</v>
      </c>
      <c r="J130">
        <f t="shared" si="5"/>
        <v>13</v>
      </c>
      <c r="K130">
        <f t="shared" si="16"/>
        <v>9</v>
      </c>
      <c r="L130" t="str">
        <f t="shared" si="17"/>
        <v>13-9</v>
      </c>
    </row>
    <row r="131" spans="8:12" x14ac:dyDescent="0.15">
      <c r="H131">
        <f t="shared" si="14"/>
        <v>130</v>
      </c>
      <c r="I131">
        <f t="shared" si="15"/>
        <v>13</v>
      </c>
      <c r="J131">
        <f t="shared" ref="J131:J194" si="18">_xlfn.CEILING.MATH(H131/10)</f>
        <v>13</v>
      </c>
      <c r="K131">
        <f t="shared" si="16"/>
        <v>10</v>
      </c>
      <c r="L131" t="str">
        <f t="shared" si="17"/>
        <v>13-10</v>
      </c>
    </row>
    <row r="132" spans="8:12" x14ac:dyDescent="0.15">
      <c r="H132">
        <f t="shared" si="14"/>
        <v>131</v>
      </c>
      <c r="I132">
        <f t="shared" si="15"/>
        <v>14</v>
      </c>
      <c r="J132">
        <f t="shared" si="18"/>
        <v>14</v>
      </c>
      <c r="K132">
        <f t="shared" si="16"/>
        <v>1</v>
      </c>
      <c r="L132" t="str">
        <f t="shared" si="17"/>
        <v>14-1</v>
      </c>
    </row>
    <row r="133" spans="8:12" x14ac:dyDescent="0.15">
      <c r="H133">
        <f t="shared" si="14"/>
        <v>132</v>
      </c>
      <c r="I133">
        <f t="shared" si="15"/>
        <v>14</v>
      </c>
      <c r="J133">
        <f t="shared" si="18"/>
        <v>14</v>
      </c>
      <c r="K133">
        <f t="shared" si="16"/>
        <v>2</v>
      </c>
      <c r="L133" t="str">
        <f t="shared" si="17"/>
        <v>14-2</v>
      </c>
    </row>
    <row r="134" spans="8:12" x14ac:dyDescent="0.15">
      <c r="H134">
        <f t="shared" si="14"/>
        <v>133</v>
      </c>
      <c r="I134">
        <f t="shared" si="15"/>
        <v>14</v>
      </c>
      <c r="J134">
        <f t="shared" si="18"/>
        <v>14</v>
      </c>
      <c r="K134">
        <f t="shared" si="16"/>
        <v>3</v>
      </c>
      <c r="L134" t="str">
        <f t="shared" si="17"/>
        <v>14-3</v>
      </c>
    </row>
    <row r="135" spans="8:12" x14ac:dyDescent="0.15">
      <c r="H135">
        <f t="shared" si="14"/>
        <v>134</v>
      </c>
      <c r="I135">
        <f t="shared" si="15"/>
        <v>14</v>
      </c>
      <c r="J135">
        <f t="shared" si="18"/>
        <v>14</v>
      </c>
      <c r="K135">
        <f t="shared" si="16"/>
        <v>4</v>
      </c>
      <c r="L135" t="str">
        <f t="shared" si="17"/>
        <v>14-4</v>
      </c>
    </row>
    <row r="136" spans="8:12" x14ac:dyDescent="0.15">
      <c r="H136">
        <f t="shared" si="14"/>
        <v>135</v>
      </c>
      <c r="I136">
        <f t="shared" si="15"/>
        <v>14</v>
      </c>
      <c r="J136">
        <f t="shared" si="18"/>
        <v>14</v>
      </c>
      <c r="K136">
        <f t="shared" si="16"/>
        <v>5</v>
      </c>
      <c r="L136" t="str">
        <f t="shared" si="17"/>
        <v>14-5</v>
      </c>
    </row>
    <row r="137" spans="8:12" x14ac:dyDescent="0.15">
      <c r="H137">
        <f t="shared" si="14"/>
        <v>136</v>
      </c>
      <c r="I137">
        <f t="shared" si="15"/>
        <v>14</v>
      </c>
      <c r="J137">
        <f t="shared" si="18"/>
        <v>14</v>
      </c>
      <c r="K137">
        <f t="shared" si="16"/>
        <v>6</v>
      </c>
      <c r="L137" t="str">
        <f t="shared" si="17"/>
        <v>14-6</v>
      </c>
    </row>
    <row r="138" spans="8:12" x14ac:dyDescent="0.15">
      <c r="H138">
        <f t="shared" si="14"/>
        <v>137</v>
      </c>
      <c r="I138">
        <f t="shared" si="15"/>
        <v>14</v>
      </c>
      <c r="J138">
        <f t="shared" si="18"/>
        <v>14</v>
      </c>
      <c r="K138">
        <f t="shared" si="16"/>
        <v>7</v>
      </c>
      <c r="L138" t="str">
        <f t="shared" si="17"/>
        <v>14-7</v>
      </c>
    </row>
    <row r="139" spans="8:12" x14ac:dyDescent="0.15">
      <c r="H139">
        <f t="shared" si="14"/>
        <v>138</v>
      </c>
      <c r="I139">
        <f t="shared" si="15"/>
        <v>14</v>
      </c>
      <c r="J139">
        <f t="shared" si="18"/>
        <v>14</v>
      </c>
      <c r="K139">
        <f t="shared" si="16"/>
        <v>8</v>
      </c>
      <c r="L139" t="str">
        <f t="shared" si="17"/>
        <v>14-8</v>
      </c>
    </row>
    <row r="140" spans="8:12" x14ac:dyDescent="0.15">
      <c r="H140">
        <f t="shared" si="14"/>
        <v>139</v>
      </c>
      <c r="I140">
        <f t="shared" si="15"/>
        <v>14</v>
      </c>
      <c r="J140">
        <f t="shared" si="18"/>
        <v>14</v>
      </c>
      <c r="K140">
        <f t="shared" si="16"/>
        <v>9</v>
      </c>
      <c r="L140" t="str">
        <f t="shared" si="17"/>
        <v>14-9</v>
      </c>
    </row>
    <row r="141" spans="8:12" x14ac:dyDescent="0.15">
      <c r="H141">
        <f t="shared" si="14"/>
        <v>140</v>
      </c>
      <c r="I141">
        <f t="shared" si="15"/>
        <v>14</v>
      </c>
      <c r="J141">
        <f t="shared" si="18"/>
        <v>14</v>
      </c>
      <c r="K141">
        <f t="shared" si="16"/>
        <v>10</v>
      </c>
      <c r="L141" t="str">
        <f t="shared" si="17"/>
        <v>14-10</v>
      </c>
    </row>
    <row r="142" spans="8:12" x14ac:dyDescent="0.15">
      <c r="H142">
        <f t="shared" si="14"/>
        <v>141</v>
      </c>
      <c r="I142">
        <f t="shared" si="15"/>
        <v>15</v>
      </c>
      <c r="J142">
        <f t="shared" si="18"/>
        <v>15</v>
      </c>
      <c r="K142">
        <f t="shared" si="16"/>
        <v>1</v>
      </c>
      <c r="L142" t="str">
        <f t="shared" si="17"/>
        <v>15-1</v>
      </c>
    </row>
    <row r="143" spans="8:12" x14ac:dyDescent="0.15">
      <c r="H143">
        <f t="shared" si="14"/>
        <v>142</v>
      </c>
      <c r="I143">
        <f t="shared" si="15"/>
        <v>15</v>
      </c>
      <c r="J143">
        <f t="shared" si="18"/>
        <v>15</v>
      </c>
      <c r="K143">
        <f t="shared" si="16"/>
        <v>2</v>
      </c>
      <c r="L143" t="str">
        <f t="shared" si="17"/>
        <v>15-2</v>
      </c>
    </row>
    <row r="144" spans="8:12" x14ac:dyDescent="0.15">
      <c r="H144">
        <f t="shared" si="14"/>
        <v>143</v>
      </c>
      <c r="I144">
        <f t="shared" si="15"/>
        <v>15</v>
      </c>
      <c r="J144">
        <f t="shared" si="18"/>
        <v>15</v>
      </c>
      <c r="K144">
        <f t="shared" si="16"/>
        <v>3</v>
      </c>
      <c r="L144" t="str">
        <f t="shared" si="17"/>
        <v>15-3</v>
      </c>
    </row>
    <row r="145" spans="8:12" x14ac:dyDescent="0.15">
      <c r="H145">
        <f t="shared" si="14"/>
        <v>144</v>
      </c>
      <c r="I145">
        <f t="shared" si="15"/>
        <v>15</v>
      </c>
      <c r="J145">
        <f t="shared" si="18"/>
        <v>15</v>
      </c>
      <c r="K145">
        <f t="shared" si="16"/>
        <v>4</v>
      </c>
      <c r="L145" t="str">
        <f t="shared" si="17"/>
        <v>15-4</v>
      </c>
    </row>
    <row r="146" spans="8:12" x14ac:dyDescent="0.15">
      <c r="H146">
        <f t="shared" si="14"/>
        <v>145</v>
      </c>
      <c r="I146">
        <f t="shared" si="15"/>
        <v>15</v>
      </c>
      <c r="J146">
        <f t="shared" si="18"/>
        <v>15</v>
      </c>
      <c r="K146">
        <f t="shared" si="16"/>
        <v>5</v>
      </c>
      <c r="L146" t="str">
        <f t="shared" si="17"/>
        <v>15-5</v>
      </c>
    </row>
    <row r="147" spans="8:12" x14ac:dyDescent="0.15">
      <c r="H147">
        <f t="shared" si="14"/>
        <v>146</v>
      </c>
      <c r="I147">
        <f t="shared" si="15"/>
        <v>15</v>
      </c>
      <c r="J147">
        <f t="shared" si="18"/>
        <v>15</v>
      </c>
      <c r="K147">
        <f t="shared" si="16"/>
        <v>6</v>
      </c>
      <c r="L147" t="str">
        <f t="shared" si="17"/>
        <v>15-6</v>
      </c>
    </row>
    <row r="148" spans="8:12" x14ac:dyDescent="0.15">
      <c r="H148">
        <f t="shared" si="14"/>
        <v>147</v>
      </c>
      <c r="I148">
        <f t="shared" si="15"/>
        <v>15</v>
      </c>
      <c r="J148">
        <f t="shared" si="18"/>
        <v>15</v>
      </c>
      <c r="K148">
        <f t="shared" si="16"/>
        <v>7</v>
      </c>
      <c r="L148" t="str">
        <f t="shared" si="17"/>
        <v>15-7</v>
      </c>
    </row>
    <row r="149" spans="8:12" x14ac:dyDescent="0.15">
      <c r="H149">
        <f t="shared" si="14"/>
        <v>148</v>
      </c>
      <c r="I149">
        <f t="shared" si="15"/>
        <v>15</v>
      </c>
      <c r="J149">
        <f t="shared" si="18"/>
        <v>15</v>
      </c>
      <c r="K149">
        <f t="shared" si="16"/>
        <v>8</v>
      </c>
      <c r="L149" t="str">
        <f t="shared" si="17"/>
        <v>15-8</v>
      </c>
    </row>
    <row r="150" spans="8:12" x14ac:dyDescent="0.15">
      <c r="H150">
        <f t="shared" si="14"/>
        <v>149</v>
      </c>
      <c r="I150">
        <f t="shared" si="15"/>
        <v>15</v>
      </c>
      <c r="J150">
        <f t="shared" si="18"/>
        <v>15</v>
      </c>
      <c r="K150">
        <f t="shared" si="16"/>
        <v>9</v>
      </c>
      <c r="L150" t="str">
        <f t="shared" si="17"/>
        <v>15-9</v>
      </c>
    </row>
    <row r="151" spans="8:12" x14ac:dyDescent="0.15">
      <c r="H151">
        <f t="shared" ref="H151:H214" si="19">IF(B151=B150,H150+1,1)</f>
        <v>150</v>
      </c>
      <c r="I151">
        <f t="shared" ref="I151:I214" si="20">IF(B151&lt;&gt;B150,I150+1,IF(J150&lt;&gt;J151,I150+1,I150))</f>
        <v>15</v>
      </c>
      <c r="J151">
        <f t="shared" si="18"/>
        <v>15</v>
      </c>
      <c r="K151">
        <f t="shared" ref="K151:K214" si="21">MOD(H151,10)+IF(MOD(H151,10)=0,10,0)</f>
        <v>10</v>
      </c>
      <c r="L151" t="str">
        <f t="shared" ref="L151:L214" si="22">I151&amp;"-"&amp;K151</f>
        <v>15-10</v>
      </c>
    </row>
    <row r="152" spans="8:12" x14ac:dyDescent="0.15">
      <c r="H152">
        <f t="shared" si="19"/>
        <v>151</v>
      </c>
      <c r="I152">
        <f t="shared" si="20"/>
        <v>16</v>
      </c>
      <c r="J152">
        <f t="shared" si="18"/>
        <v>16</v>
      </c>
      <c r="K152">
        <f t="shared" si="21"/>
        <v>1</v>
      </c>
      <c r="L152" t="str">
        <f t="shared" si="22"/>
        <v>16-1</v>
      </c>
    </row>
    <row r="153" spans="8:12" x14ac:dyDescent="0.15">
      <c r="H153">
        <f t="shared" si="19"/>
        <v>152</v>
      </c>
      <c r="I153">
        <f t="shared" si="20"/>
        <v>16</v>
      </c>
      <c r="J153">
        <f t="shared" si="18"/>
        <v>16</v>
      </c>
      <c r="K153">
        <f t="shared" si="21"/>
        <v>2</v>
      </c>
      <c r="L153" t="str">
        <f t="shared" si="22"/>
        <v>16-2</v>
      </c>
    </row>
    <row r="154" spans="8:12" x14ac:dyDescent="0.15">
      <c r="H154">
        <f t="shared" si="19"/>
        <v>153</v>
      </c>
      <c r="I154">
        <f t="shared" si="20"/>
        <v>16</v>
      </c>
      <c r="J154">
        <f t="shared" si="18"/>
        <v>16</v>
      </c>
      <c r="K154">
        <f t="shared" si="21"/>
        <v>3</v>
      </c>
      <c r="L154" t="str">
        <f t="shared" si="22"/>
        <v>16-3</v>
      </c>
    </row>
    <row r="155" spans="8:12" x14ac:dyDescent="0.15">
      <c r="H155">
        <f t="shared" si="19"/>
        <v>154</v>
      </c>
      <c r="I155">
        <f t="shared" si="20"/>
        <v>16</v>
      </c>
      <c r="J155">
        <f t="shared" si="18"/>
        <v>16</v>
      </c>
      <c r="K155">
        <f t="shared" si="21"/>
        <v>4</v>
      </c>
      <c r="L155" t="str">
        <f t="shared" si="22"/>
        <v>16-4</v>
      </c>
    </row>
    <row r="156" spans="8:12" x14ac:dyDescent="0.15">
      <c r="H156">
        <f t="shared" si="19"/>
        <v>155</v>
      </c>
      <c r="I156">
        <f t="shared" si="20"/>
        <v>16</v>
      </c>
      <c r="J156">
        <f t="shared" si="18"/>
        <v>16</v>
      </c>
      <c r="K156">
        <f t="shared" si="21"/>
        <v>5</v>
      </c>
      <c r="L156" t="str">
        <f t="shared" si="22"/>
        <v>16-5</v>
      </c>
    </row>
    <row r="157" spans="8:12" x14ac:dyDescent="0.15">
      <c r="H157">
        <f t="shared" si="19"/>
        <v>156</v>
      </c>
      <c r="I157">
        <f t="shared" si="20"/>
        <v>16</v>
      </c>
      <c r="J157">
        <f t="shared" si="18"/>
        <v>16</v>
      </c>
      <c r="K157">
        <f t="shared" si="21"/>
        <v>6</v>
      </c>
      <c r="L157" t="str">
        <f t="shared" si="22"/>
        <v>16-6</v>
      </c>
    </row>
    <row r="158" spans="8:12" x14ac:dyDescent="0.15">
      <c r="H158">
        <f t="shared" si="19"/>
        <v>157</v>
      </c>
      <c r="I158">
        <f t="shared" si="20"/>
        <v>16</v>
      </c>
      <c r="J158">
        <f t="shared" si="18"/>
        <v>16</v>
      </c>
      <c r="K158">
        <f t="shared" si="21"/>
        <v>7</v>
      </c>
      <c r="L158" t="str">
        <f t="shared" si="22"/>
        <v>16-7</v>
      </c>
    </row>
    <row r="159" spans="8:12" x14ac:dyDescent="0.15">
      <c r="H159">
        <f t="shared" si="19"/>
        <v>158</v>
      </c>
      <c r="I159">
        <f t="shared" si="20"/>
        <v>16</v>
      </c>
      <c r="J159">
        <f t="shared" si="18"/>
        <v>16</v>
      </c>
      <c r="K159">
        <f t="shared" si="21"/>
        <v>8</v>
      </c>
      <c r="L159" t="str">
        <f t="shared" si="22"/>
        <v>16-8</v>
      </c>
    </row>
    <row r="160" spans="8:12" x14ac:dyDescent="0.15">
      <c r="H160">
        <f t="shared" si="19"/>
        <v>159</v>
      </c>
      <c r="I160">
        <f t="shared" si="20"/>
        <v>16</v>
      </c>
      <c r="J160">
        <f t="shared" si="18"/>
        <v>16</v>
      </c>
      <c r="K160">
        <f t="shared" si="21"/>
        <v>9</v>
      </c>
      <c r="L160" t="str">
        <f t="shared" si="22"/>
        <v>16-9</v>
      </c>
    </row>
    <row r="161" spans="8:12" x14ac:dyDescent="0.15">
      <c r="H161">
        <f t="shared" si="19"/>
        <v>160</v>
      </c>
      <c r="I161">
        <f t="shared" si="20"/>
        <v>16</v>
      </c>
      <c r="J161">
        <f t="shared" si="18"/>
        <v>16</v>
      </c>
      <c r="K161">
        <f t="shared" si="21"/>
        <v>10</v>
      </c>
      <c r="L161" t="str">
        <f t="shared" si="22"/>
        <v>16-10</v>
      </c>
    </row>
    <row r="162" spans="8:12" x14ac:dyDescent="0.15">
      <c r="H162">
        <f t="shared" si="19"/>
        <v>161</v>
      </c>
      <c r="I162">
        <f t="shared" si="20"/>
        <v>17</v>
      </c>
      <c r="J162">
        <f t="shared" si="18"/>
        <v>17</v>
      </c>
      <c r="K162">
        <f t="shared" si="21"/>
        <v>1</v>
      </c>
      <c r="L162" t="str">
        <f t="shared" si="22"/>
        <v>17-1</v>
      </c>
    </row>
    <row r="163" spans="8:12" x14ac:dyDescent="0.15">
      <c r="H163">
        <f t="shared" si="19"/>
        <v>162</v>
      </c>
      <c r="I163">
        <f t="shared" si="20"/>
        <v>17</v>
      </c>
      <c r="J163">
        <f t="shared" si="18"/>
        <v>17</v>
      </c>
      <c r="K163">
        <f t="shared" si="21"/>
        <v>2</v>
      </c>
      <c r="L163" t="str">
        <f t="shared" si="22"/>
        <v>17-2</v>
      </c>
    </row>
    <row r="164" spans="8:12" x14ac:dyDescent="0.15">
      <c r="H164">
        <f t="shared" si="19"/>
        <v>163</v>
      </c>
      <c r="I164">
        <f t="shared" si="20"/>
        <v>17</v>
      </c>
      <c r="J164">
        <f t="shared" si="18"/>
        <v>17</v>
      </c>
      <c r="K164">
        <f t="shared" si="21"/>
        <v>3</v>
      </c>
      <c r="L164" t="str">
        <f t="shared" si="22"/>
        <v>17-3</v>
      </c>
    </row>
    <row r="165" spans="8:12" x14ac:dyDescent="0.15">
      <c r="H165">
        <f t="shared" si="19"/>
        <v>164</v>
      </c>
      <c r="I165">
        <f t="shared" si="20"/>
        <v>17</v>
      </c>
      <c r="J165">
        <f t="shared" si="18"/>
        <v>17</v>
      </c>
      <c r="K165">
        <f t="shared" si="21"/>
        <v>4</v>
      </c>
      <c r="L165" t="str">
        <f t="shared" si="22"/>
        <v>17-4</v>
      </c>
    </row>
    <row r="166" spans="8:12" x14ac:dyDescent="0.15">
      <c r="H166">
        <f t="shared" si="19"/>
        <v>165</v>
      </c>
      <c r="I166">
        <f t="shared" si="20"/>
        <v>17</v>
      </c>
      <c r="J166">
        <f t="shared" si="18"/>
        <v>17</v>
      </c>
      <c r="K166">
        <f t="shared" si="21"/>
        <v>5</v>
      </c>
      <c r="L166" t="str">
        <f t="shared" si="22"/>
        <v>17-5</v>
      </c>
    </row>
    <row r="167" spans="8:12" x14ac:dyDescent="0.15">
      <c r="H167">
        <f t="shared" si="19"/>
        <v>166</v>
      </c>
      <c r="I167">
        <f t="shared" si="20"/>
        <v>17</v>
      </c>
      <c r="J167">
        <f t="shared" si="18"/>
        <v>17</v>
      </c>
      <c r="K167">
        <f t="shared" si="21"/>
        <v>6</v>
      </c>
      <c r="L167" t="str">
        <f t="shared" si="22"/>
        <v>17-6</v>
      </c>
    </row>
    <row r="168" spans="8:12" x14ac:dyDescent="0.15">
      <c r="H168">
        <f t="shared" si="19"/>
        <v>167</v>
      </c>
      <c r="I168">
        <f t="shared" si="20"/>
        <v>17</v>
      </c>
      <c r="J168">
        <f t="shared" si="18"/>
        <v>17</v>
      </c>
      <c r="K168">
        <f t="shared" si="21"/>
        <v>7</v>
      </c>
      <c r="L168" t="str">
        <f t="shared" si="22"/>
        <v>17-7</v>
      </c>
    </row>
    <row r="169" spans="8:12" x14ac:dyDescent="0.15">
      <c r="H169">
        <f t="shared" si="19"/>
        <v>168</v>
      </c>
      <c r="I169">
        <f t="shared" si="20"/>
        <v>17</v>
      </c>
      <c r="J169">
        <f t="shared" si="18"/>
        <v>17</v>
      </c>
      <c r="K169">
        <f t="shared" si="21"/>
        <v>8</v>
      </c>
      <c r="L169" t="str">
        <f t="shared" si="22"/>
        <v>17-8</v>
      </c>
    </row>
    <row r="170" spans="8:12" x14ac:dyDescent="0.15">
      <c r="H170">
        <f t="shared" si="19"/>
        <v>169</v>
      </c>
      <c r="I170">
        <f t="shared" si="20"/>
        <v>17</v>
      </c>
      <c r="J170">
        <f t="shared" si="18"/>
        <v>17</v>
      </c>
      <c r="K170">
        <f t="shared" si="21"/>
        <v>9</v>
      </c>
      <c r="L170" t="str">
        <f t="shared" si="22"/>
        <v>17-9</v>
      </c>
    </row>
    <row r="171" spans="8:12" x14ac:dyDescent="0.15">
      <c r="H171">
        <f t="shared" si="19"/>
        <v>170</v>
      </c>
      <c r="I171">
        <f t="shared" si="20"/>
        <v>17</v>
      </c>
      <c r="J171">
        <f t="shared" si="18"/>
        <v>17</v>
      </c>
      <c r="K171">
        <f t="shared" si="21"/>
        <v>10</v>
      </c>
      <c r="L171" t="str">
        <f t="shared" si="22"/>
        <v>17-10</v>
      </c>
    </row>
    <row r="172" spans="8:12" x14ac:dyDescent="0.15">
      <c r="H172">
        <f t="shared" si="19"/>
        <v>171</v>
      </c>
      <c r="I172">
        <f t="shared" si="20"/>
        <v>18</v>
      </c>
      <c r="J172">
        <f t="shared" si="18"/>
        <v>18</v>
      </c>
      <c r="K172">
        <f t="shared" si="21"/>
        <v>1</v>
      </c>
      <c r="L172" t="str">
        <f t="shared" si="22"/>
        <v>18-1</v>
      </c>
    </row>
    <row r="173" spans="8:12" x14ac:dyDescent="0.15">
      <c r="H173">
        <f t="shared" si="19"/>
        <v>172</v>
      </c>
      <c r="I173">
        <f t="shared" si="20"/>
        <v>18</v>
      </c>
      <c r="J173">
        <f t="shared" si="18"/>
        <v>18</v>
      </c>
      <c r="K173">
        <f t="shared" si="21"/>
        <v>2</v>
      </c>
      <c r="L173" t="str">
        <f t="shared" si="22"/>
        <v>18-2</v>
      </c>
    </row>
    <row r="174" spans="8:12" x14ac:dyDescent="0.15">
      <c r="H174">
        <f t="shared" si="19"/>
        <v>173</v>
      </c>
      <c r="I174">
        <f t="shared" si="20"/>
        <v>18</v>
      </c>
      <c r="J174">
        <f t="shared" si="18"/>
        <v>18</v>
      </c>
      <c r="K174">
        <f t="shared" si="21"/>
        <v>3</v>
      </c>
      <c r="L174" t="str">
        <f t="shared" si="22"/>
        <v>18-3</v>
      </c>
    </row>
    <row r="175" spans="8:12" x14ac:dyDescent="0.15">
      <c r="H175">
        <f t="shared" si="19"/>
        <v>174</v>
      </c>
      <c r="I175">
        <f t="shared" si="20"/>
        <v>18</v>
      </c>
      <c r="J175">
        <f t="shared" si="18"/>
        <v>18</v>
      </c>
      <c r="K175">
        <f t="shared" si="21"/>
        <v>4</v>
      </c>
      <c r="L175" t="str">
        <f t="shared" si="22"/>
        <v>18-4</v>
      </c>
    </row>
    <row r="176" spans="8:12" x14ac:dyDescent="0.15">
      <c r="H176">
        <f t="shared" si="19"/>
        <v>175</v>
      </c>
      <c r="I176">
        <f t="shared" si="20"/>
        <v>18</v>
      </c>
      <c r="J176">
        <f t="shared" si="18"/>
        <v>18</v>
      </c>
      <c r="K176">
        <f t="shared" si="21"/>
        <v>5</v>
      </c>
      <c r="L176" t="str">
        <f t="shared" si="22"/>
        <v>18-5</v>
      </c>
    </row>
    <row r="177" spans="8:12" x14ac:dyDescent="0.15">
      <c r="H177">
        <f t="shared" si="19"/>
        <v>176</v>
      </c>
      <c r="I177">
        <f t="shared" si="20"/>
        <v>18</v>
      </c>
      <c r="J177">
        <f t="shared" si="18"/>
        <v>18</v>
      </c>
      <c r="K177">
        <f t="shared" si="21"/>
        <v>6</v>
      </c>
      <c r="L177" t="str">
        <f t="shared" si="22"/>
        <v>18-6</v>
      </c>
    </row>
    <row r="178" spans="8:12" x14ac:dyDescent="0.15">
      <c r="H178">
        <f t="shared" si="19"/>
        <v>177</v>
      </c>
      <c r="I178">
        <f t="shared" si="20"/>
        <v>18</v>
      </c>
      <c r="J178">
        <f t="shared" si="18"/>
        <v>18</v>
      </c>
      <c r="K178">
        <f t="shared" si="21"/>
        <v>7</v>
      </c>
      <c r="L178" t="str">
        <f t="shared" si="22"/>
        <v>18-7</v>
      </c>
    </row>
    <row r="179" spans="8:12" x14ac:dyDescent="0.15">
      <c r="H179">
        <f t="shared" si="19"/>
        <v>178</v>
      </c>
      <c r="I179">
        <f t="shared" si="20"/>
        <v>18</v>
      </c>
      <c r="J179">
        <f t="shared" si="18"/>
        <v>18</v>
      </c>
      <c r="K179">
        <f t="shared" si="21"/>
        <v>8</v>
      </c>
      <c r="L179" t="str">
        <f t="shared" si="22"/>
        <v>18-8</v>
      </c>
    </row>
    <row r="180" spans="8:12" x14ac:dyDescent="0.15">
      <c r="H180">
        <f t="shared" si="19"/>
        <v>179</v>
      </c>
      <c r="I180">
        <f t="shared" si="20"/>
        <v>18</v>
      </c>
      <c r="J180">
        <f t="shared" si="18"/>
        <v>18</v>
      </c>
      <c r="K180">
        <f t="shared" si="21"/>
        <v>9</v>
      </c>
      <c r="L180" t="str">
        <f t="shared" si="22"/>
        <v>18-9</v>
      </c>
    </row>
    <row r="181" spans="8:12" x14ac:dyDescent="0.15">
      <c r="H181">
        <f t="shared" si="19"/>
        <v>180</v>
      </c>
      <c r="I181">
        <f t="shared" si="20"/>
        <v>18</v>
      </c>
      <c r="J181">
        <f t="shared" si="18"/>
        <v>18</v>
      </c>
      <c r="K181">
        <f t="shared" si="21"/>
        <v>10</v>
      </c>
      <c r="L181" t="str">
        <f t="shared" si="22"/>
        <v>18-10</v>
      </c>
    </row>
    <row r="182" spans="8:12" x14ac:dyDescent="0.15">
      <c r="H182">
        <f t="shared" si="19"/>
        <v>181</v>
      </c>
      <c r="I182">
        <f t="shared" si="20"/>
        <v>19</v>
      </c>
      <c r="J182">
        <f t="shared" si="18"/>
        <v>19</v>
      </c>
      <c r="K182">
        <f t="shared" si="21"/>
        <v>1</v>
      </c>
      <c r="L182" t="str">
        <f t="shared" si="22"/>
        <v>19-1</v>
      </c>
    </row>
    <row r="183" spans="8:12" x14ac:dyDescent="0.15">
      <c r="H183">
        <f t="shared" si="19"/>
        <v>182</v>
      </c>
      <c r="I183">
        <f t="shared" si="20"/>
        <v>19</v>
      </c>
      <c r="J183">
        <f t="shared" si="18"/>
        <v>19</v>
      </c>
      <c r="K183">
        <f t="shared" si="21"/>
        <v>2</v>
      </c>
      <c r="L183" t="str">
        <f t="shared" si="22"/>
        <v>19-2</v>
      </c>
    </row>
    <row r="184" spans="8:12" x14ac:dyDescent="0.15">
      <c r="H184">
        <f t="shared" si="19"/>
        <v>183</v>
      </c>
      <c r="I184">
        <f t="shared" si="20"/>
        <v>19</v>
      </c>
      <c r="J184">
        <f t="shared" si="18"/>
        <v>19</v>
      </c>
      <c r="K184">
        <f t="shared" si="21"/>
        <v>3</v>
      </c>
      <c r="L184" t="str">
        <f t="shared" si="22"/>
        <v>19-3</v>
      </c>
    </row>
    <row r="185" spans="8:12" x14ac:dyDescent="0.15">
      <c r="H185">
        <f t="shared" si="19"/>
        <v>184</v>
      </c>
      <c r="I185">
        <f t="shared" si="20"/>
        <v>19</v>
      </c>
      <c r="J185">
        <f t="shared" si="18"/>
        <v>19</v>
      </c>
      <c r="K185">
        <f t="shared" si="21"/>
        <v>4</v>
      </c>
      <c r="L185" t="str">
        <f t="shared" si="22"/>
        <v>19-4</v>
      </c>
    </row>
    <row r="186" spans="8:12" x14ac:dyDescent="0.15">
      <c r="H186">
        <f t="shared" si="19"/>
        <v>185</v>
      </c>
      <c r="I186">
        <f t="shared" si="20"/>
        <v>19</v>
      </c>
      <c r="J186">
        <f t="shared" si="18"/>
        <v>19</v>
      </c>
      <c r="K186">
        <f t="shared" si="21"/>
        <v>5</v>
      </c>
      <c r="L186" t="str">
        <f t="shared" si="22"/>
        <v>19-5</v>
      </c>
    </row>
    <row r="187" spans="8:12" x14ac:dyDescent="0.15">
      <c r="H187">
        <f t="shared" si="19"/>
        <v>186</v>
      </c>
      <c r="I187">
        <f t="shared" si="20"/>
        <v>19</v>
      </c>
      <c r="J187">
        <f t="shared" si="18"/>
        <v>19</v>
      </c>
      <c r="K187">
        <f t="shared" si="21"/>
        <v>6</v>
      </c>
      <c r="L187" t="str">
        <f t="shared" si="22"/>
        <v>19-6</v>
      </c>
    </row>
    <row r="188" spans="8:12" x14ac:dyDescent="0.15">
      <c r="H188">
        <f t="shared" si="19"/>
        <v>187</v>
      </c>
      <c r="I188">
        <f t="shared" si="20"/>
        <v>19</v>
      </c>
      <c r="J188">
        <f t="shared" si="18"/>
        <v>19</v>
      </c>
      <c r="K188">
        <f t="shared" si="21"/>
        <v>7</v>
      </c>
      <c r="L188" t="str">
        <f t="shared" si="22"/>
        <v>19-7</v>
      </c>
    </row>
    <row r="189" spans="8:12" x14ac:dyDescent="0.15">
      <c r="H189">
        <f t="shared" si="19"/>
        <v>188</v>
      </c>
      <c r="I189">
        <f t="shared" si="20"/>
        <v>19</v>
      </c>
      <c r="J189">
        <f t="shared" si="18"/>
        <v>19</v>
      </c>
      <c r="K189">
        <f t="shared" si="21"/>
        <v>8</v>
      </c>
      <c r="L189" t="str">
        <f t="shared" si="22"/>
        <v>19-8</v>
      </c>
    </row>
    <row r="190" spans="8:12" x14ac:dyDescent="0.15">
      <c r="H190">
        <f t="shared" si="19"/>
        <v>189</v>
      </c>
      <c r="I190">
        <f t="shared" si="20"/>
        <v>19</v>
      </c>
      <c r="J190">
        <f t="shared" si="18"/>
        <v>19</v>
      </c>
      <c r="K190">
        <f t="shared" si="21"/>
        <v>9</v>
      </c>
      <c r="L190" t="str">
        <f t="shared" si="22"/>
        <v>19-9</v>
      </c>
    </row>
    <row r="191" spans="8:12" x14ac:dyDescent="0.15">
      <c r="H191">
        <f t="shared" si="19"/>
        <v>190</v>
      </c>
      <c r="I191">
        <f t="shared" si="20"/>
        <v>19</v>
      </c>
      <c r="J191">
        <f t="shared" si="18"/>
        <v>19</v>
      </c>
      <c r="K191">
        <f t="shared" si="21"/>
        <v>10</v>
      </c>
      <c r="L191" t="str">
        <f t="shared" si="22"/>
        <v>19-10</v>
      </c>
    </row>
    <row r="192" spans="8:12" x14ac:dyDescent="0.15">
      <c r="H192">
        <f t="shared" si="19"/>
        <v>191</v>
      </c>
      <c r="I192">
        <f t="shared" si="20"/>
        <v>20</v>
      </c>
      <c r="J192">
        <f t="shared" si="18"/>
        <v>20</v>
      </c>
      <c r="K192">
        <f t="shared" si="21"/>
        <v>1</v>
      </c>
      <c r="L192" t="str">
        <f t="shared" si="22"/>
        <v>20-1</v>
      </c>
    </row>
    <row r="193" spans="8:12" x14ac:dyDescent="0.15">
      <c r="H193">
        <f t="shared" si="19"/>
        <v>192</v>
      </c>
      <c r="I193">
        <f t="shared" si="20"/>
        <v>20</v>
      </c>
      <c r="J193">
        <f t="shared" si="18"/>
        <v>20</v>
      </c>
      <c r="K193">
        <f t="shared" si="21"/>
        <v>2</v>
      </c>
      <c r="L193" t="str">
        <f t="shared" si="22"/>
        <v>20-2</v>
      </c>
    </row>
    <row r="194" spans="8:12" x14ac:dyDescent="0.15">
      <c r="H194">
        <f t="shared" si="19"/>
        <v>193</v>
      </c>
      <c r="I194">
        <f t="shared" si="20"/>
        <v>20</v>
      </c>
      <c r="J194">
        <f t="shared" si="18"/>
        <v>20</v>
      </c>
      <c r="K194">
        <f t="shared" si="21"/>
        <v>3</v>
      </c>
      <c r="L194" t="str">
        <f t="shared" si="22"/>
        <v>20-3</v>
      </c>
    </row>
    <row r="195" spans="8:12" x14ac:dyDescent="0.15">
      <c r="H195">
        <f t="shared" si="19"/>
        <v>194</v>
      </c>
      <c r="I195">
        <f t="shared" si="20"/>
        <v>20</v>
      </c>
      <c r="J195">
        <f t="shared" ref="J195:J251" si="23">_xlfn.CEILING.MATH(H195/10)</f>
        <v>20</v>
      </c>
      <c r="K195">
        <f t="shared" si="21"/>
        <v>4</v>
      </c>
      <c r="L195" t="str">
        <f t="shared" si="22"/>
        <v>20-4</v>
      </c>
    </row>
    <row r="196" spans="8:12" x14ac:dyDescent="0.15">
      <c r="H196">
        <f t="shared" si="19"/>
        <v>195</v>
      </c>
      <c r="I196">
        <f t="shared" si="20"/>
        <v>20</v>
      </c>
      <c r="J196">
        <f t="shared" si="23"/>
        <v>20</v>
      </c>
      <c r="K196">
        <f t="shared" si="21"/>
        <v>5</v>
      </c>
      <c r="L196" t="str">
        <f t="shared" si="22"/>
        <v>20-5</v>
      </c>
    </row>
    <row r="197" spans="8:12" x14ac:dyDescent="0.15">
      <c r="H197">
        <f t="shared" si="19"/>
        <v>196</v>
      </c>
      <c r="I197">
        <f t="shared" si="20"/>
        <v>20</v>
      </c>
      <c r="J197">
        <f t="shared" si="23"/>
        <v>20</v>
      </c>
      <c r="K197">
        <f t="shared" si="21"/>
        <v>6</v>
      </c>
      <c r="L197" t="str">
        <f t="shared" si="22"/>
        <v>20-6</v>
      </c>
    </row>
    <row r="198" spans="8:12" x14ac:dyDescent="0.15">
      <c r="H198">
        <f t="shared" si="19"/>
        <v>197</v>
      </c>
      <c r="I198">
        <f t="shared" si="20"/>
        <v>20</v>
      </c>
      <c r="J198">
        <f t="shared" si="23"/>
        <v>20</v>
      </c>
      <c r="K198">
        <f t="shared" si="21"/>
        <v>7</v>
      </c>
      <c r="L198" t="str">
        <f t="shared" si="22"/>
        <v>20-7</v>
      </c>
    </row>
    <row r="199" spans="8:12" x14ac:dyDescent="0.15">
      <c r="H199">
        <f t="shared" si="19"/>
        <v>198</v>
      </c>
      <c r="I199">
        <f t="shared" si="20"/>
        <v>20</v>
      </c>
      <c r="J199">
        <f t="shared" si="23"/>
        <v>20</v>
      </c>
      <c r="K199">
        <f t="shared" si="21"/>
        <v>8</v>
      </c>
      <c r="L199" t="str">
        <f t="shared" si="22"/>
        <v>20-8</v>
      </c>
    </row>
    <row r="200" spans="8:12" x14ac:dyDescent="0.15">
      <c r="H200">
        <f t="shared" si="19"/>
        <v>199</v>
      </c>
      <c r="I200">
        <f t="shared" si="20"/>
        <v>20</v>
      </c>
      <c r="J200">
        <f t="shared" si="23"/>
        <v>20</v>
      </c>
      <c r="K200">
        <f t="shared" si="21"/>
        <v>9</v>
      </c>
      <c r="L200" t="str">
        <f t="shared" si="22"/>
        <v>20-9</v>
      </c>
    </row>
    <row r="201" spans="8:12" x14ac:dyDescent="0.15">
      <c r="H201">
        <f t="shared" si="19"/>
        <v>200</v>
      </c>
      <c r="I201">
        <f t="shared" si="20"/>
        <v>20</v>
      </c>
      <c r="J201">
        <f t="shared" si="23"/>
        <v>20</v>
      </c>
      <c r="K201">
        <f t="shared" si="21"/>
        <v>10</v>
      </c>
      <c r="L201" t="str">
        <f t="shared" si="22"/>
        <v>20-10</v>
      </c>
    </row>
    <row r="202" spans="8:12" x14ac:dyDescent="0.15">
      <c r="H202">
        <f t="shared" si="19"/>
        <v>201</v>
      </c>
      <c r="I202">
        <f t="shared" si="20"/>
        <v>21</v>
      </c>
      <c r="J202">
        <f t="shared" si="23"/>
        <v>21</v>
      </c>
      <c r="K202">
        <f t="shared" si="21"/>
        <v>1</v>
      </c>
      <c r="L202" t="str">
        <f t="shared" si="22"/>
        <v>21-1</v>
      </c>
    </row>
    <row r="203" spans="8:12" x14ac:dyDescent="0.15">
      <c r="H203">
        <f t="shared" si="19"/>
        <v>202</v>
      </c>
      <c r="I203">
        <f t="shared" si="20"/>
        <v>21</v>
      </c>
      <c r="J203">
        <f t="shared" si="23"/>
        <v>21</v>
      </c>
      <c r="K203">
        <f t="shared" si="21"/>
        <v>2</v>
      </c>
      <c r="L203" t="str">
        <f t="shared" si="22"/>
        <v>21-2</v>
      </c>
    </row>
    <row r="204" spans="8:12" x14ac:dyDescent="0.15">
      <c r="H204">
        <f t="shared" si="19"/>
        <v>203</v>
      </c>
      <c r="I204">
        <f t="shared" si="20"/>
        <v>21</v>
      </c>
      <c r="J204">
        <f t="shared" si="23"/>
        <v>21</v>
      </c>
      <c r="K204">
        <f t="shared" si="21"/>
        <v>3</v>
      </c>
      <c r="L204" t="str">
        <f t="shared" si="22"/>
        <v>21-3</v>
      </c>
    </row>
    <row r="205" spans="8:12" x14ac:dyDescent="0.15">
      <c r="H205">
        <f t="shared" si="19"/>
        <v>204</v>
      </c>
      <c r="I205">
        <f t="shared" si="20"/>
        <v>21</v>
      </c>
      <c r="J205">
        <f t="shared" si="23"/>
        <v>21</v>
      </c>
      <c r="K205">
        <f t="shared" si="21"/>
        <v>4</v>
      </c>
      <c r="L205" t="str">
        <f t="shared" si="22"/>
        <v>21-4</v>
      </c>
    </row>
    <row r="206" spans="8:12" x14ac:dyDescent="0.15">
      <c r="H206">
        <f t="shared" si="19"/>
        <v>205</v>
      </c>
      <c r="I206">
        <f t="shared" si="20"/>
        <v>21</v>
      </c>
      <c r="J206">
        <f t="shared" si="23"/>
        <v>21</v>
      </c>
      <c r="K206">
        <f t="shared" si="21"/>
        <v>5</v>
      </c>
      <c r="L206" t="str">
        <f t="shared" si="22"/>
        <v>21-5</v>
      </c>
    </row>
    <row r="207" spans="8:12" x14ac:dyDescent="0.15">
      <c r="H207">
        <f t="shared" si="19"/>
        <v>206</v>
      </c>
      <c r="I207">
        <f t="shared" si="20"/>
        <v>21</v>
      </c>
      <c r="J207">
        <f t="shared" si="23"/>
        <v>21</v>
      </c>
      <c r="K207">
        <f t="shared" si="21"/>
        <v>6</v>
      </c>
      <c r="L207" t="str">
        <f t="shared" si="22"/>
        <v>21-6</v>
      </c>
    </row>
    <row r="208" spans="8:12" x14ac:dyDescent="0.15">
      <c r="H208">
        <f t="shared" si="19"/>
        <v>207</v>
      </c>
      <c r="I208">
        <f t="shared" si="20"/>
        <v>21</v>
      </c>
      <c r="J208">
        <f t="shared" si="23"/>
        <v>21</v>
      </c>
      <c r="K208">
        <f t="shared" si="21"/>
        <v>7</v>
      </c>
      <c r="L208" t="str">
        <f t="shared" si="22"/>
        <v>21-7</v>
      </c>
    </row>
    <row r="209" spans="8:12" x14ac:dyDescent="0.15">
      <c r="H209">
        <f t="shared" si="19"/>
        <v>208</v>
      </c>
      <c r="I209">
        <f t="shared" si="20"/>
        <v>21</v>
      </c>
      <c r="J209">
        <f t="shared" si="23"/>
        <v>21</v>
      </c>
      <c r="K209">
        <f t="shared" si="21"/>
        <v>8</v>
      </c>
      <c r="L209" t="str">
        <f t="shared" si="22"/>
        <v>21-8</v>
      </c>
    </row>
    <row r="210" spans="8:12" x14ac:dyDescent="0.15">
      <c r="H210">
        <f t="shared" si="19"/>
        <v>209</v>
      </c>
      <c r="I210">
        <f t="shared" si="20"/>
        <v>21</v>
      </c>
      <c r="J210">
        <f t="shared" si="23"/>
        <v>21</v>
      </c>
      <c r="K210">
        <f t="shared" si="21"/>
        <v>9</v>
      </c>
      <c r="L210" t="str">
        <f t="shared" si="22"/>
        <v>21-9</v>
      </c>
    </row>
    <row r="211" spans="8:12" x14ac:dyDescent="0.15">
      <c r="H211">
        <f t="shared" si="19"/>
        <v>210</v>
      </c>
      <c r="I211">
        <f t="shared" si="20"/>
        <v>21</v>
      </c>
      <c r="J211">
        <f t="shared" si="23"/>
        <v>21</v>
      </c>
      <c r="K211">
        <f t="shared" si="21"/>
        <v>10</v>
      </c>
      <c r="L211" t="str">
        <f t="shared" si="22"/>
        <v>21-10</v>
      </c>
    </row>
    <row r="212" spans="8:12" x14ac:dyDescent="0.15">
      <c r="H212">
        <f t="shared" si="19"/>
        <v>211</v>
      </c>
      <c r="I212">
        <f t="shared" si="20"/>
        <v>22</v>
      </c>
      <c r="J212">
        <f t="shared" si="23"/>
        <v>22</v>
      </c>
      <c r="K212">
        <f t="shared" si="21"/>
        <v>1</v>
      </c>
      <c r="L212" t="str">
        <f t="shared" si="22"/>
        <v>22-1</v>
      </c>
    </row>
    <row r="213" spans="8:12" x14ac:dyDescent="0.15">
      <c r="H213">
        <f t="shared" si="19"/>
        <v>212</v>
      </c>
      <c r="I213">
        <f t="shared" si="20"/>
        <v>22</v>
      </c>
      <c r="J213">
        <f t="shared" si="23"/>
        <v>22</v>
      </c>
      <c r="K213">
        <f t="shared" si="21"/>
        <v>2</v>
      </c>
      <c r="L213" t="str">
        <f t="shared" si="22"/>
        <v>22-2</v>
      </c>
    </row>
    <row r="214" spans="8:12" x14ac:dyDescent="0.15">
      <c r="H214">
        <f t="shared" si="19"/>
        <v>213</v>
      </c>
      <c r="I214">
        <f t="shared" si="20"/>
        <v>22</v>
      </c>
      <c r="J214">
        <f t="shared" si="23"/>
        <v>22</v>
      </c>
      <c r="K214">
        <f t="shared" si="21"/>
        <v>3</v>
      </c>
      <c r="L214" t="str">
        <f t="shared" si="22"/>
        <v>22-3</v>
      </c>
    </row>
    <row r="215" spans="8:12" x14ac:dyDescent="0.15">
      <c r="H215">
        <f t="shared" ref="H215:H250" si="24">IF(B215=B214,H214+1,1)</f>
        <v>214</v>
      </c>
      <c r="I215">
        <f t="shared" ref="I215:I250" si="25">IF(B215&lt;&gt;B214,I214+1,IF(J214&lt;&gt;J215,I214+1,I214))</f>
        <v>22</v>
      </c>
      <c r="J215">
        <f t="shared" si="23"/>
        <v>22</v>
      </c>
      <c r="K215">
        <f t="shared" ref="K215:K250" si="26">MOD(H215,10)+IF(MOD(H215,10)=0,10,0)</f>
        <v>4</v>
      </c>
      <c r="L215" t="str">
        <f t="shared" ref="L215:L250" si="27">I215&amp;"-"&amp;K215</f>
        <v>22-4</v>
      </c>
    </row>
    <row r="216" spans="8:12" x14ac:dyDescent="0.15">
      <c r="H216">
        <f t="shared" si="24"/>
        <v>215</v>
      </c>
      <c r="I216">
        <f t="shared" si="25"/>
        <v>22</v>
      </c>
      <c r="J216">
        <f t="shared" si="23"/>
        <v>22</v>
      </c>
      <c r="K216">
        <f t="shared" si="26"/>
        <v>5</v>
      </c>
      <c r="L216" t="str">
        <f t="shared" si="27"/>
        <v>22-5</v>
      </c>
    </row>
    <row r="217" spans="8:12" x14ac:dyDescent="0.15">
      <c r="H217">
        <f t="shared" si="24"/>
        <v>216</v>
      </c>
      <c r="I217">
        <f t="shared" si="25"/>
        <v>22</v>
      </c>
      <c r="J217">
        <f t="shared" si="23"/>
        <v>22</v>
      </c>
      <c r="K217">
        <f t="shared" si="26"/>
        <v>6</v>
      </c>
      <c r="L217" t="str">
        <f t="shared" si="27"/>
        <v>22-6</v>
      </c>
    </row>
    <row r="218" spans="8:12" x14ac:dyDescent="0.15">
      <c r="H218">
        <f t="shared" si="24"/>
        <v>217</v>
      </c>
      <c r="I218">
        <f t="shared" si="25"/>
        <v>22</v>
      </c>
      <c r="J218">
        <f t="shared" si="23"/>
        <v>22</v>
      </c>
      <c r="K218">
        <f t="shared" si="26"/>
        <v>7</v>
      </c>
      <c r="L218" t="str">
        <f t="shared" si="27"/>
        <v>22-7</v>
      </c>
    </row>
    <row r="219" spans="8:12" x14ac:dyDescent="0.15">
      <c r="H219">
        <f t="shared" si="24"/>
        <v>218</v>
      </c>
      <c r="I219">
        <f t="shared" si="25"/>
        <v>22</v>
      </c>
      <c r="J219">
        <f t="shared" si="23"/>
        <v>22</v>
      </c>
      <c r="K219">
        <f t="shared" si="26"/>
        <v>8</v>
      </c>
      <c r="L219" t="str">
        <f t="shared" si="27"/>
        <v>22-8</v>
      </c>
    </row>
    <row r="220" spans="8:12" x14ac:dyDescent="0.15">
      <c r="H220">
        <f t="shared" si="24"/>
        <v>219</v>
      </c>
      <c r="I220">
        <f t="shared" si="25"/>
        <v>22</v>
      </c>
      <c r="J220">
        <f t="shared" si="23"/>
        <v>22</v>
      </c>
      <c r="K220">
        <f t="shared" si="26"/>
        <v>9</v>
      </c>
      <c r="L220" t="str">
        <f t="shared" si="27"/>
        <v>22-9</v>
      </c>
    </row>
    <row r="221" spans="8:12" x14ac:dyDescent="0.15">
      <c r="H221">
        <f t="shared" si="24"/>
        <v>220</v>
      </c>
      <c r="I221">
        <f t="shared" si="25"/>
        <v>22</v>
      </c>
      <c r="J221">
        <f t="shared" si="23"/>
        <v>22</v>
      </c>
      <c r="K221">
        <f t="shared" si="26"/>
        <v>10</v>
      </c>
      <c r="L221" t="str">
        <f t="shared" si="27"/>
        <v>22-10</v>
      </c>
    </row>
    <row r="222" spans="8:12" x14ac:dyDescent="0.15">
      <c r="H222">
        <f t="shared" si="24"/>
        <v>221</v>
      </c>
      <c r="I222">
        <f t="shared" si="25"/>
        <v>23</v>
      </c>
      <c r="J222">
        <f t="shared" si="23"/>
        <v>23</v>
      </c>
      <c r="K222">
        <f t="shared" si="26"/>
        <v>1</v>
      </c>
      <c r="L222" t="str">
        <f t="shared" si="27"/>
        <v>23-1</v>
      </c>
    </row>
    <row r="223" spans="8:12" x14ac:dyDescent="0.15">
      <c r="H223">
        <f t="shared" si="24"/>
        <v>222</v>
      </c>
      <c r="I223">
        <f t="shared" si="25"/>
        <v>23</v>
      </c>
      <c r="J223">
        <f t="shared" si="23"/>
        <v>23</v>
      </c>
      <c r="K223">
        <f t="shared" si="26"/>
        <v>2</v>
      </c>
      <c r="L223" t="str">
        <f t="shared" si="27"/>
        <v>23-2</v>
      </c>
    </row>
    <row r="224" spans="8:12" x14ac:dyDescent="0.15">
      <c r="H224">
        <f t="shared" si="24"/>
        <v>223</v>
      </c>
      <c r="I224">
        <f t="shared" si="25"/>
        <v>23</v>
      </c>
      <c r="J224">
        <f t="shared" si="23"/>
        <v>23</v>
      </c>
      <c r="K224">
        <f t="shared" si="26"/>
        <v>3</v>
      </c>
      <c r="L224" t="str">
        <f t="shared" si="27"/>
        <v>23-3</v>
      </c>
    </row>
    <row r="225" spans="8:12" x14ac:dyDescent="0.15">
      <c r="H225">
        <f t="shared" si="24"/>
        <v>224</v>
      </c>
      <c r="I225">
        <f t="shared" si="25"/>
        <v>23</v>
      </c>
      <c r="J225">
        <f t="shared" si="23"/>
        <v>23</v>
      </c>
      <c r="K225">
        <f t="shared" si="26"/>
        <v>4</v>
      </c>
      <c r="L225" t="str">
        <f t="shared" si="27"/>
        <v>23-4</v>
      </c>
    </row>
    <row r="226" spans="8:12" x14ac:dyDescent="0.15">
      <c r="H226">
        <f t="shared" si="24"/>
        <v>225</v>
      </c>
      <c r="I226">
        <f t="shared" si="25"/>
        <v>23</v>
      </c>
      <c r="J226">
        <f t="shared" si="23"/>
        <v>23</v>
      </c>
      <c r="K226">
        <f t="shared" si="26"/>
        <v>5</v>
      </c>
      <c r="L226" t="str">
        <f t="shared" si="27"/>
        <v>23-5</v>
      </c>
    </row>
    <row r="227" spans="8:12" x14ac:dyDescent="0.15">
      <c r="H227">
        <f t="shared" si="24"/>
        <v>226</v>
      </c>
      <c r="I227">
        <f t="shared" si="25"/>
        <v>23</v>
      </c>
      <c r="J227">
        <f t="shared" si="23"/>
        <v>23</v>
      </c>
      <c r="K227">
        <f t="shared" si="26"/>
        <v>6</v>
      </c>
      <c r="L227" t="str">
        <f t="shared" si="27"/>
        <v>23-6</v>
      </c>
    </row>
    <row r="228" spans="8:12" x14ac:dyDescent="0.15">
      <c r="H228">
        <f t="shared" si="24"/>
        <v>227</v>
      </c>
      <c r="I228">
        <f t="shared" si="25"/>
        <v>23</v>
      </c>
      <c r="J228">
        <f t="shared" si="23"/>
        <v>23</v>
      </c>
      <c r="K228">
        <f t="shared" si="26"/>
        <v>7</v>
      </c>
      <c r="L228" t="str">
        <f t="shared" si="27"/>
        <v>23-7</v>
      </c>
    </row>
    <row r="229" spans="8:12" x14ac:dyDescent="0.15">
      <c r="H229">
        <f t="shared" si="24"/>
        <v>228</v>
      </c>
      <c r="I229">
        <f t="shared" si="25"/>
        <v>23</v>
      </c>
      <c r="J229">
        <f t="shared" si="23"/>
        <v>23</v>
      </c>
      <c r="K229">
        <f t="shared" si="26"/>
        <v>8</v>
      </c>
      <c r="L229" t="str">
        <f t="shared" si="27"/>
        <v>23-8</v>
      </c>
    </row>
    <row r="230" spans="8:12" x14ac:dyDescent="0.15">
      <c r="H230">
        <f t="shared" si="24"/>
        <v>229</v>
      </c>
      <c r="I230">
        <f t="shared" si="25"/>
        <v>23</v>
      </c>
      <c r="J230">
        <f t="shared" si="23"/>
        <v>23</v>
      </c>
      <c r="K230">
        <f t="shared" si="26"/>
        <v>9</v>
      </c>
      <c r="L230" t="str">
        <f t="shared" si="27"/>
        <v>23-9</v>
      </c>
    </row>
    <row r="231" spans="8:12" x14ac:dyDescent="0.15">
      <c r="H231">
        <f t="shared" si="24"/>
        <v>230</v>
      </c>
      <c r="I231">
        <f t="shared" si="25"/>
        <v>23</v>
      </c>
      <c r="J231">
        <f t="shared" si="23"/>
        <v>23</v>
      </c>
      <c r="K231">
        <f t="shared" si="26"/>
        <v>10</v>
      </c>
      <c r="L231" t="str">
        <f t="shared" si="27"/>
        <v>23-10</v>
      </c>
    </row>
    <row r="232" spans="8:12" x14ac:dyDescent="0.15">
      <c r="H232">
        <f t="shared" si="24"/>
        <v>231</v>
      </c>
      <c r="I232">
        <f t="shared" si="25"/>
        <v>24</v>
      </c>
      <c r="J232">
        <f t="shared" si="23"/>
        <v>24</v>
      </c>
      <c r="K232">
        <f t="shared" si="26"/>
        <v>1</v>
      </c>
      <c r="L232" t="str">
        <f t="shared" si="27"/>
        <v>24-1</v>
      </c>
    </row>
    <row r="233" spans="8:12" x14ac:dyDescent="0.15">
      <c r="H233">
        <f t="shared" si="24"/>
        <v>232</v>
      </c>
      <c r="I233">
        <f t="shared" si="25"/>
        <v>24</v>
      </c>
      <c r="J233">
        <f t="shared" si="23"/>
        <v>24</v>
      </c>
      <c r="K233">
        <f t="shared" si="26"/>
        <v>2</v>
      </c>
      <c r="L233" t="str">
        <f t="shared" si="27"/>
        <v>24-2</v>
      </c>
    </row>
    <row r="234" spans="8:12" x14ac:dyDescent="0.15">
      <c r="H234">
        <f t="shared" si="24"/>
        <v>233</v>
      </c>
      <c r="I234">
        <f t="shared" si="25"/>
        <v>24</v>
      </c>
      <c r="J234">
        <f t="shared" si="23"/>
        <v>24</v>
      </c>
      <c r="K234">
        <f t="shared" si="26"/>
        <v>3</v>
      </c>
      <c r="L234" t="str">
        <f t="shared" si="27"/>
        <v>24-3</v>
      </c>
    </row>
    <row r="235" spans="8:12" x14ac:dyDescent="0.15">
      <c r="H235">
        <f t="shared" si="24"/>
        <v>234</v>
      </c>
      <c r="I235">
        <f t="shared" si="25"/>
        <v>24</v>
      </c>
      <c r="J235">
        <f t="shared" si="23"/>
        <v>24</v>
      </c>
      <c r="K235">
        <f t="shared" si="26"/>
        <v>4</v>
      </c>
      <c r="L235" t="str">
        <f t="shared" si="27"/>
        <v>24-4</v>
      </c>
    </row>
    <row r="236" spans="8:12" x14ac:dyDescent="0.15">
      <c r="H236">
        <f t="shared" si="24"/>
        <v>235</v>
      </c>
      <c r="I236">
        <f t="shared" si="25"/>
        <v>24</v>
      </c>
      <c r="J236">
        <f t="shared" si="23"/>
        <v>24</v>
      </c>
      <c r="K236">
        <f t="shared" si="26"/>
        <v>5</v>
      </c>
      <c r="L236" t="str">
        <f t="shared" si="27"/>
        <v>24-5</v>
      </c>
    </row>
    <row r="237" spans="8:12" x14ac:dyDescent="0.15">
      <c r="H237">
        <f t="shared" si="24"/>
        <v>236</v>
      </c>
      <c r="I237">
        <f t="shared" si="25"/>
        <v>24</v>
      </c>
      <c r="J237">
        <f t="shared" si="23"/>
        <v>24</v>
      </c>
      <c r="K237">
        <f t="shared" si="26"/>
        <v>6</v>
      </c>
      <c r="L237" t="str">
        <f t="shared" si="27"/>
        <v>24-6</v>
      </c>
    </row>
    <row r="238" spans="8:12" x14ac:dyDescent="0.15">
      <c r="H238">
        <f t="shared" si="24"/>
        <v>237</v>
      </c>
      <c r="I238">
        <f t="shared" si="25"/>
        <v>24</v>
      </c>
      <c r="J238">
        <f t="shared" si="23"/>
        <v>24</v>
      </c>
      <c r="K238">
        <f t="shared" si="26"/>
        <v>7</v>
      </c>
      <c r="L238" t="str">
        <f t="shared" si="27"/>
        <v>24-7</v>
      </c>
    </row>
    <row r="239" spans="8:12" x14ac:dyDescent="0.15">
      <c r="H239">
        <f t="shared" si="24"/>
        <v>238</v>
      </c>
      <c r="I239">
        <f t="shared" si="25"/>
        <v>24</v>
      </c>
      <c r="J239">
        <f t="shared" si="23"/>
        <v>24</v>
      </c>
      <c r="K239">
        <f t="shared" si="26"/>
        <v>8</v>
      </c>
      <c r="L239" t="str">
        <f t="shared" si="27"/>
        <v>24-8</v>
      </c>
    </row>
    <row r="240" spans="8:12" x14ac:dyDescent="0.15">
      <c r="H240">
        <f t="shared" si="24"/>
        <v>239</v>
      </c>
      <c r="I240">
        <f t="shared" si="25"/>
        <v>24</v>
      </c>
      <c r="J240">
        <f t="shared" si="23"/>
        <v>24</v>
      </c>
      <c r="K240">
        <f t="shared" si="26"/>
        <v>9</v>
      </c>
      <c r="L240" t="str">
        <f t="shared" si="27"/>
        <v>24-9</v>
      </c>
    </row>
    <row r="241" spans="8:12" x14ac:dyDescent="0.15">
      <c r="H241">
        <f t="shared" si="24"/>
        <v>240</v>
      </c>
      <c r="I241">
        <f t="shared" si="25"/>
        <v>24</v>
      </c>
      <c r="J241">
        <f t="shared" si="23"/>
        <v>24</v>
      </c>
      <c r="K241">
        <f t="shared" si="26"/>
        <v>10</v>
      </c>
      <c r="L241" t="str">
        <f t="shared" si="27"/>
        <v>24-10</v>
      </c>
    </row>
    <row r="242" spans="8:12" x14ac:dyDescent="0.15">
      <c r="H242">
        <f t="shared" si="24"/>
        <v>241</v>
      </c>
      <c r="I242">
        <f t="shared" si="25"/>
        <v>25</v>
      </c>
      <c r="J242">
        <f t="shared" si="23"/>
        <v>25</v>
      </c>
      <c r="K242">
        <f t="shared" si="26"/>
        <v>1</v>
      </c>
      <c r="L242" t="str">
        <f t="shared" si="27"/>
        <v>25-1</v>
      </c>
    </row>
    <row r="243" spans="8:12" x14ac:dyDescent="0.15">
      <c r="H243">
        <f t="shared" si="24"/>
        <v>242</v>
      </c>
      <c r="I243">
        <f t="shared" si="25"/>
        <v>25</v>
      </c>
      <c r="J243">
        <f t="shared" si="23"/>
        <v>25</v>
      </c>
      <c r="K243">
        <f t="shared" si="26"/>
        <v>2</v>
      </c>
      <c r="L243" t="str">
        <f t="shared" si="27"/>
        <v>25-2</v>
      </c>
    </row>
    <row r="244" spans="8:12" x14ac:dyDescent="0.15">
      <c r="H244">
        <f t="shared" si="24"/>
        <v>243</v>
      </c>
      <c r="I244">
        <f t="shared" si="25"/>
        <v>25</v>
      </c>
      <c r="J244">
        <f t="shared" si="23"/>
        <v>25</v>
      </c>
      <c r="K244">
        <f t="shared" si="26"/>
        <v>3</v>
      </c>
      <c r="L244" t="str">
        <f t="shared" si="27"/>
        <v>25-3</v>
      </c>
    </row>
    <row r="245" spans="8:12" x14ac:dyDescent="0.15">
      <c r="H245">
        <f t="shared" si="24"/>
        <v>244</v>
      </c>
      <c r="I245">
        <f t="shared" si="25"/>
        <v>25</v>
      </c>
      <c r="J245">
        <f t="shared" si="23"/>
        <v>25</v>
      </c>
      <c r="K245">
        <f t="shared" si="26"/>
        <v>4</v>
      </c>
      <c r="L245" t="str">
        <f t="shared" si="27"/>
        <v>25-4</v>
      </c>
    </row>
    <row r="246" spans="8:12" x14ac:dyDescent="0.15">
      <c r="H246">
        <f t="shared" si="24"/>
        <v>245</v>
      </c>
      <c r="I246">
        <f t="shared" si="25"/>
        <v>25</v>
      </c>
      <c r="J246">
        <f t="shared" si="23"/>
        <v>25</v>
      </c>
      <c r="K246">
        <f t="shared" si="26"/>
        <v>5</v>
      </c>
      <c r="L246" t="str">
        <f t="shared" si="27"/>
        <v>25-5</v>
      </c>
    </row>
    <row r="247" spans="8:12" x14ac:dyDescent="0.15">
      <c r="H247">
        <f t="shared" si="24"/>
        <v>246</v>
      </c>
      <c r="I247">
        <f t="shared" si="25"/>
        <v>25</v>
      </c>
      <c r="J247">
        <f t="shared" si="23"/>
        <v>25</v>
      </c>
      <c r="K247">
        <f t="shared" si="26"/>
        <v>6</v>
      </c>
      <c r="L247" t="str">
        <f t="shared" si="27"/>
        <v>25-6</v>
      </c>
    </row>
    <row r="248" spans="8:12" x14ac:dyDescent="0.15">
      <c r="H248">
        <f t="shared" si="24"/>
        <v>247</v>
      </c>
      <c r="I248">
        <f t="shared" si="25"/>
        <v>25</v>
      </c>
      <c r="J248">
        <f t="shared" si="23"/>
        <v>25</v>
      </c>
      <c r="K248">
        <f t="shared" si="26"/>
        <v>7</v>
      </c>
      <c r="L248" t="str">
        <f t="shared" si="27"/>
        <v>25-7</v>
      </c>
    </row>
    <row r="249" spans="8:12" x14ac:dyDescent="0.15">
      <c r="H249">
        <f t="shared" si="24"/>
        <v>248</v>
      </c>
      <c r="I249">
        <f t="shared" si="25"/>
        <v>25</v>
      </c>
      <c r="J249">
        <f t="shared" si="23"/>
        <v>25</v>
      </c>
      <c r="K249">
        <f t="shared" si="26"/>
        <v>8</v>
      </c>
      <c r="L249" t="str">
        <f t="shared" si="27"/>
        <v>25-8</v>
      </c>
    </row>
    <row r="250" spans="8:12" x14ac:dyDescent="0.15">
      <c r="H250">
        <f t="shared" si="24"/>
        <v>249</v>
      </c>
      <c r="I250">
        <f t="shared" si="25"/>
        <v>25</v>
      </c>
      <c r="J250">
        <f t="shared" si="23"/>
        <v>25</v>
      </c>
      <c r="K250">
        <f t="shared" si="26"/>
        <v>9</v>
      </c>
      <c r="L250" t="str">
        <f t="shared" si="27"/>
        <v>25-9</v>
      </c>
    </row>
    <row r="251" spans="8:12" x14ac:dyDescent="0.15">
      <c r="H251">
        <f t="shared" ref="H251" si="28">IF(B251=B250,H250+1,1)</f>
        <v>250</v>
      </c>
      <c r="I251">
        <f t="shared" ref="I251" si="29">IF(B251&lt;&gt;B250,I250+1,IF(J250&lt;&gt;J251,I250+1,I250))</f>
        <v>25</v>
      </c>
      <c r="J251">
        <f t="shared" si="23"/>
        <v>25</v>
      </c>
      <c r="K251">
        <f t="shared" ref="K251" si="30">MOD(H251,10)+IF(MOD(H251,10)=0,10,0)</f>
        <v>10</v>
      </c>
      <c r="L251" t="str">
        <f t="shared" ref="L251" si="31">I251&amp;"-"&amp;K251</f>
        <v>25-10</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AF86-5EDB-4EB1-97C1-06AF381E7DBB}">
  <dimension ref="A1:P6"/>
  <sheetViews>
    <sheetView workbookViewId="0">
      <selection activeCell="K17" sqref="K17"/>
    </sheetView>
  </sheetViews>
  <sheetFormatPr defaultRowHeight="13.5" x14ac:dyDescent="0.15"/>
  <cols>
    <col min="2" max="2" width="17" bestFit="1" customWidth="1"/>
    <col min="3" max="16" width="7.25" customWidth="1"/>
  </cols>
  <sheetData>
    <row r="1" spans="1:16" ht="14.25" thickBot="1" x14ac:dyDescent="0.2">
      <c r="B1" s="12" t="s">
        <v>453</v>
      </c>
      <c r="C1" s="12" t="s">
        <v>454</v>
      </c>
    </row>
    <row r="2" spans="1:16" ht="14.25" thickBot="1" x14ac:dyDescent="0.2">
      <c r="A2" s="13" t="s">
        <v>430</v>
      </c>
      <c r="B2" s="22" t="s">
        <v>452</v>
      </c>
      <c r="C2" s="38" t="s">
        <v>3</v>
      </c>
      <c r="D2" s="26" t="s">
        <v>12</v>
      </c>
      <c r="E2" s="26" t="s">
        <v>13</v>
      </c>
      <c r="F2" s="26" t="s">
        <v>14</v>
      </c>
      <c r="G2" s="26" t="s">
        <v>15</v>
      </c>
      <c r="H2" s="26" t="s">
        <v>8</v>
      </c>
      <c r="I2" s="26" t="s">
        <v>9</v>
      </c>
      <c r="J2" s="26" t="s">
        <v>4</v>
      </c>
      <c r="K2" s="26" t="s">
        <v>10</v>
      </c>
      <c r="L2" s="26" t="s">
        <v>5</v>
      </c>
      <c r="M2" s="26" t="s">
        <v>6</v>
      </c>
      <c r="N2" s="26" t="s">
        <v>11</v>
      </c>
      <c r="O2" s="27" t="s">
        <v>7</v>
      </c>
      <c r="P2" s="28" t="s">
        <v>24</v>
      </c>
    </row>
    <row r="3" spans="1:16" x14ac:dyDescent="0.15">
      <c r="A3" s="14" t="s">
        <v>455</v>
      </c>
      <c r="B3" s="23"/>
      <c r="C3" s="13">
        <v>1</v>
      </c>
      <c r="D3" s="43"/>
      <c r="E3" s="43"/>
      <c r="F3" s="43">
        <v>5</v>
      </c>
      <c r="G3" s="43">
        <v>4</v>
      </c>
      <c r="H3" s="43">
        <v>4</v>
      </c>
      <c r="I3" s="43">
        <v>2</v>
      </c>
      <c r="J3" s="43"/>
      <c r="K3" s="43">
        <v>2</v>
      </c>
      <c r="L3" s="43">
        <v>2</v>
      </c>
      <c r="M3" s="43"/>
      <c r="N3" s="43">
        <v>1</v>
      </c>
      <c r="O3" s="43"/>
      <c r="P3" s="44">
        <v>21</v>
      </c>
    </row>
    <row r="4" spans="1:16" ht="14.25" thickBot="1" x14ac:dyDescent="0.2">
      <c r="A4" s="14" t="s">
        <v>456</v>
      </c>
      <c r="B4" s="24" t="s">
        <v>47</v>
      </c>
      <c r="C4" s="14">
        <v>17</v>
      </c>
      <c r="D4">
        <v>20</v>
      </c>
      <c r="E4">
        <v>13</v>
      </c>
      <c r="F4">
        <v>15</v>
      </c>
      <c r="G4">
        <v>16</v>
      </c>
      <c r="H4">
        <v>16</v>
      </c>
      <c r="I4">
        <v>18</v>
      </c>
      <c r="J4">
        <v>10</v>
      </c>
      <c r="K4">
        <v>18</v>
      </c>
      <c r="L4">
        <v>18</v>
      </c>
      <c r="M4">
        <v>20</v>
      </c>
      <c r="N4">
        <v>18</v>
      </c>
      <c r="O4">
        <v>20</v>
      </c>
      <c r="P4" s="45">
        <v>219</v>
      </c>
    </row>
    <row r="5" spans="1:16" ht="14.25" thickBot="1" x14ac:dyDescent="0.2">
      <c r="A5" s="14"/>
      <c r="B5" s="25" t="s">
        <v>24</v>
      </c>
      <c r="C5" s="15">
        <v>18</v>
      </c>
      <c r="D5" s="16">
        <v>20</v>
      </c>
      <c r="E5" s="16">
        <v>13</v>
      </c>
      <c r="F5" s="16">
        <v>20</v>
      </c>
      <c r="G5" s="16">
        <v>20</v>
      </c>
      <c r="H5" s="16">
        <v>20</v>
      </c>
      <c r="I5" s="16">
        <v>20</v>
      </c>
      <c r="J5" s="16">
        <v>10</v>
      </c>
      <c r="K5" s="16">
        <v>20</v>
      </c>
      <c r="L5" s="16">
        <v>20</v>
      </c>
      <c r="M5" s="16">
        <v>20</v>
      </c>
      <c r="N5" s="16">
        <v>19</v>
      </c>
      <c r="O5" s="16">
        <v>20</v>
      </c>
      <c r="P5" s="46">
        <v>240</v>
      </c>
    </row>
    <row r="6" spans="1:16" ht="14.25" thickBot="1" x14ac:dyDescent="0.2">
      <c r="A6" s="15" t="s">
        <v>457</v>
      </c>
      <c r="B6" s="16"/>
      <c r="C6" s="17">
        <f>C4/C5</f>
        <v>0.94444444444444442</v>
      </c>
      <c r="D6" s="17">
        <f t="shared" ref="D6:P6" si="0">D4/D5</f>
        <v>1</v>
      </c>
      <c r="E6" s="17">
        <f t="shared" si="0"/>
        <v>1</v>
      </c>
      <c r="F6" s="17">
        <f t="shared" si="0"/>
        <v>0.75</v>
      </c>
      <c r="G6" s="17">
        <f t="shared" si="0"/>
        <v>0.8</v>
      </c>
      <c r="H6" s="17">
        <f t="shared" si="0"/>
        <v>0.8</v>
      </c>
      <c r="I6" s="17">
        <f t="shared" si="0"/>
        <v>0.9</v>
      </c>
      <c r="J6" s="17">
        <f t="shared" si="0"/>
        <v>1</v>
      </c>
      <c r="K6" s="17">
        <f t="shared" si="0"/>
        <v>0.9</v>
      </c>
      <c r="L6" s="17">
        <f t="shared" si="0"/>
        <v>0.9</v>
      </c>
      <c r="M6" s="17">
        <f t="shared" si="0"/>
        <v>1</v>
      </c>
      <c r="N6" s="17">
        <f t="shared" si="0"/>
        <v>0.94736842105263153</v>
      </c>
      <c r="O6" s="17">
        <f t="shared" si="0"/>
        <v>1</v>
      </c>
      <c r="P6" s="17">
        <f t="shared" si="0"/>
        <v>0.91249999999999998</v>
      </c>
    </row>
  </sheetData>
  <phoneticPr fontId="1"/>
  <pageMargins left="0.7" right="0.7" top="0.75" bottom="0.75" header="0.3" footer="0.3"/>
  <pageSetup paperSize="9" orientation="portrait"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A9A5A-8ADE-4B0B-888C-BC0FE85FF8F9}">
  <sheetPr>
    <pageSetUpPr fitToPage="1"/>
  </sheetPr>
  <dimension ref="A2:P17"/>
  <sheetViews>
    <sheetView view="pageBreakPreview" zoomScale="106" zoomScaleNormal="100" zoomScaleSheetLayoutView="106" workbookViewId="0">
      <selection activeCell="S13" sqref="S13"/>
    </sheetView>
  </sheetViews>
  <sheetFormatPr defaultRowHeight="13.5" x14ac:dyDescent="0.15"/>
  <cols>
    <col min="1" max="1" width="7.125" bestFit="1" customWidth="1"/>
    <col min="2" max="4" width="5.125" bestFit="1" customWidth="1"/>
    <col min="5" max="5" width="7.875" bestFit="1" customWidth="1"/>
    <col min="6" max="10" width="5.125" bestFit="1" customWidth="1"/>
  </cols>
  <sheetData>
    <row r="2" spans="1:16" x14ac:dyDescent="0.15">
      <c r="F2" s="50" t="s">
        <v>46</v>
      </c>
      <c r="G2" s="50"/>
      <c r="H2" s="50"/>
      <c r="I2" s="50"/>
      <c r="J2" s="50"/>
    </row>
    <row r="3" spans="1:16" ht="82.5" x14ac:dyDescent="0.15">
      <c r="A3" s="4" t="s">
        <v>26</v>
      </c>
      <c r="B3" s="5" t="s">
        <v>25</v>
      </c>
      <c r="C3" s="5" t="s">
        <v>39</v>
      </c>
      <c r="D3" s="6" t="s">
        <v>38</v>
      </c>
      <c r="E3" s="7" t="s">
        <v>40</v>
      </c>
      <c r="F3" s="5" t="s">
        <v>41</v>
      </c>
      <c r="G3" s="5" t="s">
        <v>42</v>
      </c>
      <c r="H3" s="5" t="s">
        <v>43</v>
      </c>
      <c r="I3" s="5" t="s">
        <v>44</v>
      </c>
      <c r="J3" s="5" t="s">
        <v>45</v>
      </c>
    </row>
    <row r="4" spans="1:16" x14ac:dyDescent="0.15">
      <c r="A4" s="3" t="s">
        <v>3</v>
      </c>
      <c r="B4">
        <v>18</v>
      </c>
      <c r="C4">
        <v>17</v>
      </c>
      <c r="D4" s="47">
        <v>17</v>
      </c>
      <c r="E4" s="29">
        <v>1</v>
      </c>
      <c r="F4">
        <v>12</v>
      </c>
      <c r="G4">
        <v>17</v>
      </c>
      <c r="H4">
        <v>17</v>
      </c>
      <c r="I4">
        <v>17</v>
      </c>
      <c r="J4">
        <v>17</v>
      </c>
    </row>
    <row r="5" spans="1:16" x14ac:dyDescent="0.15">
      <c r="A5" s="3" t="s">
        <v>12</v>
      </c>
      <c r="B5">
        <v>20</v>
      </c>
      <c r="C5">
        <v>20</v>
      </c>
      <c r="D5" s="47">
        <v>20</v>
      </c>
      <c r="E5" s="29">
        <v>1</v>
      </c>
      <c r="F5">
        <v>16</v>
      </c>
      <c r="G5">
        <v>16</v>
      </c>
      <c r="H5">
        <v>19</v>
      </c>
      <c r="I5">
        <v>20</v>
      </c>
      <c r="J5">
        <v>20</v>
      </c>
    </row>
    <row r="6" spans="1:16" x14ac:dyDescent="0.15">
      <c r="A6" s="3" t="s">
        <v>13</v>
      </c>
      <c r="B6">
        <v>13</v>
      </c>
      <c r="C6">
        <v>13</v>
      </c>
      <c r="D6" s="47">
        <v>13</v>
      </c>
      <c r="E6" s="29">
        <v>1</v>
      </c>
      <c r="F6">
        <v>11</v>
      </c>
      <c r="G6">
        <v>13</v>
      </c>
      <c r="H6">
        <v>13</v>
      </c>
      <c r="I6">
        <v>13</v>
      </c>
      <c r="J6">
        <v>13</v>
      </c>
    </row>
    <row r="7" spans="1:16" x14ac:dyDescent="0.15">
      <c r="A7" s="3" t="s">
        <v>14</v>
      </c>
      <c r="B7">
        <v>20</v>
      </c>
      <c r="C7">
        <v>15</v>
      </c>
      <c r="D7" s="47">
        <v>15</v>
      </c>
      <c r="E7" s="29">
        <v>1</v>
      </c>
      <c r="F7">
        <v>12</v>
      </c>
      <c r="G7">
        <v>15</v>
      </c>
      <c r="H7">
        <v>15</v>
      </c>
      <c r="I7">
        <v>15</v>
      </c>
      <c r="J7">
        <v>15</v>
      </c>
    </row>
    <row r="8" spans="1:16" x14ac:dyDescent="0.15">
      <c r="A8" s="3" t="s">
        <v>15</v>
      </c>
      <c r="B8">
        <v>20</v>
      </c>
      <c r="C8">
        <v>16</v>
      </c>
      <c r="D8" s="47">
        <v>16</v>
      </c>
      <c r="E8" s="29">
        <v>1</v>
      </c>
      <c r="F8">
        <v>15</v>
      </c>
      <c r="G8">
        <v>15</v>
      </c>
      <c r="H8">
        <v>16</v>
      </c>
      <c r="I8">
        <v>16</v>
      </c>
      <c r="J8">
        <v>16</v>
      </c>
    </row>
    <row r="9" spans="1:16" x14ac:dyDescent="0.15">
      <c r="A9" s="3" t="s">
        <v>8</v>
      </c>
      <c r="B9">
        <v>20</v>
      </c>
      <c r="C9">
        <v>16</v>
      </c>
      <c r="D9" s="47">
        <v>16</v>
      </c>
      <c r="E9" s="29">
        <v>1</v>
      </c>
      <c r="F9">
        <v>8</v>
      </c>
      <c r="G9">
        <v>13</v>
      </c>
      <c r="H9">
        <v>15</v>
      </c>
      <c r="I9">
        <v>16</v>
      </c>
      <c r="J9">
        <v>16</v>
      </c>
    </row>
    <row r="10" spans="1:16" x14ac:dyDescent="0.15">
      <c r="A10" s="3" t="s">
        <v>9</v>
      </c>
      <c r="B10">
        <v>20</v>
      </c>
      <c r="C10">
        <v>18</v>
      </c>
      <c r="D10" s="47">
        <v>18</v>
      </c>
      <c r="E10" s="29">
        <v>1</v>
      </c>
      <c r="F10">
        <v>13</v>
      </c>
      <c r="G10">
        <v>17</v>
      </c>
      <c r="H10">
        <v>18</v>
      </c>
      <c r="I10">
        <v>18</v>
      </c>
      <c r="J10">
        <v>18</v>
      </c>
    </row>
    <row r="11" spans="1:16" x14ac:dyDescent="0.15">
      <c r="A11" s="3" t="s">
        <v>4</v>
      </c>
      <c r="B11">
        <v>10</v>
      </c>
      <c r="C11">
        <v>10</v>
      </c>
      <c r="D11" s="47">
        <v>10</v>
      </c>
      <c r="E11" s="29">
        <v>1</v>
      </c>
      <c r="F11">
        <v>6</v>
      </c>
      <c r="G11">
        <v>9</v>
      </c>
      <c r="H11">
        <v>10</v>
      </c>
      <c r="I11">
        <v>10</v>
      </c>
      <c r="J11">
        <v>10</v>
      </c>
    </row>
    <row r="12" spans="1:16" x14ac:dyDescent="0.15">
      <c r="A12" s="3" t="s">
        <v>10</v>
      </c>
      <c r="B12">
        <v>20</v>
      </c>
      <c r="C12">
        <v>18</v>
      </c>
      <c r="D12" s="47">
        <v>18</v>
      </c>
      <c r="E12" s="29">
        <v>1</v>
      </c>
      <c r="F12">
        <v>7</v>
      </c>
      <c r="G12">
        <v>16</v>
      </c>
      <c r="H12">
        <v>16</v>
      </c>
      <c r="I12">
        <v>18</v>
      </c>
      <c r="J12">
        <v>18</v>
      </c>
    </row>
    <row r="13" spans="1:16" x14ac:dyDescent="0.15">
      <c r="A13" s="3" t="s">
        <v>5</v>
      </c>
      <c r="B13">
        <v>20</v>
      </c>
      <c r="C13">
        <v>18</v>
      </c>
      <c r="D13" s="47">
        <v>18</v>
      </c>
      <c r="E13" s="29">
        <v>1</v>
      </c>
      <c r="F13">
        <v>11</v>
      </c>
      <c r="G13">
        <v>17</v>
      </c>
      <c r="H13">
        <v>18</v>
      </c>
      <c r="I13">
        <v>18</v>
      </c>
      <c r="J13">
        <v>18</v>
      </c>
    </row>
    <row r="14" spans="1:16" x14ac:dyDescent="0.15">
      <c r="A14" s="3" t="s">
        <v>6</v>
      </c>
      <c r="B14">
        <v>20</v>
      </c>
      <c r="C14">
        <v>20</v>
      </c>
      <c r="D14" s="47">
        <v>20</v>
      </c>
      <c r="E14" s="29">
        <v>1</v>
      </c>
      <c r="F14">
        <v>8</v>
      </c>
      <c r="G14">
        <v>16</v>
      </c>
      <c r="H14">
        <v>19</v>
      </c>
      <c r="I14">
        <v>20</v>
      </c>
      <c r="J14">
        <v>20</v>
      </c>
    </row>
    <row r="15" spans="1:16" x14ac:dyDescent="0.15">
      <c r="A15" s="3" t="s">
        <v>11</v>
      </c>
      <c r="B15">
        <v>19</v>
      </c>
      <c r="C15">
        <v>18</v>
      </c>
      <c r="D15" s="47">
        <v>18</v>
      </c>
      <c r="E15" s="29">
        <v>1</v>
      </c>
      <c r="F15">
        <v>9</v>
      </c>
      <c r="G15">
        <v>16</v>
      </c>
      <c r="H15">
        <v>18</v>
      </c>
      <c r="I15">
        <v>18</v>
      </c>
      <c r="J15">
        <v>18</v>
      </c>
    </row>
    <row r="16" spans="1:16" x14ac:dyDescent="0.15">
      <c r="A16" s="3" t="s">
        <v>7</v>
      </c>
      <c r="B16">
        <v>20</v>
      </c>
      <c r="C16">
        <v>20</v>
      </c>
      <c r="D16" s="47">
        <v>20</v>
      </c>
      <c r="E16" s="29">
        <v>1</v>
      </c>
      <c r="F16">
        <v>15</v>
      </c>
      <c r="G16">
        <v>20</v>
      </c>
      <c r="H16">
        <v>20</v>
      </c>
      <c r="I16">
        <v>20</v>
      </c>
      <c r="J16">
        <v>20</v>
      </c>
      <c r="L16" s="37" t="str">
        <f>F3</f>
        <v>11月末</v>
      </c>
      <c r="M16" s="37" t="str">
        <f t="shared" ref="M16:O16" si="0">G3</f>
        <v>12月末</v>
      </c>
      <c r="N16" s="37" t="str">
        <f t="shared" si="0"/>
        <v>1月末</v>
      </c>
      <c r="O16" s="37" t="str">
        <f t="shared" si="0"/>
        <v>2月末</v>
      </c>
      <c r="P16" s="37" t="str">
        <f>J3</f>
        <v>3月末</v>
      </c>
    </row>
    <row r="17" spans="1:16" x14ac:dyDescent="0.15">
      <c r="A17" s="3" t="s">
        <v>24</v>
      </c>
      <c r="B17">
        <v>240</v>
      </c>
      <c r="C17">
        <v>219</v>
      </c>
      <c r="D17" s="47">
        <v>219</v>
      </c>
      <c r="E17" s="29">
        <v>1</v>
      </c>
      <c r="F17">
        <v>143</v>
      </c>
      <c r="G17">
        <v>200</v>
      </c>
      <c r="H17">
        <v>214</v>
      </c>
      <c r="I17">
        <v>219</v>
      </c>
      <c r="J17">
        <v>219</v>
      </c>
      <c r="L17" s="37">
        <f>F17/$C$17</f>
        <v>0.65296803652968038</v>
      </c>
      <c r="M17" s="37">
        <f t="shared" ref="M17:O17" si="1">G17/$C$17</f>
        <v>0.91324200913242004</v>
      </c>
      <c r="N17" s="37">
        <f t="shared" si="1"/>
        <v>0.97716894977168944</v>
      </c>
      <c r="O17" s="37">
        <f t="shared" si="1"/>
        <v>1</v>
      </c>
      <c r="P17" s="37">
        <f>J17/$C$17</f>
        <v>1</v>
      </c>
    </row>
  </sheetData>
  <mergeCells count="1">
    <mergeCell ref="F2:J2"/>
  </mergeCells>
  <phoneticPr fontId="1"/>
  <pageMargins left="0.70866141732283472" right="0.70866141732283472" top="0.74803149606299213" bottom="0.74803149606299213" header="0.31496062992125984" footer="0.31496062992125984"/>
  <pageSetup paperSize="9" orientation="landscape" horizontalDpi="1200" verticalDpi="1200" r:id="rId2"/>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375CA-24D2-419C-A03F-EE676BEB8DB9}">
  <dimension ref="Q1:V441"/>
  <sheetViews>
    <sheetView showGridLines="0" view="pageBreakPreview" zoomScale="60" zoomScaleNormal="98" workbookViewId="0">
      <selection activeCell="T415" sqref="T415"/>
    </sheetView>
  </sheetViews>
  <sheetFormatPr defaultRowHeight="36.75" customHeight="1" x14ac:dyDescent="0.15"/>
  <cols>
    <col min="20" max="20" width="12.375" style="19" bestFit="1" customWidth="1"/>
    <col min="21" max="22" width="54.25" style="20" customWidth="1"/>
  </cols>
  <sheetData>
    <row r="1" spans="17:22" ht="36.75" customHeight="1" x14ac:dyDescent="0.15">
      <c r="Q1">
        <v>1</v>
      </c>
    </row>
    <row r="7" spans="17:22" ht="36.75" customHeight="1" x14ac:dyDescent="0.15">
      <c r="R7">
        <v>1</v>
      </c>
      <c r="S7" t="str">
        <f>Q1&amp;"-"&amp;R7</f>
        <v>1-1</v>
      </c>
      <c r="T7" s="19">
        <f>_xlfn.XLOOKUP(S7,合格掲示用ワーク!L:L,合格掲示用ワーク!B:B,"",0,1)</f>
        <v>0</v>
      </c>
      <c r="U7" s="20">
        <f>_xlfn.XLOOKUP(S7,合格掲示用ワーク!L:L,合格掲示用ワーク!C:C,"",0,1)</f>
        <v>0</v>
      </c>
      <c r="V7" s="20">
        <f>_xlfn.XLOOKUP(S7,合格掲示用ワーク!L:L,合格掲示用ワーク!G:G,"",0,1)</f>
        <v>0</v>
      </c>
    </row>
    <row r="8" spans="17:22" ht="36.75" customHeight="1" x14ac:dyDescent="0.15">
      <c r="R8">
        <v>2</v>
      </c>
      <c r="S8" t="str">
        <f>Q1&amp;"-"&amp;R8</f>
        <v>1-2</v>
      </c>
      <c r="T8" s="19">
        <f>_xlfn.XLOOKUP(S8,合格掲示用ワーク!L:L,合格掲示用ワーク!B:B,"",0,1)</f>
        <v>0</v>
      </c>
      <c r="U8" s="20">
        <f>_xlfn.XLOOKUP(S8,合格掲示用ワーク!L:L,合格掲示用ワーク!C:C,"",0,1)</f>
        <v>0</v>
      </c>
      <c r="V8" s="20">
        <f>_xlfn.XLOOKUP(S8,合格掲示用ワーク!L:L,合格掲示用ワーク!G:G,"",0,1)</f>
        <v>0</v>
      </c>
    </row>
    <row r="9" spans="17:22" ht="36.75" customHeight="1" x14ac:dyDescent="0.15">
      <c r="R9">
        <v>3</v>
      </c>
      <c r="S9" t="str">
        <f>Q1&amp;"-"&amp;R9</f>
        <v>1-3</v>
      </c>
      <c r="T9" s="19">
        <f>_xlfn.XLOOKUP(S9,合格掲示用ワーク!L:L,合格掲示用ワーク!B:B,"",0,1)</f>
        <v>0</v>
      </c>
      <c r="U9" s="20">
        <f>_xlfn.XLOOKUP(S9,合格掲示用ワーク!L:L,合格掲示用ワーク!C:C,"",0,1)</f>
        <v>0</v>
      </c>
      <c r="V9" s="20">
        <f>_xlfn.XLOOKUP(S9,合格掲示用ワーク!L:L,合格掲示用ワーク!G:G,"",0,1)</f>
        <v>0</v>
      </c>
    </row>
    <row r="10" spans="17:22" ht="36.75" customHeight="1" x14ac:dyDescent="0.15">
      <c r="R10">
        <v>4</v>
      </c>
      <c r="S10" t="str">
        <f>Q1&amp;"-"&amp;R10</f>
        <v>1-4</v>
      </c>
      <c r="T10" s="19">
        <f>_xlfn.XLOOKUP(S10,合格掲示用ワーク!L:L,合格掲示用ワーク!B:B,"",0,1)</f>
        <v>0</v>
      </c>
      <c r="U10" s="20">
        <f>_xlfn.XLOOKUP(S10,合格掲示用ワーク!L:L,合格掲示用ワーク!C:C,"",0,1)</f>
        <v>0</v>
      </c>
      <c r="V10" s="20">
        <f>_xlfn.XLOOKUP(S10,合格掲示用ワーク!L:L,合格掲示用ワーク!G:G,"",0,1)</f>
        <v>0</v>
      </c>
    </row>
    <row r="11" spans="17:22" ht="36.75" customHeight="1" x14ac:dyDescent="0.15">
      <c r="R11">
        <v>5</v>
      </c>
      <c r="S11" t="str">
        <f>Q1&amp;"-"&amp;R11</f>
        <v>1-5</v>
      </c>
      <c r="T11" s="19">
        <f>_xlfn.XLOOKUP(S11,合格掲示用ワーク!L:L,合格掲示用ワーク!B:B,"",0,1)</f>
        <v>0</v>
      </c>
      <c r="U11" s="20">
        <f>_xlfn.XLOOKUP(S11,合格掲示用ワーク!L:L,合格掲示用ワーク!C:C,"",0,1)</f>
        <v>0</v>
      </c>
      <c r="V11" s="20">
        <f>_xlfn.XLOOKUP(S11,合格掲示用ワーク!L:L,合格掲示用ワーク!G:G,"",0,1)</f>
        <v>0</v>
      </c>
    </row>
    <row r="12" spans="17:22" ht="36.75" customHeight="1" x14ac:dyDescent="0.15">
      <c r="R12">
        <v>6</v>
      </c>
      <c r="S12" t="str">
        <f>Q1&amp;"-"&amp;R12</f>
        <v>1-6</v>
      </c>
      <c r="T12" s="19">
        <f>_xlfn.XLOOKUP(S12,合格掲示用ワーク!L:L,合格掲示用ワーク!B:B,"",0,1)</f>
        <v>0</v>
      </c>
      <c r="U12" s="20">
        <f>_xlfn.XLOOKUP(S12,合格掲示用ワーク!L:L,合格掲示用ワーク!C:C,"",0,1)</f>
        <v>0</v>
      </c>
      <c r="V12" s="20">
        <f>_xlfn.XLOOKUP(S12,合格掲示用ワーク!L:L,合格掲示用ワーク!G:G,"",0,1)</f>
        <v>0</v>
      </c>
    </row>
    <row r="13" spans="17:22" ht="36.75" customHeight="1" x14ac:dyDescent="0.15">
      <c r="R13">
        <v>7</v>
      </c>
      <c r="S13" t="str">
        <f>Q1&amp;"-"&amp;R13</f>
        <v>1-7</v>
      </c>
      <c r="T13" s="19">
        <f>_xlfn.XLOOKUP(S13,合格掲示用ワーク!L:L,合格掲示用ワーク!B:B,"",0,1)</f>
        <v>0</v>
      </c>
      <c r="U13" s="20">
        <f>_xlfn.XLOOKUP(S13,合格掲示用ワーク!L:L,合格掲示用ワーク!C:C,"",0,1)</f>
        <v>0</v>
      </c>
      <c r="V13" s="20">
        <f>_xlfn.XLOOKUP(S13,合格掲示用ワーク!L:L,合格掲示用ワーク!G:G,"",0,1)</f>
        <v>0</v>
      </c>
    </row>
    <row r="14" spans="17:22" ht="36.75" customHeight="1" x14ac:dyDescent="0.15">
      <c r="R14">
        <v>8</v>
      </c>
      <c r="S14" t="str">
        <f>Q1&amp;"-"&amp;R14</f>
        <v>1-8</v>
      </c>
      <c r="T14" s="19">
        <f>_xlfn.XLOOKUP(S14,合格掲示用ワーク!L:L,合格掲示用ワーク!B:B,"",0,1)</f>
        <v>0</v>
      </c>
      <c r="U14" s="20">
        <f>_xlfn.XLOOKUP(S14,合格掲示用ワーク!L:L,合格掲示用ワーク!C:C,"",0,1)</f>
        <v>0</v>
      </c>
      <c r="V14" s="20">
        <f>_xlfn.XLOOKUP(S14,合格掲示用ワーク!L:L,合格掲示用ワーク!G:G,"",0,1)</f>
        <v>0</v>
      </c>
    </row>
    <row r="15" spans="17:22" ht="36.75" customHeight="1" x14ac:dyDescent="0.15">
      <c r="R15" s="18">
        <v>9</v>
      </c>
      <c r="S15" t="str">
        <f>Q1&amp;"-"&amp;R15</f>
        <v>1-9</v>
      </c>
      <c r="T15" s="19">
        <f>_xlfn.XLOOKUP(S15,合格掲示用ワーク!L:L,合格掲示用ワーク!B:B,"",0,1)</f>
        <v>0</v>
      </c>
      <c r="U15" s="20">
        <f>_xlfn.XLOOKUP(S15,合格掲示用ワーク!L:L,合格掲示用ワーク!C:C,"",0,1)</f>
        <v>0</v>
      </c>
      <c r="V15" s="20">
        <f>_xlfn.XLOOKUP(S15,合格掲示用ワーク!L:L,合格掲示用ワーク!G:G,"",0,1)</f>
        <v>0</v>
      </c>
    </row>
    <row r="16" spans="17:22" ht="36.75" customHeight="1" x14ac:dyDescent="0.15">
      <c r="R16">
        <v>10</v>
      </c>
      <c r="S16" t="str">
        <f>Q1&amp;"-"&amp;R16</f>
        <v>1-10</v>
      </c>
      <c r="T16" s="19">
        <f>_xlfn.XLOOKUP(S16,合格掲示用ワーク!L:L,合格掲示用ワーク!B:B,"",0,1)</f>
        <v>0</v>
      </c>
      <c r="U16" s="20">
        <f>_xlfn.XLOOKUP(S16,合格掲示用ワーク!L:L,合格掲示用ワーク!C:C,"",0,1)</f>
        <v>0</v>
      </c>
      <c r="V16" s="20">
        <f>_xlfn.XLOOKUP(S16,合格掲示用ワーク!L:L,合格掲示用ワーク!G:G,"",0,1)</f>
        <v>0</v>
      </c>
    </row>
    <row r="18" spans="17:22" ht="36.75" customHeight="1" x14ac:dyDescent="0.15">
      <c r="Q18">
        <f>Q1+1</f>
        <v>2</v>
      </c>
    </row>
    <row r="24" spans="17:22" ht="36.75" customHeight="1" x14ac:dyDescent="0.15">
      <c r="R24">
        <v>1</v>
      </c>
      <c r="S24" t="str">
        <f>Q18&amp;"-"&amp;R24</f>
        <v>2-1</v>
      </c>
      <c r="T24" s="19">
        <f>_xlfn.XLOOKUP(S24,合格掲示用ワーク!L:L,合格掲示用ワーク!B:B,"",0,1)</f>
        <v>0</v>
      </c>
      <c r="U24" s="20">
        <f>_xlfn.XLOOKUP(S24,合格掲示用ワーク!L:L,合格掲示用ワーク!C:C,"",0,1)</f>
        <v>0</v>
      </c>
      <c r="V24" s="20">
        <f>_xlfn.XLOOKUP(S24,合格掲示用ワーク!L:L,合格掲示用ワーク!G:G,"",0,1)</f>
        <v>0</v>
      </c>
    </row>
    <row r="25" spans="17:22" ht="36.75" customHeight="1" x14ac:dyDescent="0.15">
      <c r="R25">
        <v>2</v>
      </c>
      <c r="S25" t="str">
        <f>Q18&amp;"-"&amp;R25</f>
        <v>2-2</v>
      </c>
      <c r="T25" s="19">
        <f>_xlfn.XLOOKUP(S25,合格掲示用ワーク!L:L,合格掲示用ワーク!B:B,"",0,1)</f>
        <v>0</v>
      </c>
      <c r="U25" s="20">
        <f>_xlfn.XLOOKUP(S25,合格掲示用ワーク!L:L,合格掲示用ワーク!C:C,"",0,1)</f>
        <v>0</v>
      </c>
      <c r="V25" s="20">
        <f>_xlfn.XLOOKUP(S25,合格掲示用ワーク!L:L,合格掲示用ワーク!G:G,"",0,1)</f>
        <v>0</v>
      </c>
    </row>
    <row r="26" spans="17:22" ht="36.75" customHeight="1" x14ac:dyDescent="0.15">
      <c r="R26">
        <v>3</v>
      </c>
      <c r="S26" t="str">
        <f>Q18&amp;"-"&amp;R26</f>
        <v>2-3</v>
      </c>
      <c r="T26" s="19">
        <f>_xlfn.XLOOKUP(S26,合格掲示用ワーク!L:L,合格掲示用ワーク!B:B,"",0,1)</f>
        <v>0</v>
      </c>
      <c r="U26" s="20">
        <f>_xlfn.XLOOKUP(S26,合格掲示用ワーク!L:L,合格掲示用ワーク!C:C,"",0,1)</f>
        <v>0</v>
      </c>
      <c r="V26" s="20">
        <f>_xlfn.XLOOKUP(S26,合格掲示用ワーク!L:L,合格掲示用ワーク!G:G,"",0,1)</f>
        <v>0</v>
      </c>
    </row>
    <row r="27" spans="17:22" ht="36.75" customHeight="1" x14ac:dyDescent="0.15">
      <c r="R27">
        <v>4</v>
      </c>
      <c r="S27" t="str">
        <f>Q18&amp;"-"&amp;R27</f>
        <v>2-4</v>
      </c>
      <c r="T27" s="19">
        <f>_xlfn.XLOOKUP(S27,合格掲示用ワーク!L:L,合格掲示用ワーク!B:B,"",0,1)</f>
        <v>0</v>
      </c>
      <c r="U27" s="20">
        <f>_xlfn.XLOOKUP(S27,合格掲示用ワーク!L:L,合格掲示用ワーク!C:C,"",0,1)</f>
        <v>0</v>
      </c>
      <c r="V27" s="20">
        <f>_xlfn.XLOOKUP(S27,合格掲示用ワーク!L:L,合格掲示用ワーク!G:G,"",0,1)</f>
        <v>0</v>
      </c>
    </row>
    <row r="28" spans="17:22" ht="36.75" customHeight="1" x14ac:dyDescent="0.15">
      <c r="R28">
        <v>5</v>
      </c>
      <c r="S28" t="str">
        <f>Q18&amp;"-"&amp;R28</f>
        <v>2-5</v>
      </c>
      <c r="T28" s="19">
        <f>_xlfn.XLOOKUP(S28,合格掲示用ワーク!L:L,合格掲示用ワーク!B:B,"",0,1)</f>
        <v>0</v>
      </c>
      <c r="U28" s="20">
        <f>_xlfn.XLOOKUP(S28,合格掲示用ワーク!L:L,合格掲示用ワーク!C:C,"",0,1)</f>
        <v>0</v>
      </c>
      <c r="V28" s="20">
        <f>_xlfn.XLOOKUP(S28,合格掲示用ワーク!L:L,合格掲示用ワーク!G:G,"",0,1)</f>
        <v>0</v>
      </c>
    </row>
    <row r="29" spans="17:22" ht="36.75" customHeight="1" x14ac:dyDescent="0.15">
      <c r="R29">
        <v>6</v>
      </c>
      <c r="S29" t="str">
        <f>Q18&amp;"-"&amp;R29</f>
        <v>2-6</v>
      </c>
      <c r="T29" s="19">
        <f>_xlfn.XLOOKUP(S29,合格掲示用ワーク!L:L,合格掲示用ワーク!B:B,"",0,1)</f>
        <v>0</v>
      </c>
      <c r="U29" s="20">
        <f>_xlfn.XLOOKUP(S29,合格掲示用ワーク!L:L,合格掲示用ワーク!C:C,"",0,1)</f>
        <v>0</v>
      </c>
      <c r="V29" s="20">
        <f>_xlfn.XLOOKUP(S29,合格掲示用ワーク!L:L,合格掲示用ワーク!G:G,"",0,1)</f>
        <v>0</v>
      </c>
    </row>
    <row r="30" spans="17:22" ht="36.75" customHeight="1" x14ac:dyDescent="0.15">
      <c r="R30">
        <v>7</v>
      </c>
      <c r="S30" t="str">
        <f>Q18&amp;"-"&amp;R30</f>
        <v>2-7</v>
      </c>
      <c r="T30" s="19">
        <f>_xlfn.XLOOKUP(S30,合格掲示用ワーク!L:L,合格掲示用ワーク!B:B,"",0,1)</f>
        <v>0</v>
      </c>
      <c r="U30" s="20">
        <f>_xlfn.XLOOKUP(S30,合格掲示用ワーク!L:L,合格掲示用ワーク!C:C,"",0,1)</f>
        <v>0</v>
      </c>
      <c r="V30" s="20">
        <f>_xlfn.XLOOKUP(S30,合格掲示用ワーク!L:L,合格掲示用ワーク!G:G,"",0,1)</f>
        <v>0</v>
      </c>
    </row>
    <row r="31" spans="17:22" ht="36.75" customHeight="1" x14ac:dyDescent="0.15">
      <c r="R31">
        <v>8</v>
      </c>
      <c r="S31" t="str">
        <f>Q18&amp;"-"&amp;R31</f>
        <v>2-8</v>
      </c>
      <c r="T31" s="19">
        <f>_xlfn.XLOOKUP(S31,合格掲示用ワーク!L:L,合格掲示用ワーク!B:B,"",0,1)</f>
        <v>0</v>
      </c>
      <c r="U31" s="20">
        <f>_xlfn.XLOOKUP(S31,合格掲示用ワーク!L:L,合格掲示用ワーク!C:C,"",0,1)</f>
        <v>0</v>
      </c>
      <c r="V31" s="20">
        <f>_xlfn.XLOOKUP(S31,合格掲示用ワーク!L:L,合格掲示用ワーク!G:G,"",0,1)</f>
        <v>0</v>
      </c>
    </row>
    <row r="32" spans="17:22" ht="36.75" customHeight="1" x14ac:dyDescent="0.15">
      <c r="R32" s="18">
        <v>9</v>
      </c>
      <c r="S32" t="str">
        <f>Q18&amp;"-"&amp;R32</f>
        <v>2-9</v>
      </c>
      <c r="T32" s="19">
        <f>_xlfn.XLOOKUP(S32,合格掲示用ワーク!L:L,合格掲示用ワーク!B:B,"",0,1)</f>
        <v>0</v>
      </c>
      <c r="U32" s="20">
        <f>_xlfn.XLOOKUP(S32,合格掲示用ワーク!L:L,合格掲示用ワーク!C:C,"",0,1)</f>
        <v>0</v>
      </c>
      <c r="V32" s="20">
        <f>_xlfn.XLOOKUP(S32,合格掲示用ワーク!L:L,合格掲示用ワーク!G:G,"",0,1)</f>
        <v>0</v>
      </c>
    </row>
    <row r="33" spans="17:22" ht="36.75" customHeight="1" x14ac:dyDescent="0.15">
      <c r="R33">
        <v>10</v>
      </c>
      <c r="S33" t="str">
        <f>Q18&amp;"-"&amp;R33</f>
        <v>2-10</v>
      </c>
      <c r="T33" s="19">
        <f>_xlfn.XLOOKUP(S33,合格掲示用ワーク!L:L,合格掲示用ワーク!B:B,"",0,1)</f>
        <v>0</v>
      </c>
      <c r="U33" s="20">
        <f>_xlfn.XLOOKUP(S33,合格掲示用ワーク!L:L,合格掲示用ワーク!C:C,"",0,1)</f>
        <v>0</v>
      </c>
      <c r="V33" s="20">
        <f>_xlfn.XLOOKUP(S33,合格掲示用ワーク!L:L,合格掲示用ワーク!G:G,"",0,1)</f>
        <v>0</v>
      </c>
    </row>
    <row r="35" spans="17:22" ht="36.75" customHeight="1" x14ac:dyDescent="0.15">
      <c r="Q35">
        <f>Q18+1</f>
        <v>3</v>
      </c>
    </row>
    <row r="41" spans="17:22" ht="36.75" customHeight="1" x14ac:dyDescent="0.15">
      <c r="R41">
        <v>1</v>
      </c>
      <c r="S41" t="str">
        <f>Q35&amp;"-"&amp;R41</f>
        <v>3-1</v>
      </c>
      <c r="T41" s="19">
        <f>_xlfn.XLOOKUP(S41,合格掲示用ワーク!L:L,合格掲示用ワーク!B:B,"",0,1)</f>
        <v>0</v>
      </c>
      <c r="U41" s="20">
        <f>_xlfn.XLOOKUP(S41,合格掲示用ワーク!L:L,合格掲示用ワーク!C:C,"",0,1)</f>
        <v>0</v>
      </c>
      <c r="V41" s="20">
        <f>_xlfn.XLOOKUP(S41,合格掲示用ワーク!L:L,合格掲示用ワーク!G:G,"",0,1)</f>
        <v>0</v>
      </c>
    </row>
    <row r="42" spans="17:22" ht="36.75" customHeight="1" x14ac:dyDescent="0.15">
      <c r="R42">
        <v>2</v>
      </c>
      <c r="S42" t="str">
        <f>Q35&amp;"-"&amp;R42</f>
        <v>3-2</v>
      </c>
      <c r="T42" s="19">
        <f>_xlfn.XLOOKUP(S42,合格掲示用ワーク!L:L,合格掲示用ワーク!B:B,"",0,1)</f>
        <v>0</v>
      </c>
      <c r="U42" s="20">
        <f>_xlfn.XLOOKUP(S42,合格掲示用ワーク!L:L,合格掲示用ワーク!C:C,"",0,1)</f>
        <v>0</v>
      </c>
      <c r="V42" s="20">
        <f>_xlfn.XLOOKUP(S42,合格掲示用ワーク!L:L,合格掲示用ワーク!G:G,"",0,1)</f>
        <v>0</v>
      </c>
    </row>
    <row r="43" spans="17:22" ht="36.75" customHeight="1" x14ac:dyDescent="0.15">
      <c r="R43">
        <v>3</v>
      </c>
      <c r="S43" t="str">
        <f>Q35&amp;"-"&amp;R43</f>
        <v>3-3</v>
      </c>
      <c r="T43" s="19">
        <f>_xlfn.XLOOKUP(S43,合格掲示用ワーク!L:L,合格掲示用ワーク!B:B,"",0,1)</f>
        <v>0</v>
      </c>
      <c r="U43" s="20">
        <f>_xlfn.XLOOKUP(S43,合格掲示用ワーク!L:L,合格掲示用ワーク!C:C,"",0,1)</f>
        <v>0</v>
      </c>
      <c r="V43" s="20">
        <f>_xlfn.XLOOKUP(S43,合格掲示用ワーク!L:L,合格掲示用ワーク!G:G,"",0,1)</f>
        <v>0</v>
      </c>
    </row>
    <row r="44" spans="17:22" ht="36.75" customHeight="1" x14ac:dyDescent="0.15">
      <c r="R44">
        <v>4</v>
      </c>
      <c r="S44" t="str">
        <f>Q35&amp;"-"&amp;R44</f>
        <v>3-4</v>
      </c>
      <c r="T44" s="19">
        <f>_xlfn.XLOOKUP(S44,合格掲示用ワーク!L:L,合格掲示用ワーク!B:B,"",0,1)</f>
        <v>0</v>
      </c>
      <c r="U44" s="20">
        <f>_xlfn.XLOOKUP(S44,合格掲示用ワーク!L:L,合格掲示用ワーク!C:C,"",0,1)</f>
        <v>0</v>
      </c>
      <c r="V44" s="20">
        <f>_xlfn.XLOOKUP(S44,合格掲示用ワーク!L:L,合格掲示用ワーク!G:G,"",0,1)</f>
        <v>0</v>
      </c>
    </row>
    <row r="45" spans="17:22" ht="36.75" customHeight="1" x14ac:dyDescent="0.15">
      <c r="R45">
        <v>5</v>
      </c>
      <c r="S45" t="str">
        <f>Q35&amp;"-"&amp;R45</f>
        <v>3-5</v>
      </c>
      <c r="T45" s="19">
        <f>_xlfn.XLOOKUP(S45,合格掲示用ワーク!L:L,合格掲示用ワーク!B:B,"",0,1)</f>
        <v>0</v>
      </c>
      <c r="U45" s="20">
        <f>_xlfn.XLOOKUP(S45,合格掲示用ワーク!L:L,合格掲示用ワーク!C:C,"",0,1)</f>
        <v>0</v>
      </c>
      <c r="V45" s="20">
        <f>_xlfn.XLOOKUP(S45,合格掲示用ワーク!L:L,合格掲示用ワーク!G:G,"",0,1)</f>
        <v>0</v>
      </c>
    </row>
    <row r="46" spans="17:22" ht="36.75" customHeight="1" x14ac:dyDescent="0.15">
      <c r="R46">
        <v>6</v>
      </c>
      <c r="S46" t="str">
        <f>Q35&amp;"-"&amp;R46</f>
        <v>3-6</v>
      </c>
      <c r="T46" s="19">
        <f>_xlfn.XLOOKUP(S46,合格掲示用ワーク!L:L,合格掲示用ワーク!B:B,"",0,1)</f>
        <v>0</v>
      </c>
      <c r="U46" s="20">
        <f>_xlfn.XLOOKUP(S46,合格掲示用ワーク!L:L,合格掲示用ワーク!C:C,"",0,1)</f>
        <v>0</v>
      </c>
      <c r="V46" s="20">
        <f>_xlfn.XLOOKUP(S46,合格掲示用ワーク!L:L,合格掲示用ワーク!G:G,"",0,1)</f>
        <v>0</v>
      </c>
    </row>
    <row r="47" spans="17:22" ht="36.75" customHeight="1" x14ac:dyDescent="0.15">
      <c r="R47">
        <v>7</v>
      </c>
      <c r="S47" t="str">
        <f>Q35&amp;"-"&amp;R47</f>
        <v>3-7</v>
      </c>
      <c r="T47" s="19">
        <f>_xlfn.XLOOKUP(S47,合格掲示用ワーク!L:L,合格掲示用ワーク!B:B,"",0,1)</f>
        <v>0</v>
      </c>
      <c r="U47" s="20">
        <f>_xlfn.XLOOKUP(S47,合格掲示用ワーク!L:L,合格掲示用ワーク!C:C,"",0,1)</f>
        <v>0</v>
      </c>
      <c r="V47" s="20">
        <f>_xlfn.XLOOKUP(S47,合格掲示用ワーク!L:L,合格掲示用ワーク!G:G,"",0,1)</f>
        <v>0</v>
      </c>
    </row>
    <row r="48" spans="17:22" ht="36.75" customHeight="1" x14ac:dyDescent="0.15">
      <c r="R48">
        <v>8</v>
      </c>
      <c r="S48" t="str">
        <f>Q35&amp;"-"&amp;R48</f>
        <v>3-8</v>
      </c>
      <c r="T48" s="19">
        <f>_xlfn.XLOOKUP(S48,合格掲示用ワーク!L:L,合格掲示用ワーク!B:B,"",0,1)</f>
        <v>0</v>
      </c>
      <c r="U48" s="20">
        <f>_xlfn.XLOOKUP(S48,合格掲示用ワーク!L:L,合格掲示用ワーク!C:C,"",0,1)</f>
        <v>0</v>
      </c>
      <c r="V48" s="20">
        <f>_xlfn.XLOOKUP(S48,合格掲示用ワーク!L:L,合格掲示用ワーク!G:G,"",0,1)</f>
        <v>0</v>
      </c>
    </row>
    <row r="49" spans="17:22" ht="36.75" customHeight="1" x14ac:dyDescent="0.15">
      <c r="R49" s="18">
        <v>9</v>
      </c>
      <c r="S49" t="str">
        <f>Q35&amp;"-"&amp;R49</f>
        <v>3-9</v>
      </c>
      <c r="T49" s="19">
        <f>_xlfn.XLOOKUP(S49,合格掲示用ワーク!L:L,合格掲示用ワーク!B:B,"",0,1)</f>
        <v>0</v>
      </c>
      <c r="U49" s="20">
        <f>_xlfn.XLOOKUP(S49,合格掲示用ワーク!L:L,合格掲示用ワーク!C:C,"",0,1)</f>
        <v>0</v>
      </c>
      <c r="V49" s="20">
        <f>_xlfn.XLOOKUP(S49,合格掲示用ワーク!L:L,合格掲示用ワーク!G:G,"",0,1)</f>
        <v>0</v>
      </c>
    </row>
    <row r="50" spans="17:22" ht="36.75" customHeight="1" x14ac:dyDescent="0.15">
      <c r="R50">
        <v>10</v>
      </c>
      <c r="S50" t="str">
        <f>Q35&amp;"-"&amp;R50</f>
        <v>3-10</v>
      </c>
      <c r="T50" s="19">
        <f>_xlfn.XLOOKUP(S50,合格掲示用ワーク!L:L,合格掲示用ワーク!B:B,"",0,1)</f>
        <v>0</v>
      </c>
      <c r="U50" s="20">
        <f>_xlfn.XLOOKUP(S50,合格掲示用ワーク!L:L,合格掲示用ワーク!C:C,"",0,1)</f>
        <v>0</v>
      </c>
      <c r="V50" s="20">
        <f>_xlfn.XLOOKUP(S50,合格掲示用ワーク!L:L,合格掲示用ワーク!G:G,"",0,1)</f>
        <v>0</v>
      </c>
    </row>
    <row r="52" spans="17:22" ht="36.75" customHeight="1" x14ac:dyDescent="0.15">
      <c r="Q52">
        <f>Q35+1</f>
        <v>4</v>
      </c>
    </row>
    <row r="58" spans="17:22" ht="36.75" customHeight="1" x14ac:dyDescent="0.15">
      <c r="R58">
        <v>1</v>
      </c>
      <c r="S58" t="str">
        <f>Q52&amp;"-"&amp;R58</f>
        <v>4-1</v>
      </c>
      <c r="T58" s="19">
        <f>_xlfn.XLOOKUP(S58,合格掲示用ワーク!L:L,合格掲示用ワーク!B:B,"",0,1)</f>
        <v>0</v>
      </c>
      <c r="U58" s="20">
        <f>_xlfn.XLOOKUP(S58,合格掲示用ワーク!L:L,合格掲示用ワーク!C:C,"",0,1)</f>
        <v>0</v>
      </c>
      <c r="V58" s="20">
        <f>_xlfn.XLOOKUP(S58,合格掲示用ワーク!L:L,合格掲示用ワーク!G:G,"",0,1)</f>
        <v>0</v>
      </c>
    </row>
    <row r="59" spans="17:22" ht="36.75" customHeight="1" x14ac:dyDescent="0.15">
      <c r="R59">
        <v>2</v>
      </c>
      <c r="S59" t="str">
        <f>Q52&amp;"-"&amp;R59</f>
        <v>4-2</v>
      </c>
      <c r="T59" s="19">
        <f>_xlfn.XLOOKUP(S59,合格掲示用ワーク!L:L,合格掲示用ワーク!B:B,"",0,1)</f>
        <v>0</v>
      </c>
      <c r="U59" s="20">
        <f>_xlfn.XLOOKUP(S59,合格掲示用ワーク!L:L,合格掲示用ワーク!C:C,"",0,1)</f>
        <v>0</v>
      </c>
      <c r="V59" s="20">
        <f>_xlfn.XLOOKUP(S59,合格掲示用ワーク!L:L,合格掲示用ワーク!G:G,"",0,1)</f>
        <v>0</v>
      </c>
    </row>
    <row r="60" spans="17:22" ht="36.75" customHeight="1" x14ac:dyDescent="0.15">
      <c r="R60">
        <v>3</v>
      </c>
      <c r="S60" t="str">
        <f>Q52&amp;"-"&amp;R60</f>
        <v>4-3</v>
      </c>
      <c r="T60" s="19">
        <f>_xlfn.XLOOKUP(S60,合格掲示用ワーク!L:L,合格掲示用ワーク!B:B,"",0,1)</f>
        <v>0</v>
      </c>
      <c r="U60" s="20">
        <f>_xlfn.XLOOKUP(S60,合格掲示用ワーク!L:L,合格掲示用ワーク!C:C,"",0,1)</f>
        <v>0</v>
      </c>
      <c r="V60" s="20">
        <f>_xlfn.XLOOKUP(S60,合格掲示用ワーク!L:L,合格掲示用ワーク!G:G,"",0,1)</f>
        <v>0</v>
      </c>
    </row>
    <row r="61" spans="17:22" ht="36.75" customHeight="1" x14ac:dyDescent="0.15">
      <c r="R61">
        <v>4</v>
      </c>
      <c r="S61" t="str">
        <f>Q52&amp;"-"&amp;R61</f>
        <v>4-4</v>
      </c>
      <c r="T61" s="19">
        <f>_xlfn.XLOOKUP(S61,合格掲示用ワーク!L:L,合格掲示用ワーク!B:B,"",0,1)</f>
        <v>0</v>
      </c>
      <c r="U61" s="20">
        <f>_xlfn.XLOOKUP(S61,合格掲示用ワーク!L:L,合格掲示用ワーク!C:C,"",0,1)</f>
        <v>0</v>
      </c>
      <c r="V61" s="20">
        <f>_xlfn.XLOOKUP(S61,合格掲示用ワーク!L:L,合格掲示用ワーク!G:G,"",0,1)</f>
        <v>0</v>
      </c>
    </row>
    <row r="62" spans="17:22" ht="36.75" customHeight="1" x14ac:dyDescent="0.15">
      <c r="R62">
        <v>5</v>
      </c>
      <c r="S62" t="str">
        <f>Q52&amp;"-"&amp;R62</f>
        <v>4-5</v>
      </c>
      <c r="T62" s="19">
        <f>_xlfn.XLOOKUP(S62,合格掲示用ワーク!L:L,合格掲示用ワーク!B:B,"",0,1)</f>
        <v>0</v>
      </c>
      <c r="U62" s="20">
        <f>_xlfn.XLOOKUP(S62,合格掲示用ワーク!L:L,合格掲示用ワーク!C:C,"",0,1)</f>
        <v>0</v>
      </c>
      <c r="V62" s="20">
        <f>_xlfn.XLOOKUP(S62,合格掲示用ワーク!L:L,合格掲示用ワーク!G:G,"",0,1)</f>
        <v>0</v>
      </c>
    </row>
    <row r="63" spans="17:22" ht="36.75" customHeight="1" x14ac:dyDescent="0.15">
      <c r="R63">
        <v>6</v>
      </c>
      <c r="S63" t="str">
        <f>Q52&amp;"-"&amp;R63</f>
        <v>4-6</v>
      </c>
      <c r="T63" s="19">
        <f>_xlfn.XLOOKUP(S63,合格掲示用ワーク!L:L,合格掲示用ワーク!B:B,"",0,1)</f>
        <v>0</v>
      </c>
      <c r="U63" s="20">
        <f>_xlfn.XLOOKUP(S63,合格掲示用ワーク!L:L,合格掲示用ワーク!C:C,"",0,1)</f>
        <v>0</v>
      </c>
      <c r="V63" s="20">
        <f>_xlfn.XLOOKUP(S63,合格掲示用ワーク!L:L,合格掲示用ワーク!G:G,"",0,1)</f>
        <v>0</v>
      </c>
    </row>
    <row r="64" spans="17:22" ht="36.75" customHeight="1" x14ac:dyDescent="0.15">
      <c r="R64">
        <v>7</v>
      </c>
      <c r="S64" t="str">
        <f>Q52&amp;"-"&amp;R64</f>
        <v>4-7</v>
      </c>
      <c r="T64" s="19">
        <f>_xlfn.XLOOKUP(S64,合格掲示用ワーク!L:L,合格掲示用ワーク!B:B,"",0,1)</f>
        <v>0</v>
      </c>
      <c r="U64" s="20">
        <f>_xlfn.XLOOKUP(S64,合格掲示用ワーク!L:L,合格掲示用ワーク!C:C,"",0,1)</f>
        <v>0</v>
      </c>
      <c r="V64" s="20">
        <f>_xlfn.XLOOKUP(S64,合格掲示用ワーク!L:L,合格掲示用ワーク!G:G,"",0,1)</f>
        <v>0</v>
      </c>
    </row>
    <row r="65" spans="17:22" ht="36.75" customHeight="1" x14ac:dyDescent="0.15">
      <c r="R65">
        <v>8</v>
      </c>
      <c r="S65" t="str">
        <f>Q52&amp;"-"&amp;R65</f>
        <v>4-8</v>
      </c>
      <c r="T65" s="19">
        <f>_xlfn.XLOOKUP(S65,合格掲示用ワーク!L:L,合格掲示用ワーク!B:B,"",0,1)</f>
        <v>0</v>
      </c>
      <c r="U65" s="20">
        <f>_xlfn.XLOOKUP(S65,合格掲示用ワーク!L:L,合格掲示用ワーク!C:C,"",0,1)</f>
        <v>0</v>
      </c>
      <c r="V65" s="20">
        <f>_xlfn.XLOOKUP(S65,合格掲示用ワーク!L:L,合格掲示用ワーク!G:G,"",0,1)</f>
        <v>0</v>
      </c>
    </row>
    <row r="66" spans="17:22" ht="36.75" customHeight="1" x14ac:dyDescent="0.15">
      <c r="R66" s="18">
        <v>9</v>
      </c>
      <c r="S66" t="str">
        <f>Q52&amp;"-"&amp;R66</f>
        <v>4-9</v>
      </c>
      <c r="T66" s="19">
        <f>_xlfn.XLOOKUP(S66,合格掲示用ワーク!L:L,合格掲示用ワーク!B:B,"",0,1)</f>
        <v>0</v>
      </c>
      <c r="U66" s="20">
        <f>_xlfn.XLOOKUP(S66,合格掲示用ワーク!L:L,合格掲示用ワーク!C:C,"",0,1)</f>
        <v>0</v>
      </c>
      <c r="V66" s="20">
        <f>_xlfn.XLOOKUP(S66,合格掲示用ワーク!L:L,合格掲示用ワーク!G:G,"",0,1)</f>
        <v>0</v>
      </c>
    </row>
    <row r="67" spans="17:22" ht="36.75" customHeight="1" x14ac:dyDescent="0.15">
      <c r="R67">
        <v>10</v>
      </c>
      <c r="S67" t="str">
        <f>Q52&amp;"-"&amp;R67</f>
        <v>4-10</v>
      </c>
      <c r="T67" s="19">
        <f>_xlfn.XLOOKUP(S67,合格掲示用ワーク!L:L,合格掲示用ワーク!B:B,"",0,1)</f>
        <v>0</v>
      </c>
      <c r="U67" s="20">
        <f>_xlfn.XLOOKUP(S67,合格掲示用ワーク!L:L,合格掲示用ワーク!C:C,"",0,1)</f>
        <v>0</v>
      </c>
      <c r="V67" s="20">
        <f>_xlfn.XLOOKUP(S67,合格掲示用ワーク!L:L,合格掲示用ワーク!G:G,"",0,1)</f>
        <v>0</v>
      </c>
    </row>
    <row r="69" spans="17:22" ht="36.75" customHeight="1" x14ac:dyDescent="0.15">
      <c r="Q69">
        <f>Q52+1</f>
        <v>5</v>
      </c>
    </row>
    <row r="75" spans="17:22" ht="36.75" customHeight="1" x14ac:dyDescent="0.15">
      <c r="R75">
        <v>1</v>
      </c>
      <c r="S75" t="str">
        <f>Q69&amp;"-"&amp;R75</f>
        <v>5-1</v>
      </c>
      <c r="T75" s="19">
        <f>_xlfn.XLOOKUP(S75,合格掲示用ワーク!L:L,合格掲示用ワーク!B:B,"",0,1)</f>
        <v>0</v>
      </c>
      <c r="U75" s="20">
        <f>_xlfn.XLOOKUP(S75,合格掲示用ワーク!L:L,合格掲示用ワーク!C:C,"",0,1)</f>
        <v>0</v>
      </c>
      <c r="V75" s="20">
        <f>_xlfn.XLOOKUP(S75,合格掲示用ワーク!L:L,合格掲示用ワーク!G:G,"",0,1)</f>
        <v>0</v>
      </c>
    </row>
    <row r="76" spans="17:22" ht="36.75" customHeight="1" x14ac:dyDescent="0.15">
      <c r="R76">
        <v>2</v>
      </c>
      <c r="S76" t="str">
        <f>Q69&amp;"-"&amp;R76</f>
        <v>5-2</v>
      </c>
      <c r="T76" s="19">
        <f>_xlfn.XLOOKUP(S76,合格掲示用ワーク!L:L,合格掲示用ワーク!B:B,"",0,1)</f>
        <v>0</v>
      </c>
      <c r="U76" s="20">
        <f>_xlfn.XLOOKUP(S76,合格掲示用ワーク!L:L,合格掲示用ワーク!C:C,"",0,1)</f>
        <v>0</v>
      </c>
      <c r="V76" s="20">
        <f>_xlfn.XLOOKUP(S76,合格掲示用ワーク!L:L,合格掲示用ワーク!G:G,"",0,1)</f>
        <v>0</v>
      </c>
    </row>
    <row r="77" spans="17:22" ht="36.75" customHeight="1" x14ac:dyDescent="0.15">
      <c r="R77">
        <v>3</v>
      </c>
      <c r="S77" t="str">
        <f>Q69&amp;"-"&amp;R77</f>
        <v>5-3</v>
      </c>
      <c r="T77" s="19">
        <f>_xlfn.XLOOKUP(S77,合格掲示用ワーク!L:L,合格掲示用ワーク!B:B,"",0,1)</f>
        <v>0</v>
      </c>
      <c r="U77" s="20">
        <f>_xlfn.XLOOKUP(S77,合格掲示用ワーク!L:L,合格掲示用ワーク!C:C,"",0,1)</f>
        <v>0</v>
      </c>
      <c r="V77" s="20">
        <f>_xlfn.XLOOKUP(S77,合格掲示用ワーク!L:L,合格掲示用ワーク!G:G,"",0,1)</f>
        <v>0</v>
      </c>
    </row>
    <row r="78" spans="17:22" ht="36.75" customHeight="1" x14ac:dyDescent="0.15">
      <c r="R78">
        <v>4</v>
      </c>
      <c r="S78" t="str">
        <f>Q69&amp;"-"&amp;R78</f>
        <v>5-4</v>
      </c>
      <c r="T78" s="19">
        <f>_xlfn.XLOOKUP(S78,合格掲示用ワーク!L:L,合格掲示用ワーク!B:B,"",0,1)</f>
        <v>0</v>
      </c>
      <c r="U78" s="20">
        <f>_xlfn.XLOOKUP(S78,合格掲示用ワーク!L:L,合格掲示用ワーク!C:C,"",0,1)</f>
        <v>0</v>
      </c>
      <c r="V78" s="20">
        <f>_xlfn.XLOOKUP(S78,合格掲示用ワーク!L:L,合格掲示用ワーク!G:G,"",0,1)</f>
        <v>0</v>
      </c>
    </row>
    <row r="79" spans="17:22" ht="36.75" customHeight="1" x14ac:dyDescent="0.15">
      <c r="R79">
        <v>5</v>
      </c>
      <c r="S79" t="str">
        <f>Q69&amp;"-"&amp;R79</f>
        <v>5-5</v>
      </c>
      <c r="T79" s="19">
        <f>_xlfn.XLOOKUP(S79,合格掲示用ワーク!L:L,合格掲示用ワーク!B:B,"",0,1)</f>
        <v>0</v>
      </c>
      <c r="U79" s="20">
        <f>_xlfn.XLOOKUP(S79,合格掲示用ワーク!L:L,合格掲示用ワーク!C:C,"",0,1)</f>
        <v>0</v>
      </c>
      <c r="V79" s="20">
        <f>_xlfn.XLOOKUP(S79,合格掲示用ワーク!L:L,合格掲示用ワーク!G:G,"",0,1)</f>
        <v>0</v>
      </c>
    </row>
    <row r="80" spans="17:22" ht="36.75" customHeight="1" x14ac:dyDescent="0.15">
      <c r="R80">
        <v>6</v>
      </c>
      <c r="S80" t="str">
        <f>Q69&amp;"-"&amp;R80</f>
        <v>5-6</v>
      </c>
      <c r="T80" s="19">
        <f>_xlfn.XLOOKUP(S80,合格掲示用ワーク!L:L,合格掲示用ワーク!B:B,"",0,1)</f>
        <v>0</v>
      </c>
      <c r="U80" s="20">
        <f>_xlfn.XLOOKUP(S80,合格掲示用ワーク!L:L,合格掲示用ワーク!C:C,"",0,1)</f>
        <v>0</v>
      </c>
      <c r="V80" s="20">
        <f>_xlfn.XLOOKUP(S80,合格掲示用ワーク!L:L,合格掲示用ワーク!G:G,"",0,1)</f>
        <v>0</v>
      </c>
    </row>
    <row r="81" spans="17:22" ht="36.75" customHeight="1" x14ac:dyDescent="0.15">
      <c r="R81">
        <v>7</v>
      </c>
      <c r="S81" t="str">
        <f>Q69&amp;"-"&amp;R81</f>
        <v>5-7</v>
      </c>
      <c r="T81" s="19">
        <f>_xlfn.XLOOKUP(S81,合格掲示用ワーク!L:L,合格掲示用ワーク!B:B,"",0,1)</f>
        <v>0</v>
      </c>
      <c r="U81" s="20">
        <f>_xlfn.XLOOKUP(S81,合格掲示用ワーク!L:L,合格掲示用ワーク!C:C,"",0,1)</f>
        <v>0</v>
      </c>
      <c r="V81" s="20">
        <f>_xlfn.XLOOKUP(S81,合格掲示用ワーク!L:L,合格掲示用ワーク!G:G,"",0,1)</f>
        <v>0</v>
      </c>
    </row>
    <row r="82" spans="17:22" ht="36.75" customHeight="1" x14ac:dyDescent="0.15">
      <c r="R82">
        <v>8</v>
      </c>
      <c r="S82" t="str">
        <f>Q69&amp;"-"&amp;R82</f>
        <v>5-8</v>
      </c>
      <c r="T82" s="19">
        <f>_xlfn.XLOOKUP(S82,合格掲示用ワーク!L:L,合格掲示用ワーク!B:B,"",0,1)</f>
        <v>0</v>
      </c>
      <c r="U82" s="20">
        <f>_xlfn.XLOOKUP(S82,合格掲示用ワーク!L:L,合格掲示用ワーク!C:C,"",0,1)</f>
        <v>0</v>
      </c>
      <c r="V82" s="20">
        <f>_xlfn.XLOOKUP(S82,合格掲示用ワーク!L:L,合格掲示用ワーク!G:G,"",0,1)</f>
        <v>0</v>
      </c>
    </row>
    <row r="83" spans="17:22" ht="36.75" customHeight="1" x14ac:dyDescent="0.15">
      <c r="R83" s="18">
        <v>9</v>
      </c>
      <c r="S83" t="str">
        <f>Q69&amp;"-"&amp;R83</f>
        <v>5-9</v>
      </c>
      <c r="T83" s="19">
        <f>_xlfn.XLOOKUP(S83,合格掲示用ワーク!L:L,合格掲示用ワーク!B:B,"",0,1)</f>
        <v>0</v>
      </c>
      <c r="U83" s="20">
        <f>_xlfn.XLOOKUP(S83,合格掲示用ワーク!L:L,合格掲示用ワーク!C:C,"",0,1)</f>
        <v>0</v>
      </c>
      <c r="V83" s="20">
        <f>_xlfn.XLOOKUP(S83,合格掲示用ワーク!L:L,合格掲示用ワーク!G:G,"",0,1)</f>
        <v>0</v>
      </c>
    </row>
    <row r="84" spans="17:22" ht="36.75" customHeight="1" x14ac:dyDescent="0.15">
      <c r="R84">
        <v>10</v>
      </c>
      <c r="S84" t="str">
        <f>Q69&amp;"-"&amp;R84</f>
        <v>5-10</v>
      </c>
      <c r="T84" s="19">
        <f>_xlfn.XLOOKUP(S84,合格掲示用ワーク!L:L,合格掲示用ワーク!B:B,"",0,1)</f>
        <v>0</v>
      </c>
      <c r="U84" s="20">
        <f>_xlfn.XLOOKUP(S84,合格掲示用ワーク!L:L,合格掲示用ワーク!C:C,"",0,1)</f>
        <v>0</v>
      </c>
      <c r="V84" s="20">
        <f>_xlfn.XLOOKUP(S84,合格掲示用ワーク!L:L,合格掲示用ワーク!G:G,"",0,1)</f>
        <v>0</v>
      </c>
    </row>
    <row r="86" spans="17:22" ht="36.75" customHeight="1" x14ac:dyDescent="0.15">
      <c r="Q86">
        <f>Q69+1</f>
        <v>6</v>
      </c>
    </row>
    <row r="92" spans="17:22" ht="36.75" customHeight="1" x14ac:dyDescent="0.15">
      <c r="R92">
        <v>1</v>
      </c>
      <c r="S92" t="str">
        <f>Q86&amp;"-"&amp;R92</f>
        <v>6-1</v>
      </c>
      <c r="T92" s="19">
        <f>_xlfn.XLOOKUP(S92,合格掲示用ワーク!L:L,合格掲示用ワーク!B:B,"",0,1)</f>
        <v>0</v>
      </c>
      <c r="U92" s="20">
        <f>_xlfn.XLOOKUP(S92,合格掲示用ワーク!L:L,合格掲示用ワーク!C:C,"",0,1)</f>
        <v>0</v>
      </c>
      <c r="V92" s="20">
        <f>_xlfn.XLOOKUP(S92,合格掲示用ワーク!L:L,合格掲示用ワーク!G:G,"",0,1)</f>
        <v>0</v>
      </c>
    </row>
    <row r="93" spans="17:22" ht="36.75" customHeight="1" x14ac:dyDescent="0.15">
      <c r="R93">
        <v>2</v>
      </c>
      <c r="S93" t="str">
        <f>Q86&amp;"-"&amp;R93</f>
        <v>6-2</v>
      </c>
      <c r="T93" s="19">
        <f>_xlfn.XLOOKUP(S93,合格掲示用ワーク!L:L,合格掲示用ワーク!B:B,"",0,1)</f>
        <v>0</v>
      </c>
      <c r="U93" s="20">
        <f>_xlfn.XLOOKUP(S93,合格掲示用ワーク!L:L,合格掲示用ワーク!C:C,"",0,1)</f>
        <v>0</v>
      </c>
      <c r="V93" s="20">
        <f>_xlfn.XLOOKUP(S93,合格掲示用ワーク!L:L,合格掲示用ワーク!G:G,"",0,1)</f>
        <v>0</v>
      </c>
    </row>
    <row r="94" spans="17:22" ht="36.75" customHeight="1" x14ac:dyDescent="0.15">
      <c r="R94">
        <v>3</v>
      </c>
      <c r="S94" t="str">
        <f>Q86&amp;"-"&amp;R94</f>
        <v>6-3</v>
      </c>
      <c r="T94" s="19">
        <f>_xlfn.XLOOKUP(S94,合格掲示用ワーク!L:L,合格掲示用ワーク!B:B,"",0,1)</f>
        <v>0</v>
      </c>
      <c r="U94" s="20">
        <f>_xlfn.XLOOKUP(S94,合格掲示用ワーク!L:L,合格掲示用ワーク!C:C,"",0,1)</f>
        <v>0</v>
      </c>
      <c r="V94" s="20">
        <f>_xlfn.XLOOKUP(S94,合格掲示用ワーク!L:L,合格掲示用ワーク!G:G,"",0,1)</f>
        <v>0</v>
      </c>
    </row>
    <row r="95" spans="17:22" ht="36.75" customHeight="1" x14ac:dyDescent="0.15">
      <c r="R95">
        <v>4</v>
      </c>
      <c r="S95" t="str">
        <f>Q86&amp;"-"&amp;R95</f>
        <v>6-4</v>
      </c>
      <c r="T95" s="19">
        <f>_xlfn.XLOOKUP(S95,合格掲示用ワーク!L:L,合格掲示用ワーク!B:B,"",0,1)</f>
        <v>0</v>
      </c>
      <c r="U95" s="20">
        <f>_xlfn.XLOOKUP(S95,合格掲示用ワーク!L:L,合格掲示用ワーク!C:C,"",0,1)</f>
        <v>0</v>
      </c>
      <c r="V95" s="20">
        <f>_xlfn.XLOOKUP(S95,合格掲示用ワーク!L:L,合格掲示用ワーク!G:G,"",0,1)</f>
        <v>0</v>
      </c>
    </row>
    <row r="96" spans="17:22" ht="36.75" customHeight="1" x14ac:dyDescent="0.15">
      <c r="R96">
        <v>5</v>
      </c>
      <c r="S96" t="str">
        <f>Q86&amp;"-"&amp;R96</f>
        <v>6-5</v>
      </c>
      <c r="T96" s="19">
        <f>_xlfn.XLOOKUP(S96,合格掲示用ワーク!L:L,合格掲示用ワーク!B:B,"",0,1)</f>
        <v>0</v>
      </c>
      <c r="U96" s="20">
        <f>_xlfn.XLOOKUP(S96,合格掲示用ワーク!L:L,合格掲示用ワーク!C:C,"",0,1)</f>
        <v>0</v>
      </c>
      <c r="V96" s="20">
        <f>_xlfn.XLOOKUP(S96,合格掲示用ワーク!L:L,合格掲示用ワーク!G:G,"",0,1)</f>
        <v>0</v>
      </c>
    </row>
    <row r="97" spans="17:22" ht="36.75" customHeight="1" x14ac:dyDescent="0.15">
      <c r="R97">
        <v>6</v>
      </c>
      <c r="S97" t="str">
        <f>Q86&amp;"-"&amp;R97</f>
        <v>6-6</v>
      </c>
      <c r="T97" s="19">
        <f>_xlfn.XLOOKUP(S97,合格掲示用ワーク!L:L,合格掲示用ワーク!B:B,"",0,1)</f>
        <v>0</v>
      </c>
      <c r="U97" s="20">
        <f>_xlfn.XLOOKUP(S97,合格掲示用ワーク!L:L,合格掲示用ワーク!C:C,"",0,1)</f>
        <v>0</v>
      </c>
      <c r="V97" s="20">
        <f>_xlfn.XLOOKUP(S97,合格掲示用ワーク!L:L,合格掲示用ワーク!G:G,"",0,1)</f>
        <v>0</v>
      </c>
    </row>
    <row r="98" spans="17:22" ht="36.75" customHeight="1" x14ac:dyDescent="0.15">
      <c r="R98">
        <v>7</v>
      </c>
      <c r="S98" t="str">
        <f>Q86&amp;"-"&amp;R98</f>
        <v>6-7</v>
      </c>
      <c r="T98" s="19">
        <f>_xlfn.XLOOKUP(S98,合格掲示用ワーク!L:L,合格掲示用ワーク!B:B,"",0,1)</f>
        <v>0</v>
      </c>
      <c r="U98" s="20">
        <f>_xlfn.XLOOKUP(S98,合格掲示用ワーク!L:L,合格掲示用ワーク!C:C,"",0,1)</f>
        <v>0</v>
      </c>
      <c r="V98" s="20">
        <f>_xlfn.XLOOKUP(S98,合格掲示用ワーク!L:L,合格掲示用ワーク!G:G,"",0,1)</f>
        <v>0</v>
      </c>
    </row>
    <row r="99" spans="17:22" ht="36.75" customHeight="1" x14ac:dyDescent="0.15">
      <c r="R99">
        <v>8</v>
      </c>
      <c r="S99" t="str">
        <f>Q86&amp;"-"&amp;R99</f>
        <v>6-8</v>
      </c>
      <c r="T99" s="19">
        <f>_xlfn.XLOOKUP(S99,合格掲示用ワーク!L:L,合格掲示用ワーク!B:B,"",0,1)</f>
        <v>0</v>
      </c>
      <c r="U99" s="20">
        <f>_xlfn.XLOOKUP(S99,合格掲示用ワーク!L:L,合格掲示用ワーク!C:C,"",0,1)</f>
        <v>0</v>
      </c>
      <c r="V99" s="20">
        <f>_xlfn.XLOOKUP(S99,合格掲示用ワーク!L:L,合格掲示用ワーク!G:G,"",0,1)</f>
        <v>0</v>
      </c>
    </row>
    <row r="100" spans="17:22" ht="36.75" customHeight="1" x14ac:dyDescent="0.15">
      <c r="R100" s="18">
        <v>9</v>
      </c>
      <c r="S100" t="str">
        <f>Q86&amp;"-"&amp;R100</f>
        <v>6-9</v>
      </c>
      <c r="T100" s="19">
        <f>_xlfn.XLOOKUP(S100,合格掲示用ワーク!L:L,合格掲示用ワーク!B:B,"",0,1)</f>
        <v>0</v>
      </c>
      <c r="U100" s="20">
        <f>_xlfn.XLOOKUP(S100,合格掲示用ワーク!L:L,合格掲示用ワーク!C:C,"",0,1)</f>
        <v>0</v>
      </c>
      <c r="V100" s="20">
        <f>_xlfn.XLOOKUP(S100,合格掲示用ワーク!L:L,合格掲示用ワーク!G:G,"",0,1)</f>
        <v>0</v>
      </c>
    </row>
    <row r="101" spans="17:22" ht="36.75" customHeight="1" x14ac:dyDescent="0.15">
      <c r="R101">
        <v>10</v>
      </c>
      <c r="S101" t="str">
        <f>Q86&amp;"-"&amp;R101</f>
        <v>6-10</v>
      </c>
      <c r="T101" s="19">
        <f>_xlfn.XLOOKUP(S101,合格掲示用ワーク!L:L,合格掲示用ワーク!B:B,"",0,1)</f>
        <v>0</v>
      </c>
      <c r="U101" s="20">
        <f>_xlfn.XLOOKUP(S101,合格掲示用ワーク!L:L,合格掲示用ワーク!C:C,"",0,1)</f>
        <v>0</v>
      </c>
      <c r="V101" s="20">
        <f>_xlfn.XLOOKUP(S101,合格掲示用ワーク!L:L,合格掲示用ワーク!G:G,"",0,1)</f>
        <v>0</v>
      </c>
    </row>
    <row r="103" spans="17:22" ht="36.75" customHeight="1" x14ac:dyDescent="0.15">
      <c r="Q103">
        <f>Q86+1</f>
        <v>7</v>
      </c>
    </row>
    <row r="109" spans="17:22" ht="36.75" customHeight="1" x14ac:dyDescent="0.15">
      <c r="R109">
        <v>1</v>
      </c>
      <c r="S109" t="str">
        <f>Q103&amp;"-"&amp;R109</f>
        <v>7-1</v>
      </c>
      <c r="T109" s="19">
        <f>_xlfn.XLOOKUP(S109,合格掲示用ワーク!L:L,合格掲示用ワーク!B:B,"",0,1)</f>
        <v>0</v>
      </c>
      <c r="U109" s="20">
        <f>_xlfn.XLOOKUP(S109,合格掲示用ワーク!L:L,合格掲示用ワーク!C:C,"",0,1)</f>
        <v>0</v>
      </c>
      <c r="V109" s="20">
        <f>_xlfn.XLOOKUP(S109,合格掲示用ワーク!L:L,合格掲示用ワーク!G:G,"",0,1)</f>
        <v>0</v>
      </c>
    </row>
    <row r="110" spans="17:22" ht="36.75" customHeight="1" x14ac:dyDescent="0.15">
      <c r="R110">
        <v>2</v>
      </c>
      <c r="S110" t="str">
        <f>Q103&amp;"-"&amp;R110</f>
        <v>7-2</v>
      </c>
      <c r="T110" s="19">
        <f>_xlfn.XLOOKUP(S110,合格掲示用ワーク!L:L,合格掲示用ワーク!B:B,"",0,1)</f>
        <v>0</v>
      </c>
      <c r="U110" s="20">
        <f>_xlfn.XLOOKUP(S110,合格掲示用ワーク!L:L,合格掲示用ワーク!C:C,"",0,1)</f>
        <v>0</v>
      </c>
      <c r="V110" s="20">
        <f>_xlfn.XLOOKUP(S110,合格掲示用ワーク!L:L,合格掲示用ワーク!G:G,"",0,1)</f>
        <v>0</v>
      </c>
    </row>
    <row r="111" spans="17:22" ht="36.75" customHeight="1" x14ac:dyDescent="0.15">
      <c r="R111">
        <v>3</v>
      </c>
      <c r="S111" t="str">
        <f>Q103&amp;"-"&amp;R111</f>
        <v>7-3</v>
      </c>
      <c r="T111" s="19">
        <f>_xlfn.XLOOKUP(S111,合格掲示用ワーク!L:L,合格掲示用ワーク!B:B,"",0,1)</f>
        <v>0</v>
      </c>
      <c r="U111" s="20">
        <f>_xlfn.XLOOKUP(S111,合格掲示用ワーク!L:L,合格掲示用ワーク!C:C,"",0,1)</f>
        <v>0</v>
      </c>
      <c r="V111" s="20">
        <f>_xlfn.XLOOKUP(S111,合格掲示用ワーク!L:L,合格掲示用ワーク!G:G,"",0,1)</f>
        <v>0</v>
      </c>
    </row>
    <row r="112" spans="17:22" ht="36.75" customHeight="1" x14ac:dyDescent="0.15">
      <c r="R112">
        <v>4</v>
      </c>
      <c r="S112" t="str">
        <f>Q103&amp;"-"&amp;R112</f>
        <v>7-4</v>
      </c>
      <c r="T112" s="19">
        <f>_xlfn.XLOOKUP(S112,合格掲示用ワーク!L:L,合格掲示用ワーク!B:B,"",0,1)</f>
        <v>0</v>
      </c>
      <c r="U112" s="20">
        <f>_xlfn.XLOOKUP(S112,合格掲示用ワーク!L:L,合格掲示用ワーク!C:C,"",0,1)</f>
        <v>0</v>
      </c>
      <c r="V112" s="20">
        <f>_xlfn.XLOOKUP(S112,合格掲示用ワーク!L:L,合格掲示用ワーク!G:G,"",0,1)</f>
        <v>0</v>
      </c>
    </row>
    <row r="113" spans="17:22" ht="36.75" customHeight="1" x14ac:dyDescent="0.15">
      <c r="R113">
        <v>5</v>
      </c>
      <c r="S113" t="str">
        <f>Q103&amp;"-"&amp;R113</f>
        <v>7-5</v>
      </c>
      <c r="T113" s="19">
        <f>_xlfn.XLOOKUP(S113,合格掲示用ワーク!L:L,合格掲示用ワーク!B:B,"",0,1)</f>
        <v>0</v>
      </c>
      <c r="U113" s="20">
        <f>_xlfn.XLOOKUP(S113,合格掲示用ワーク!L:L,合格掲示用ワーク!C:C,"",0,1)</f>
        <v>0</v>
      </c>
      <c r="V113" s="20">
        <f>_xlfn.XLOOKUP(S113,合格掲示用ワーク!L:L,合格掲示用ワーク!G:G,"",0,1)</f>
        <v>0</v>
      </c>
    </row>
    <row r="114" spans="17:22" ht="36.75" customHeight="1" x14ac:dyDescent="0.15">
      <c r="R114">
        <v>6</v>
      </c>
      <c r="S114" t="str">
        <f>Q103&amp;"-"&amp;R114</f>
        <v>7-6</v>
      </c>
      <c r="T114" s="19">
        <f>_xlfn.XLOOKUP(S114,合格掲示用ワーク!L:L,合格掲示用ワーク!B:B,"",0,1)</f>
        <v>0</v>
      </c>
      <c r="U114" s="20">
        <f>_xlfn.XLOOKUP(S114,合格掲示用ワーク!L:L,合格掲示用ワーク!C:C,"",0,1)</f>
        <v>0</v>
      </c>
      <c r="V114" s="20">
        <f>_xlfn.XLOOKUP(S114,合格掲示用ワーク!L:L,合格掲示用ワーク!G:G,"",0,1)</f>
        <v>0</v>
      </c>
    </row>
    <row r="115" spans="17:22" ht="36.75" customHeight="1" x14ac:dyDescent="0.15">
      <c r="R115">
        <v>7</v>
      </c>
      <c r="S115" t="str">
        <f>Q103&amp;"-"&amp;R115</f>
        <v>7-7</v>
      </c>
      <c r="T115" s="19">
        <f>_xlfn.XLOOKUP(S115,合格掲示用ワーク!L:L,合格掲示用ワーク!B:B,"",0,1)</f>
        <v>0</v>
      </c>
      <c r="U115" s="20">
        <f>_xlfn.XLOOKUP(S115,合格掲示用ワーク!L:L,合格掲示用ワーク!C:C,"",0,1)</f>
        <v>0</v>
      </c>
      <c r="V115" s="20">
        <f>_xlfn.XLOOKUP(S115,合格掲示用ワーク!L:L,合格掲示用ワーク!G:G,"",0,1)</f>
        <v>0</v>
      </c>
    </row>
    <row r="116" spans="17:22" ht="36.75" customHeight="1" x14ac:dyDescent="0.15">
      <c r="R116">
        <v>8</v>
      </c>
      <c r="S116" t="str">
        <f>Q103&amp;"-"&amp;R116</f>
        <v>7-8</v>
      </c>
      <c r="T116" s="19">
        <f>_xlfn.XLOOKUP(S116,合格掲示用ワーク!L:L,合格掲示用ワーク!B:B,"",0,1)</f>
        <v>0</v>
      </c>
      <c r="U116" s="20">
        <f>_xlfn.XLOOKUP(S116,合格掲示用ワーク!L:L,合格掲示用ワーク!C:C,"",0,1)</f>
        <v>0</v>
      </c>
      <c r="V116" s="20">
        <f>_xlfn.XLOOKUP(S116,合格掲示用ワーク!L:L,合格掲示用ワーク!G:G,"",0,1)</f>
        <v>0</v>
      </c>
    </row>
    <row r="117" spans="17:22" ht="36.75" customHeight="1" x14ac:dyDescent="0.15">
      <c r="R117" s="18">
        <v>9</v>
      </c>
      <c r="S117" t="str">
        <f>Q103&amp;"-"&amp;R117</f>
        <v>7-9</v>
      </c>
      <c r="T117" s="19">
        <f>_xlfn.XLOOKUP(S117,合格掲示用ワーク!L:L,合格掲示用ワーク!B:B,"",0,1)</f>
        <v>0</v>
      </c>
      <c r="U117" s="20">
        <f>_xlfn.XLOOKUP(S117,合格掲示用ワーク!L:L,合格掲示用ワーク!C:C,"",0,1)</f>
        <v>0</v>
      </c>
      <c r="V117" s="20">
        <f>_xlfn.XLOOKUP(S117,合格掲示用ワーク!L:L,合格掲示用ワーク!G:G,"",0,1)</f>
        <v>0</v>
      </c>
    </row>
    <row r="118" spans="17:22" ht="36.75" customHeight="1" x14ac:dyDescent="0.15">
      <c r="R118">
        <v>10</v>
      </c>
      <c r="S118" t="str">
        <f>Q103&amp;"-"&amp;R118</f>
        <v>7-10</v>
      </c>
      <c r="T118" s="19">
        <f>_xlfn.XLOOKUP(S118,合格掲示用ワーク!L:L,合格掲示用ワーク!B:B,"",0,1)</f>
        <v>0</v>
      </c>
      <c r="U118" s="20">
        <f>_xlfn.XLOOKUP(S118,合格掲示用ワーク!L:L,合格掲示用ワーク!C:C,"",0,1)</f>
        <v>0</v>
      </c>
      <c r="V118" s="20">
        <f>_xlfn.XLOOKUP(S118,合格掲示用ワーク!L:L,合格掲示用ワーク!G:G,"",0,1)</f>
        <v>0</v>
      </c>
    </row>
    <row r="120" spans="17:22" ht="36.75" customHeight="1" x14ac:dyDescent="0.15">
      <c r="Q120">
        <f>Q103+1</f>
        <v>8</v>
      </c>
    </row>
    <row r="126" spans="17:22" ht="36.75" customHeight="1" x14ac:dyDescent="0.15">
      <c r="R126">
        <v>1</v>
      </c>
      <c r="S126" t="str">
        <f>Q120&amp;"-"&amp;R126</f>
        <v>8-1</v>
      </c>
      <c r="T126" s="19">
        <f>_xlfn.XLOOKUP(S126,合格掲示用ワーク!L:L,合格掲示用ワーク!B:B,"",0,1)</f>
        <v>0</v>
      </c>
      <c r="U126" s="20">
        <f>_xlfn.XLOOKUP(S126,合格掲示用ワーク!L:L,合格掲示用ワーク!C:C,"",0,1)</f>
        <v>0</v>
      </c>
      <c r="V126" s="20">
        <f>_xlfn.XLOOKUP(S126,合格掲示用ワーク!L:L,合格掲示用ワーク!G:G,"",0,1)</f>
        <v>0</v>
      </c>
    </row>
    <row r="127" spans="17:22" ht="36.75" customHeight="1" x14ac:dyDescent="0.15">
      <c r="R127">
        <v>2</v>
      </c>
      <c r="S127" t="str">
        <f>Q120&amp;"-"&amp;R127</f>
        <v>8-2</v>
      </c>
      <c r="T127" s="19">
        <f>_xlfn.XLOOKUP(S127,合格掲示用ワーク!L:L,合格掲示用ワーク!B:B,"",0,1)</f>
        <v>0</v>
      </c>
      <c r="U127" s="20">
        <f>_xlfn.XLOOKUP(S127,合格掲示用ワーク!L:L,合格掲示用ワーク!C:C,"",0,1)</f>
        <v>0</v>
      </c>
      <c r="V127" s="20">
        <f>_xlfn.XLOOKUP(S127,合格掲示用ワーク!L:L,合格掲示用ワーク!G:G,"",0,1)</f>
        <v>0</v>
      </c>
    </row>
    <row r="128" spans="17:22" ht="36.75" customHeight="1" x14ac:dyDescent="0.15">
      <c r="R128">
        <v>3</v>
      </c>
      <c r="S128" t="str">
        <f>Q120&amp;"-"&amp;R128</f>
        <v>8-3</v>
      </c>
      <c r="T128" s="19">
        <f>_xlfn.XLOOKUP(S128,合格掲示用ワーク!L:L,合格掲示用ワーク!B:B,"",0,1)</f>
        <v>0</v>
      </c>
      <c r="U128" s="20">
        <f>_xlfn.XLOOKUP(S128,合格掲示用ワーク!L:L,合格掲示用ワーク!C:C,"",0,1)</f>
        <v>0</v>
      </c>
      <c r="V128" s="20">
        <f>_xlfn.XLOOKUP(S128,合格掲示用ワーク!L:L,合格掲示用ワーク!G:G,"",0,1)</f>
        <v>0</v>
      </c>
    </row>
    <row r="129" spans="17:22" ht="36.75" customHeight="1" x14ac:dyDescent="0.15">
      <c r="R129">
        <v>4</v>
      </c>
      <c r="S129" t="str">
        <f>Q120&amp;"-"&amp;R129</f>
        <v>8-4</v>
      </c>
      <c r="T129" s="19">
        <f>_xlfn.XLOOKUP(S129,合格掲示用ワーク!L:L,合格掲示用ワーク!B:B,"",0,1)</f>
        <v>0</v>
      </c>
      <c r="U129" s="20">
        <f>_xlfn.XLOOKUP(S129,合格掲示用ワーク!L:L,合格掲示用ワーク!C:C,"",0,1)</f>
        <v>0</v>
      </c>
      <c r="V129" s="20">
        <f>_xlfn.XLOOKUP(S129,合格掲示用ワーク!L:L,合格掲示用ワーク!G:G,"",0,1)</f>
        <v>0</v>
      </c>
    </row>
    <row r="130" spans="17:22" ht="36.75" customHeight="1" x14ac:dyDescent="0.15">
      <c r="R130">
        <v>5</v>
      </c>
      <c r="S130" t="str">
        <f>Q120&amp;"-"&amp;R130</f>
        <v>8-5</v>
      </c>
      <c r="T130" s="19">
        <f>_xlfn.XLOOKUP(S130,合格掲示用ワーク!L:L,合格掲示用ワーク!B:B,"",0,1)</f>
        <v>0</v>
      </c>
      <c r="U130" s="20">
        <f>_xlfn.XLOOKUP(S130,合格掲示用ワーク!L:L,合格掲示用ワーク!C:C,"",0,1)</f>
        <v>0</v>
      </c>
      <c r="V130" s="20">
        <f>_xlfn.XLOOKUP(S130,合格掲示用ワーク!L:L,合格掲示用ワーク!G:G,"",0,1)</f>
        <v>0</v>
      </c>
    </row>
    <row r="131" spans="17:22" ht="36.75" customHeight="1" x14ac:dyDescent="0.15">
      <c r="R131">
        <v>6</v>
      </c>
      <c r="S131" t="str">
        <f>Q120&amp;"-"&amp;R131</f>
        <v>8-6</v>
      </c>
      <c r="T131" s="19">
        <f>_xlfn.XLOOKUP(S131,合格掲示用ワーク!L:L,合格掲示用ワーク!B:B,"",0,1)</f>
        <v>0</v>
      </c>
      <c r="U131" s="20">
        <f>_xlfn.XLOOKUP(S131,合格掲示用ワーク!L:L,合格掲示用ワーク!C:C,"",0,1)</f>
        <v>0</v>
      </c>
      <c r="V131" s="20">
        <f>_xlfn.XLOOKUP(S131,合格掲示用ワーク!L:L,合格掲示用ワーク!G:G,"",0,1)</f>
        <v>0</v>
      </c>
    </row>
    <row r="132" spans="17:22" ht="36.75" customHeight="1" x14ac:dyDescent="0.15">
      <c r="R132">
        <v>7</v>
      </c>
      <c r="S132" t="str">
        <f>Q120&amp;"-"&amp;R132</f>
        <v>8-7</v>
      </c>
      <c r="T132" s="19">
        <f>_xlfn.XLOOKUP(S132,合格掲示用ワーク!L:L,合格掲示用ワーク!B:B,"",0,1)</f>
        <v>0</v>
      </c>
      <c r="U132" s="20">
        <f>_xlfn.XLOOKUP(S132,合格掲示用ワーク!L:L,合格掲示用ワーク!C:C,"",0,1)</f>
        <v>0</v>
      </c>
      <c r="V132" s="20">
        <f>_xlfn.XLOOKUP(S132,合格掲示用ワーク!L:L,合格掲示用ワーク!G:G,"",0,1)</f>
        <v>0</v>
      </c>
    </row>
    <row r="133" spans="17:22" ht="36.75" customHeight="1" x14ac:dyDescent="0.15">
      <c r="R133">
        <v>8</v>
      </c>
      <c r="S133" t="str">
        <f>Q120&amp;"-"&amp;R133</f>
        <v>8-8</v>
      </c>
      <c r="T133" s="19">
        <f>_xlfn.XLOOKUP(S133,合格掲示用ワーク!L:L,合格掲示用ワーク!B:B,"",0,1)</f>
        <v>0</v>
      </c>
      <c r="U133" s="20">
        <f>_xlfn.XLOOKUP(S133,合格掲示用ワーク!L:L,合格掲示用ワーク!C:C,"",0,1)</f>
        <v>0</v>
      </c>
      <c r="V133" s="20">
        <f>_xlfn.XLOOKUP(S133,合格掲示用ワーク!L:L,合格掲示用ワーク!G:G,"",0,1)</f>
        <v>0</v>
      </c>
    </row>
    <row r="134" spans="17:22" ht="36.75" customHeight="1" x14ac:dyDescent="0.15">
      <c r="R134" s="18">
        <v>9</v>
      </c>
      <c r="S134" t="str">
        <f>Q120&amp;"-"&amp;R134</f>
        <v>8-9</v>
      </c>
      <c r="T134" s="19">
        <f>_xlfn.XLOOKUP(S134,合格掲示用ワーク!L:L,合格掲示用ワーク!B:B,"",0,1)</f>
        <v>0</v>
      </c>
      <c r="U134" s="20">
        <f>_xlfn.XLOOKUP(S134,合格掲示用ワーク!L:L,合格掲示用ワーク!C:C,"",0,1)</f>
        <v>0</v>
      </c>
      <c r="V134" s="20">
        <f>_xlfn.XLOOKUP(S134,合格掲示用ワーク!L:L,合格掲示用ワーク!G:G,"",0,1)</f>
        <v>0</v>
      </c>
    </row>
    <row r="135" spans="17:22" ht="36.75" customHeight="1" x14ac:dyDescent="0.15">
      <c r="R135">
        <v>10</v>
      </c>
      <c r="S135" t="str">
        <f>Q120&amp;"-"&amp;R135</f>
        <v>8-10</v>
      </c>
      <c r="T135" s="19">
        <f>_xlfn.XLOOKUP(S135,合格掲示用ワーク!L:L,合格掲示用ワーク!B:B,"",0,1)</f>
        <v>0</v>
      </c>
      <c r="U135" s="20">
        <f>_xlfn.XLOOKUP(S135,合格掲示用ワーク!L:L,合格掲示用ワーク!C:C,"",0,1)</f>
        <v>0</v>
      </c>
      <c r="V135" s="20">
        <f>_xlfn.XLOOKUP(S135,合格掲示用ワーク!L:L,合格掲示用ワーク!G:G,"",0,1)</f>
        <v>0</v>
      </c>
    </row>
    <row r="137" spans="17:22" ht="36.75" customHeight="1" x14ac:dyDescent="0.15">
      <c r="Q137">
        <f>Q120+1</f>
        <v>9</v>
      </c>
    </row>
    <row r="143" spans="17:22" ht="36.75" customHeight="1" x14ac:dyDescent="0.15">
      <c r="R143">
        <v>1</v>
      </c>
      <c r="S143" t="str">
        <f>Q137&amp;"-"&amp;R143</f>
        <v>9-1</v>
      </c>
      <c r="T143" s="19">
        <f>_xlfn.XLOOKUP(S143,合格掲示用ワーク!L:L,合格掲示用ワーク!B:B,"",0,1)</f>
        <v>0</v>
      </c>
      <c r="U143" s="20">
        <f>_xlfn.XLOOKUP(S143,合格掲示用ワーク!L:L,合格掲示用ワーク!C:C,"",0,1)</f>
        <v>0</v>
      </c>
      <c r="V143" s="20">
        <f>_xlfn.XLOOKUP(S143,合格掲示用ワーク!L:L,合格掲示用ワーク!G:G,"",0,1)</f>
        <v>0</v>
      </c>
    </row>
    <row r="144" spans="17:22" ht="36.75" customHeight="1" x14ac:dyDescent="0.15">
      <c r="R144">
        <v>2</v>
      </c>
      <c r="S144" t="str">
        <f>Q137&amp;"-"&amp;R144</f>
        <v>9-2</v>
      </c>
      <c r="T144" s="19">
        <f>_xlfn.XLOOKUP(S144,合格掲示用ワーク!L:L,合格掲示用ワーク!B:B,"",0,1)</f>
        <v>0</v>
      </c>
      <c r="U144" s="20">
        <f>_xlfn.XLOOKUP(S144,合格掲示用ワーク!L:L,合格掲示用ワーク!C:C,"",0,1)</f>
        <v>0</v>
      </c>
      <c r="V144" s="20">
        <f>_xlfn.XLOOKUP(S144,合格掲示用ワーク!L:L,合格掲示用ワーク!G:G,"",0,1)</f>
        <v>0</v>
      </c>
    </row>
    <row r="145" spans="17:22" ht="36.75" customHeight="1" x14ac:dyDescent="0.15">
      <c r="R145">
        <v>3</v>
      </c>
      <c r="S145" t="str">
        <f>Q137&amp;"-"&amp;R145</f>
        <v>9-3</v>
      </c>
      <c r="T145" s="19">
        <f>_xlfn.XLOOKUP(S145,合格掲示用ワーク!L:L,合格掲示用ワーク!B:B,"",0,1)</f>
        <v>0</v>
      </c>
      <c r="U145" s="20">
        <f>_xlfn.XLOOKUP(S145,合格掲示用ワーク!L:L,合格掲示用ワーク!C:C,"",0,1)</f>
        <v>0</v>
      </c>
      <c r="V145" s="20">
        <f>_xlfn.XLOOKUP(S145,合格掲示用ワーク!L:L,合格掲示用ワーク!G:G,"",0,1)</f>
        <v>0</v>
      </c>
    </row>
    <row r="146" spans="17:22" ht="36.75" customHeight="1" x14ac:dyDescent="0.15">
      <c r="R146">
        <v>4</v>
      </c>
      <c r="S146" t="str">
        <f>Q137&amp;"-"&amp;R146</f>
        <v>9-4</v>
      </c>
      <c r="T146" s="19">
        <f>_xlfn.XLOOKUP(S146,合格掲示用ワーク!L:L,合格掲示用ワーク!B:B,"",0,1)</f>
        <v>0</v>
      </c>
      <c r="U146" s="20">
        <f>_xlfn.XLOOKUP(S146,合格掲示用ワーク!L:L,合格掲示用ワーク!C:C,"",0,1)</f>
        <v>0</v>
      </c>
      <c r="V146" s="20">
        <f>_xlfn.XLOOKUP(S146,合格掲示用ワーク!L:L,合格掲示用ワーク!G:G,"",0,1)</f>
        <v>0</v>
      </c>
    </row>
    <row r="147" spans="17:22" ht="36.75" customHeight="1" x14ac:dyDescent="0.15">
      <c r="R147">
        <v>5</v>
      </c>
      <c r="S147" t="str">
        <f>Q137&amp;"-"&amp;R147</f>
        <v>9-5</v>
      </c>
      <c r="T147" s="19">
        <f>_xlfn.XLOOKUP(S147,合格掲示用ワーク!L:L,合格掲示用ワーク!B:B,"",0,1)</f>
        <v>0</v>
      </c>
      <c r="U147" s="20">
        <f>_xlfn.XLOOKUP(S147,合格掲示用ワーク!L:L,合格掲示用ワーク!C:C,"",0,1)</f>
        <v>0</v>
      </c>
      <c r="V147" s="20">
        <f>_xlfn.XLOOKUP(S147,合格掲示用ワーク!L:L,合格掲示用ワーク!G:G,"",0,1)</f>
        <v>0</v>
      </c>
    </row>
    <row r="148" spans="17:22" ht="36.75" customHeight="1" x14ac:dyDescent="0.15">
      <c r="R148">
        <v>6</v>
      </c>
      <c r="S148" t="str">
        <f>Q137&amp;"-"&amp;R148</f>
        <v>9-6</v>
      </c>
      <c r="T148" s="19">
        <f>_xlfn.XLOOKUP(S148,合格掲示用ワーク!L:L,合格掲示用ワーク!B:B,"",0,1)</f>
        <v>0</v>
      </c>
      <c r="U148" s="20">
        <f>_xlfn.XLOOKUP(S148,合格掲示用ワーク!L:L,合格掲示用ワーク!C:C,"",0,1)</f>
        <v>0</v>
      </c>
      <c r="V148" s="20">
        <f>_xlfn.XLOOKUP(S148,合格掲示用ワーク!L:L,合格掲示用ワーク!G:G,"",0,1)</f>
        <v>0</v>
      </c>
    </row>
    <row r="149" spans="17:22" ht="36.75" customHeight="1" x14ac:dyDescent="0.15">
      <c r="R149">
        <v>7</v>
      </c>
      <c r="S149" t="str">
        <f>Q137&amp;"-"&amp;R149</f>
        <v>9-7</v>
      </c>
      <c r="T149" s="19">
        <f>_xlfn.XLOOKUP(S149,合格掲示用ワーク!L:L,合格掲示用ワーク!B:B,"",0,1)</f>
        <v>0</v>
      </c>
      <c r="U149" s="20">
        <f>_xlfn.XLOOKUP(S149,合格掲示用ワーク!L:L,合格掲示用ワーク!C:C,"",0,1)</f>
        <v>0</v>
      </c>
      <c r="V149" s="20">
        <f>_xlfn.XLOOKUP(S149,合格掲示用ワーク!L:L,合格掲示用ワーク!G:G,"",0,1)</f>
        <v>0</v>
      </c>
    </row>
    <row r="150" spans="17:22" ht="36.75" customHeight="1" x14ac:dyDescent="0.15">
      <c r="R150">
        <v>8</v>
      </c>
      <c r="S150" t="str">
        <f>Q137&amp;"-"&amp;R150</f>
        <v>9-8</v>
      </c>
      <c r="T150" s="19">
        <f>_xlfn.XLOOKUP(S150,合格掲示用ワーク!L:L,合格掲示用ワーク!B:B,"",0,1)</f>
        <v>0</v>
      </c>
      <c r="U150" s="20">
        <f>_xlfn.XLOOKUP(S150,合格掲示用ワーク!L:L,合格掲示用ワーク!C:C,"",0,1)</f>
        <v>0</v>
      </c>
      <c r="V150" s="20">
        <f>_xlfn.XLOOKUP(S150,合格掲示用ワーク!L:L,合格掲示用ワーク!G:G,"",0,1)</f>
        <v>0</v>
      </c>
    </row>
    <row r="151" spans="17:22" ht="36.75" customHeight="1" x14ac:dyDescent="0.15">
      <c r="R151" s="18">
        <v>9</v>
      </c>
      <c r="S151" t="str">
        <f>Q137&amp;"-"&amp;R151</f>
        <v>9-9</v>
      </c>
      <c r="T151" s="19">
        <f>_xlfn.XLOOKUP(S151,合格掲示用ワーク!L:L,合格掲示用ワーク!B:B,"",0,1)</f>
        <v>0</v>
      </c>
      <c r="U151" s="20">
        <f>_xlfn.XLOOKUP(S151,合格掲示用ワーク!L:L,合格掲示用ワーク!C:C,"",0,1)</f>
        <v>0</v>
      </c>
      <c r="V151" s="20">
        <f>_xlfn.XLOOKUP(S151,合格掲示用ワーク!L:L,合格掲示用ワーク!G:G,"",0,1)</f>
        <v>0</v>
      </c>
    </row>
    <row r="152" spans="17:22" ht="36.75" customHeight="1" x14ac:dyDescent="0.15">
      <c r="R152">
        <v>10</v>
      </c>
      <c r="S152" t="str">
        <f>Q137&amp;"-"&amp;R152</f>
        <v>9-10</v>
      </c>
      <c r="T152" s="19">
        <f>_xlfn.XLOOKUP(S152,合格掲示用ワーク!L:L,合格掲示用ワーク!B:B,"",0,1)</f>
        <v>0</v>
      </c>
      <c r="U152" s="20">
        <f>_xlfn.XLOOKUP(S152,合格掲示用ワーク!L:L,合格掲示用ワーク!C:C,"",0,1)</f>
        <v>0</v>
      </c>
      <c r="V152" s="20">
        <f>_xlfn.XLOOKUP(S152,合格掲示用ワーク!L:L,合格掲示用ワーク!G:G,"",0,1)</f>
        <v>0</v>
      </c>
    </row>
    <row r="154" spans="17:22" ht="36.75" customHeight="1" x14ac:dyDescent="0.15">
      <c r="Q154">
        <f>Q137+1</f>
        <v>10</v>
      </c>
    </row>
    <row r="160" spans="17:22" ht="36.75" customHeight="1" x14ac:dyDescent="0.15">
      <c r="R160">
        <v>1</v>
      </c>
      <c r="S160" t="str">
        <f>Q154&amp;"-"&amp;R160</f>
        <v>10-1</v>
      </c>
      <c r="T160" s="19">
        <f>_xlfn.XLOOKUP(S160,合格掲示用ワーク!L:L,合格掲示用ワーク!B:B,"",0,1)</f>
        <v>0</v>
      </c>
      <c r="U160" s="20">
        <f>_xlfn.XLOOKUP(S160,合格掲示用ワーク!L:L,合格掲示用ワーク!C:C,"",0,1)</f>
        <v>0</v>
      </c>
      <c r="V160" s="20">
        <f>_xlfn.XLOOKUP(S160,合格掲示用ワーク!L:L,合格掲示用ワーク!G:G,"",0,1)</f>
        <v>0</v>
      </c>
    </row>
    <row r="161" spans="17:22" ht="36.75" customHeight="1" x14ac:dyDescent="0.15">
      <c r="R161">
        <v>2</v>
      </c>
      <c r="S161" t="str">
        <f>Q154&amp;"-"&amp;R161</f>
        <v>10-2</v>
      </c>
      <c r="T161" s="19">
        <f>_xlfn.XLOOKUP(S161,合格掲示用ワーク!L:L,合格掲示用ワーク!B:B,"",0,1)</f>
        <v>0</v>
      </c>
      <c r="U161" s="20">
        <f>_xlfn.XLOOKUP(S161,合格掲示用ワーク!L:L,合格掲示用ワーク!C:C,"",0,1)</f>
        <v>0</v>
      </c>
      <c r="V161" s="20">
        <f>_xlfn.XLOOKUP(S161,合格掲示用ワーク!L:L,合格掲示用ワーク!G:G,"",0,1)</f>
        <v>0</v>
      </c>
    </row>
    <row r="162" spans="17:22" ht="36.75" customHeight="1" x14ac:dyDescent="0.15">
      <c r="R162">
        <v>3</v>
      </c>
      <c r="S162" t="str">
        <f>Q154&amp;"-"&amp;R162</f>
        <v>10-3</v>
      </c>
      <c r="T162" s="19">
        <f>_xlfn.XLOOKUP(S162,合格掲示用ワーク!L:L,合格掲示用ワーク!B:B,"",0,1)</f>
        <v>0</v>
      </c>
      <c r="U162" s="20">
        <f>_xlfn.XLOOKUP(S162,合格掲示用ワーク!L:L,合格掲示用ワーク!C:C,"",0,1)</f>
        <v>0</v>
      </c>
      <c r="V162" s="20">
        <f>_xlfn.XLOOKUP(S162,合格掲示用ワーク!L:L,合格掲示用ワーク!G:G,"",0,1)</f>
        <v>0</v>
      </c>
    </row>
    <row r="163" spans="17:22" ht="36.75" customHeight="1" x14ac:dyDescent="0.15">
      <c r="R163">
        <v>4</v>
      </c>
      <c r="S163" t="str">
        <f>Q154&amp;"-"&amp;R163</f>
        <v>10-4</v>
      </c>
      <c r="T163" s="19">
        <f>_xlfn.XLOOKUP(S163,合格掲示用ワーク!L:L,合格掲示用ワーク!B:B,"",0,1)</f>
        <v>0</v>
      </c>
      <c r="U163" s="20">
        <f>_xlfn.XLOOKUP(S163,合格掲示用ワーク!L:L,合格掲示用ワーク!C:C,"",0,1)</f>
        <v>0</v>
      </c>
      <c r="V163" s="20">
        <f>_xlfn.XLOOKUP(S163,合格掲示用ワーク!L:L,合格掲示用ワーク!G:G,"",0,1)</f>
        <v>0</v>
      </c>
    </row>
    <row r="164" spans="17:22" ht="36.75" customHeight="1" x14ac:dyDescent="0.15">
      <c r="R164">
        <v>5</v>
      </c>
      <c r="S164" t="str">
        <f>Q154&amp;"-"&amp;R164</f>
        <v>10-5</v>
      </c>
      <c r="T164" s="19">
        <f>_xlfn.XLOOKUP(S164,合格掲示用ワーク!L:L,合格掲示用ワーク!B:B,"",0,1)</f>
        <v>0</v>
      </c>
      <c r="U164" s="20">
        <f>_xlfn.XLOOKUP(S164,合格掲示用ワーク!L:L,合格掲示用ワーク!C:C,"",0,1)</f>
        <v>0</v>
      </c>
      <c r="V164" s="20">
        <f>_xlfn.XLOOKUP(S164,合格掲示用ワーク!L:L,合格掲示用ワーク!G:G,"",0,1)</f>
        <v>0</v>
      </c>
    </row>
    <row r="165" spans="17:22" ht="36.75" customHeight="1" x14ac:dyDescent="0.15">
      <c r="R165">
        <v>6</v>
      </c>
      <c r="S165" t="str">
        <f>Q154&amp;"-"&amp;R165</f>
        <v>10-6</v>
      </c>
      <c r="T165" s="19">
        <f>_xlfn.XLOOKUP(S165,合格掲示用ワーク!L:L,合格掲示用ワーク!B:B,"",0,1)</f>
        <v>0</v>
      </c>
      <c r="U165" s="20">
        <f>_xlfn.XLOOKUP(S165,合格掲示用ワーク!L:L,合格掲示用ワーク!C:C,"",0,1)</f>
        <v>0</v>
      </c>
      <c r="V165" s="20">
        <f>_xlfn.XLOOKUP(S165,合格掲示用ワーク!L:L,合格掲示用ワーク!G:G,"",0,1)</f>
        <v>0</v>
      </c>
    </row>
    <row r="166" spans="17:22" ht="36.75" customHeight="1" x14ac:dyDescent="0.15">
      <c r="R166">
        <v>7</v>
      </c>
      <c r="S166" t="str">
        <f>Q154&amp;"-"&amp;R166</f>
        <v>10-7</v>
      </c>
      <c r="T166" s="19">
        <f>_xlfn.XLOOKUP(S166,合格掲示用ワーク!L:L,合格掲示用ワーク!B:B,"",0,1)</f>
        <v>0</v>
      </c>
      <c r="U166" s="20">
        <f>_xlfn.XLOOKUP(S166,合格掲示用ワーク!L:L,合格掲示用ワーク!C:C,"",0,1)</f>
        <v>0</v>
      </c>
      <c r="V166" s="20">
        <f>_xlfn.XLOOKUP(S166,合格掲示用ワーク!L:L,合格掲示用ワーク!G:G,"",0,1)</f>
        <v>0</v>
      </c>
    </row>
    <row r="167" spans="17:22" ht="36.75" customHeight="1" x14ac:dyDescent="0.15">
      <c r="R167">
        <v>8</v>
      </c>
      <c r="S167" t="str">
        <f>Q154&amp;"-"&amp;R167</f>
        <v>10-8</v>
      </c>
      <c r="T167" s="19">
        <f>_xlfn.XLOOKUP(S167,合格掲示用ワーク!L:L,合格掲示用ワーク!B:B,"",0,1)</f>
        <v>0</v>
      </c>
      <c r="U167" s="20">
        <f>_xlfn.XLOOKUP(S167,合格掲示用ワーク!L:L,合格掲示用ワーク!C:C,"",0,1)</f>
        <v>0</v>
      </c>
      <c r="V167" s="20">
        <f>_xlfn.XLOOKUP(S167,合格掲示用ワーク!L:L,合格掲示用ワーク!G:G,"",0,1)</f>
        <v>0</v>
      </c>
    </row>
    <row r="168" spans="17:22" ht="36.75" customHeight="1" x14ac:dyDescent="0.15">
      <c r="R168" s="18">
        <v>9</v>
      </c>
      <c r="S168" t="str">
        <f>Q154&amp;"-"&amp;R168</f>
        <v>10-9</v>
      </c>
      <c r="T168" s="19">
        <f>_xlfn.XLOOKUP(S168,合格掲示用ワーク!L:L,合格掲示用ワーク!B:B,"",0,1)</f>
        <v>0</v>
      </c>
      <c r="U168" s="20">
        <f>_xlfn.XLOOKUP(S168,合格掲示用ワーク!L:L,合格掲示用ワーク!C:C,"",0,1)</f>
        <v>0</v>
      </c>
      <c r="V168" s="20">
        <f>_xlfn.XLOOKUP(S168,合格掲示用ワーク!L:L,合格掲示用ワーク!G:G,"",0,1)</f>
        <v>0</v>
      </c>
    </row>
    <row r="169" spans="17:22" ht="36.75" customHeight="1" x14ac:dyDescent="0.15">
      <c r="R169">
        <v>10</v>
      </c>
      <c r="S169" t="str">
        <f>Q154&amp;"-"&amp;R169</f>
        <v>10-10</v>
      </c>
      <c r="T169" s="19">
        <f>_xlfn.XLOOKUP(S169,合格掲示用ワーク!L:L,合格掲示用ワーク!B:B,"",0,1)</f>
        <v>0</v>
      </c>
      <c r="U169" s="20">
        <f>_xlfn.XLOOKUP(S169,合格掲示用ワーク!L:L,合格掲示用ワーク!C:C,"",0,1)</f>
        <v>0</v>
      </c>
      <c r="V169" s="20">
        <f>_xlfn.XLOOKUP(S169,合格掲示用ワーク!L:L,合格掲示用ワーク!G:G,"",0,1)</f>
        <v>0</v>
      </c>
    </row>
    <row r="171" spans="17:22" ht="36.75" customHeight="1" x14ac:dyDescent="0.15">
      <c r="Q171">
        <f>Q154+1</f>
        <v>11</v>
      </c>
    </row>
    <row r="177" spans="17:22" ht="36.75" customHeight="1" x14ac:dyDescent="0.15">
      <c r="R177">
        <v>1</v>
      </c>
      <c r="S177" t="str">
        <f>Q171&amp;"-"&amp;R177</f>
        <v>11-1</v>
      </c>
      <c r="T177" s="19">
        <f>_xlfn.XLOOKUP(S177,合格掲示用ワーク!L:L,合格掲示用ワーク!B:B,"",0,1)</f>
        <v>0</v>
      </c>
      <c r="U177" s="20">
        <f>_xlfn.XLOOKUP(S177,合格掲示用ワーク!L:L,合格掲示用ワーク!C:C,"",0,1)</f>
        <v>0</v>
      </c>
      <c r="V177" s="20">
        <f>_xlfn.XLOOKUP(S177,合格掲示用ワーク!L:L,合格掲示用ワーク!G:G,"",0,1)</f>
        <v>0</v>
      </c>
    </row>
    <row r="178" spans="17:22" ht="36.75" customHeight="1" x14ac:dyDescent="0.15">
      <c r="R178">
        <v>2</v>
      </c>
      <c r="S178" t="str">
        <f>Q171&amp;"-"&amp;R178</f>
        <v>11-2</v>
      </c>
      <c r="T178" s="19">
        <f>_xlfn.XLOOKUP(S178,合格掲示用ワーク!L:L,合格掲示用ワーク!B:B,"",0,1)</f>
        <v>0</v>
      </c>
      <c r="U178" s="20">
        <f>_xlfn.XLOOKUP(S178,合格掲示用ワーク!L:L,合格掲示用ワーク!C:C,"",0,1)</f>
        <v>0</v>
      </c>
      <c r="V178" s="20">
        <f>_xlfn.XLOOKUP(S178,合格掲示用ワーク!L:L,合格掲示用ワーク!G:G,"",0,1)</f>
        <v>0</v>
      </c>
    </row>
    <row r="179" spans="17:22" ht="36.75" customHeight="1" x14ac:dyDescent="0.15">
      <c r="R179">
        <v>3</v>
      </c>
      <c r="S179" t="str">
        <f>Q171&amp;"-"&amp;R179</f>
        <v>11-3</v>
      </c>
      <c r="T179" s="19">
        <f>_xlfn.XLOOKUP(S179,合格掲示用ワーク!L:L,合格掲示用ワーク!B:B,"",0,1)</f>
        <v>0</v>
      </c>
      <c r="U179" s="20">
        <f>_xlfn.XLOOKUP(S179,合格掲示用ワーク!L:L,合格掲示用ワーク!C:C,"",0,1)</f>
        <v>0</v>
      </c>
      <c r="V179" s="20">
        <f>_xlfn.XLOOKUP(S179,合格掲示用ワーク!L:L,合格掲示用ワーク!G:G,"",0,1)</f>
        <v>0</v>
      </c>
    </row>
    <row r="180" spans="17:22" ht="36.75" customHeight="1" x14ac:dyDescent="0.15">
      <c r="R180">
        <v>4</v>
      </c>
      <c r="S180" t="str">
        <f>Q171&amp;"-"&amp;R180</f>
        <v>11-4</v>
      </c>
      <c r="T180" s="19">
        <f>_xlfn.XLOOKUP(S180,合格掲示用ワーク!L:L,合格掲示用ワーク!B:B,"",0,1)</f>
        <v>0</v>
      </c>
      <c r="U180" s="20">
        <f>_xlfn.XLOOKUP(S180,合格掲示用ワーク!L:L,合格掲示用ワーク!C:C,"",0,1)</f>
        <v>0</v>
      </c>
      <c r="V180" s="20">
        <f>_xlfn.XLOOKUP(S180,合格掲示用ワーク!L:L,合格掲示用ワーク!G:G,"",0,1)</f>
        <v>0</v>
      </c>
    </row>
    <row r="181" spans="17:22" ht="36.75" customHeight="1" x14ac:dyDescent="0.15">
      <c r="R181">
        <v>5</v>
      </c>
      <c r="S181" t="str">
        <f>Q171&amp;"-"&amp;R181</f>
        <v>11-5</v>
      </c>
      <c r="T181" s="19">
        <f>_xlfn.XLOOKUP(S181,合格掲示用ワーク!L:L,合格掲示用ワーク!B:B,"",0,1)</f>
        <v>0</v>
      </c>
      <c r="U181" s="20">
        <f>_xlfn.XLOOKUP(S181,合格掲示用ワーク!L:L,合格掲示用ワーク!C:C,"",0,1)</f>
        <v>0</v>
      </c>
      <c r="V181" s="20">
        <f>_xlfn.XLOOKUP(S181,合格掲示用ワーク!L:L,合格掲示用ワーク!G:G,"",0,1)</f>
        <v>0</v>
      </c>
    </row>
    <row r="182" spans="17:22" ht="36.75" customHeight="1" x14ac:dyDescent="0.15">
      <c r="R182">
        <v>6</v>
      </c>
      <c r="S182" t="str">
        <f>Q171&amp;"-"&amp;R182</f>
        <v>11-6</v>
      </c>
      <c r="T182" s="19">
        <f>_xlfn.XLOOKUP(S182,合格掲示用ワーク!L:L,合格掲示用ワーク!B:B,"",0,1)</f>
        <v>0</v>
      </c>
      <c r="U182" s="20">
        <f>_xlfn.XLOOKUP(S182,合格掲示用ワーク!L:L,合格掲示用ワーク!C:C,"",0,1)</f>
        <v>0</v>
      </c>
      <c r="V182" s="20">
        <f>_xlfn.XLOOKUP(S182,合格掲示用ワーク!L:L,合格掲示用ワーク!G:G,"",0,1)</f>
        <v>0</v>
      </c>
    </row>
    <row r="183" spans="17:22" ht="36.75" customHeight="1" x14ac:dyDescent="0.15">
      <c r="R183">
        <v>7</v>
      </c>
      <c r="S183" t="str">
        <f>Q171&amp;"-"&amp;R183</f>
        <v>11-7</v>
      </c>
      <c r="T183" s="19">
        <f>_xlfn.XLOOKUP(S183,合格掲示用ワーク!L:L,合格掲示用ワーク!B:B,"",0,1)</f>
        <v>0</v>
      </c>
      <c r="U183" s="20">
        <f>_xlfn.XLOOKUP(S183,合格掲示用ワーク!L:L,合格掲示用ワーク!C:C,"",0,1)</f>
        <v>0</v>
      </c>
      <c r="V183" s="20">
        <f>_xlfn.XLOOKUP(S183,合格掲示用ワーク!L:L,合格掲示用ワーク!G:G,"",0,1)</f>
        <v>0</v>
      </c>
    </row>
    <row r="184" spans="17:22" ht="36.75" customHeight="1" x14ac:dyDescent="0.15">
      <c r="R184">
        <v>8</v>
      </c>
      <c r="S184" t="str">
        <f>Q171&amp;"-"&amp;R184</f>
        <v>11-8</v>
      </c>
      <c r="T184" s="19">
        <f>_xlfn.XLOOKUP(S184,合格掲示用ワーク!L:L,合格掲示用ワーク!B:B,"",0,1)</f>
        <v>0</v>
      </c>
      <c r="U184" s="20">
        <f>_xlfn.XLOOKUP(S184,合格掲示用ワーク!L:L,合格掲示用ワーク!C:C,"",0,1)</f>
        <v>0</v>
      </c>
      <c r="V184" s="20">
        <f>_xlfn.XLOOKUP(S184,合格掲示用ワーク!L:L,合格掲示用ワーク!G:G,"",0,1)</f>
        <v>0</v>
      </c>
    </row>
    <row r="185" spans="17:22" ht="36.75" customHeight="1" x14ac:dyDescent="0.15">
      <c r="R185" s="18">
        <v>9</v>
      </c>
      <c r="S185" t="str">
        <f>Q171&amp;"-"&amp;R185</f>
        <v>11-9</v>
      </c>
      <c r="T185" s="19">
        <f>_xlfn.XLOOKUP(S185,合格掲示用ワーク!L:L,合格掲示用ワーク!B:B,"",0,1)</f>
        <v>0</v>
      </c>
      <c r="U185" s="20">
        <f>_xlfn.XLOOKUP(S185,合格掲示用ワーク!L:L,合格掲示用ワーク!C:C,"",0,1)</f>
        <v>0</v>
      </c>
      <c r="V185" s="20">
        <f>_xlfn.XLOOKUP(S185,合格掲示用ワーク!L:L,合格掲示用ワーク!G:G,"",0,1)</f>
        <v>0</v>
      </c>
    </row>
    <row r="186" spans="17:22" ht="36.75" customHeight="1" x14ac:dyDescent="0.15">
      <c r="R186">
        <v>10</v>
      </c>
      <c r="S186" t="str">
        <f>Q171&amp;"-"&amp;R186</f>
        <v>11-10</v>
      </c>
      <c r="T186" s="19">
        <f>_xlfn.XLOOKUP(S186,合格掲示用ワーク!L:L,合格掲示用ワーク!B:B,"",0,1)</f>
        <v>0</v>
      </c>
      <c r="U186" s="20">
        <f>_xlfn.XLOOKUP(S186,合格掲示用ワーク!L:L,合格掲示用ワーク!C:C,"",0,1)</f>
        <v>0</v>
      </c>
      <c r="V186" s="20">
        <f>_xlfn.XLOOKUP(S186,合格掲示用ワーク!L:L,合格掲示用ワーク!G:G,"",0,1)</f>
        <v>0</v>
      </c>
    </row>
    <row r="188" spans="17:22" ht="36.75" customHeight="1" x14ac:dyDescent="0.15">
      <c r="Q188">
        <f>Q171+1</f>
        <v>12</v>
      </c>
    </row>
    <row r="194" spans="17:22" ht="36.75" customHeight="1" x14ac:dyDescent="0.15">
      <c r="R194">
        <v>1</v>
      </c>
      <c r="S194" t="str">
        <f>Q188&amp;"-"&amp;R194</f>
        <v>12-1</v>
      </c>
      <c r="T194" s="19">
        <f>_xlfn.XLOOKUP(S194,合格掲示用ワーク!L:L,合格掲示用ワーク!B:B,"",0,1)</f>
        <v>0</v>
      </c>
      <c r="U194" s="20">
        <f>_xlfn.XLOOKUP(S194,合格掲示用ワーク!L:L,合格掲示用ワーク!C:C,"",0,1)</f>
        <v>0</v>
      </c>
      <c r="V194" s="20">
        <f>_xlfn.XLOOKUP(S194,合格掲示用ワーク!L:L,合格掲示用ワーク!G:G,"",0,1)</f>
        <v>0</v>
      </c>
    </row>
    <row r="195" spans="17:22" ht="36.75" customHeight="1" x14ac:dyDescent="0.15">
      <c r="R195">
        <v>2</v>
      </c>
      <c r="S195" t="str">
        <f>Q188&amp;"-"&amp;R195</f>
        <v>12-2</v>
      </c>
      <c r="T195" s="19">
        <f>_xlfn.XLOOKUP(S195,合格掲示用ワーク!L:L,合格掲示用ワーク!B:B,"",0,1)</f>
        <v>0</v>
      </c>
      <c r="U195" s="20">
        <f>_xlfn.XLOOKUP(S195,合格掲示用ワーク!L:L,合格掲示用ワーク!C:C,"",0,1)</f>
        <v>0</v>
      </c>
      <c r="V195" s="20">
        <f>_xlfn.XLOOKUP(S195,合格掲示用ワーク!L:L,合格掲示用ワーク!G:G,"",0,1)</f>
        <v>0</v>
      </c>
    </row>
    <row r="196" spans="17:22" ht="36.75" customHeight="1" x14ac:dyDescent="0.15">
      <c r="R196">
        <v>3</v>
      </c>
      <c r="S196" t="str">
        <f>Q188&amp;"-"&amp;R196</f>
        <v>12-3</v>
      </c>
      <c r="T196" s="19">
        <f>_xlfn.XLOOKUP(S196,合格掲示用ワーク!L:L,合格掲示用ワーク!B:B,"",0,1)</f>
        <v>0</v>
      </c>
      <c r="U196" s="20">
        <f>_xlfn.XLOOKUP(S196,合格掲示用ワーク!L:L,合格掲示用ワーク!C:C,"",0,1)</f>
        <v>0</v>
      </c>
      <c r="V196" s="20">
        <f>_xlfn.XLOOKUP(S196,合格掲示用ワーク!L:L,合格掲示用ワーク!G:G,"",0,1)</f>
        <v>0</v>
      </c>
    </row>
    <row r="197" spans="17:22" ht="36.75" customHeight="1" x14ac:dyDescent="0.15">
      <c r="R197">
        <v>4</v>
      </c>
      <c r="S197" t="str">
        <f>Q188&amp;"-"&amp;R197</f>
        <v>12-4</v>
      </c>
      <c r="T197" s="19">
        <f>_xlfn.XLOOKUP(S197,合格掲示用ワーク!L:L,合格掲示用ワーク!B:B,"",0,1)</f>
        <v>0</v>
      </c>
      <c r="U197" s="20">
        <f>_xlfn.XLOOKUP(S197,合格掲示用ワーク!L:L,合格掲示用ワーク!C:C,"",0,1)</f>
        <v>0</v>
      </c>
      <c r="V197" s="20">
        <f>_xlfn.XLOOKUP(S197,合格掲示用ワーク!L:L,合格掲示用ワーク!G:G,"",0,1)</f>
        <v>0</v>
      </c>
    </row>
    <row r="198" spans="17:22" ht="36.75" customHeight="1" x14ac:dyDescent="0.15">
      <c r="R198">
        <v>5</v>
      </c>
      <c r="S198" t="str">
        <f>Q188&amp;"-"&amp;R198</f>
        <v>12-5</v>
      </c>
      <c r="T198" s="19">
        <f>_xlfn.XLOOKUP(S198,合格掲示用ワーク!L:L,合格掲示用ワーク!B:B,"",0,1)</f>
        <v>0</v>
      </c>
      <c r="U198" s="20">
        <f>_xlfn.XLOOKUP(S198,合格掲示用ワーク!L:L,合格掲示用ワーク!C:C,"",0,1)</f>
        <v>0</v>
      </c>
      <c r="V198" s="20">
        <f>_xlfn.XLOOKUP(S198,合格掲示用ワーク!L:L,合格掲示用ワーク!G:G,"",0,1)</f>
        <v>0</v>
      </c>
    </row>
    <row r="199" spans="17:22" ht="36.75" customHeight="1" x14ac:dyDescent="0.15">
      <c r="R199">
        <v>6</v>
      </c>
      <c r="S199" t="str">
        <f>Q188&amp;"-"&amp;R199</f>
        <v>12-6</v>
      </c>
      <c r="T199" s="19">
        <f>_xlfn.XLOOKUP(S199,合格掲示用ワーク!L:L,合格掲示用ワーク!B:B,"",0,1)</f>
        <v>0</v>
      </c>
      <c r="U199" s="20">
        <f>_xlfn.XLOOKUP(S199,合格掲示用ワーク!L:L,合格掲示用ワーク!C:C,"",0,1)</f>
        <v>0</v>
      </c>
      <c r="V199" s="20">
        <f>_xlfn.XLOOKUP(S199,合格掲示用ワーク!L:L,合格掲示用ワーク!G:G,"",0,1)</f>
        <v>0</v>
      </c>
    </row>
    <row r="200" spans="17:22" ht="36.75" customHeight="1" x14ac:dyDescent="0.15">
      <c r="R200">
        <v>7</v>
      </c>
      <c r="S200" t="str">
        <f>Q188&amp;"-"&amp;R200</f>
        <v>12-7</v>
      </c>
      <c r="T200" s="19">
        <f>_xlfn.XLOOKUP(S200,合格掲示用ワーク!L:L,合格掲示用ワーク!B:B,"",0,1)</f>
        <v>0</v>
      </c>
      <c r="U200" s="20">
        <f>_xlfn.XLOOKUP(S200,合格掲示用ワーク!L:L,合格掲示用ワーク!C:C,"",0,1)</f>
        <v>0</v>
      </c>
      <c r="V200" s="20">
        <f>_xlfn.XLOOKUP(S200,合格掲示用ワーク!L:L,合格掲示用ワーク!G:G,"",0,1)</f>
        <v>0</v>
      </c>
    </row>
    <row r="201" spans="17:22" ht="36.75" customHeight="1" x14ac:dyDescent="0.15">
      <c r="R201">
        <v>8</v>
      </c>
      <c r="S201" t="str">
        <f>Q188&amp;"-"&amp;R201</f>
        <v>12-8</v>
      </c>
      <c r="T201" s="19">
        <f>_xlfn.XLOOKUP(S201,合格掲示用ワーク!L:L,合格掲示用ワーク!B:B,"",0,1)</f>
        <v>0</v>
      </c>
      <c r="U201" s="20">
        <f>_xlfn.XLOOKUP(S201,合格掲示用ワーク!L:L,合格掲示用ワーク!C:C,"",0,1)</f>
        <v>0</v>
      </c>
      <c r="V201" s="20">
        <f>_xlfn.XLOOKUP(S201,合格掲示用ワーク!L:L,合格掲示用ワーク!G:G,"",0,1)</f>
        <v>0</v>
      </c>
    </row>
    <row r="202" spans="17:22" ht="36.75" customHeight="1" x14ac:dyDescent="0.15">
      <c r="R202" s="18">
        <v>9</v>
      </c>
      <c r="S202" t="str">
        <f>Q188&amp;"-"&amp;R202</f>
        <v>12-9</v>
      </c>
      <c r="T202" s="19">
        <f>_xlfn.XLOOKUP(S202,合格掲示用ワーク!L:L,合格掲示用ワーク!B:B,"",0,1)</f>
        <v>0</v>
      </c>
      <c r="U202" s="20">
        <f>_xlfn.XLOOKUP(S202,合格掲示用ワーク!L:L,合格掲示用ワーク!C:C,"",0,1)</f>
        <v>0</v>
      </c>
      <c r="V202" s="20">
        <f>_xlfn.XLOOKUP(S202,合格掲示用ワーク!L:L,合格掲示用ワーク!G:G,"",0,1)</f>
        <v>0</v>
      </c>
    </row>
    <row r="203" spans="17:22" ht="36.75" customHeight="1" x14ac:dyDescent="0.15">
      <c r="R203">
        <v>10</v>
      </c>
      <c r="S203" t="str">
        <f>Q188&amp;"-"&amp;R203</f>
        <v>12-10</v>
      </c>
      <c r="T203" s="19">
        <f>_xlfn.XLOOKUP(S203,合格掲示用ワーク!L:L,合格掲示用ワーク!B:B,"",0,1)</f>
        <v>0</v>
      </c>
      <c r="U203" s="20">
        <f>_xlfn.XLOOKUP(S203,合格掲示用ワーク!L:L,合格掲示用ワーク!C:C,"",0,1)</f>
        <v>0</v>
      </c>
      <c r="V203" s="20">
        <f>_xlfn.XLOOKUP(S203,合格掲示用ワーク!L:L,合格掲示用ワーク!G:G,"",0,1)</f>
        <v>0</v>
      </c>
    </row>
    <row r="205" spans="17:22" ht="36.75" customHeight="1" x14ac:dyDescent="0.15">
      <c r="Q205">
        <f>Q188+1</f>
        <v>13</v>
      </c>
    </row>
    <row r="211" spans="17:22" ht="36.75" customHeight="1" x14ac:dyDescent="0.15">
      <c r="R211">
        <v>1</v>
      </c>
      <c r="S211" t="str">
        <f>Q205&amp;"-"&amp;R211</f>
        <v>13-1</v>
      </c>
      <c r="T211" s="19">
        <f>_xlfn.XLOOKUP(S211,合格掲示用ワーク!L:L,合格掲示用ワーク!B:B,"",0,1)</f>
        <v>0</v>
      </c>
      <c r="U211" s="20">
        <f>_xlfn.XLOOKUP(S211,合格掲示用ワーク!L:L,合格掲示用ワーク!C:C,"",0,1)</f>
        <v>0</v>
      </c>
      <c r="V211" s="20">
        <f>_xlfn.XLOOKUP(S211,合格掲示用ワーク!L:L,合格掲示用ワーク!G:G,"",0,1)</f>
        <v>0</v>
      </c>
    </row>
    <row r="212" spans="17:22" ht="36.75" customHeight="1" x14ac:dyDescent="0.15">
      <c r="R212">
        <v>2</v>
      </c>
      <c r="S212" t="str">
        <f>Q205&amp;"-"&amp;R212</f>
        <v>13-2</v>
      </c>
      <c r="T212" s="19">
        <f>_xlfn.XLOOKUP(S212,合格掲示用ワーク!L:L,合格掲示用ワーク!B:B,"",0,1)</f>
        <v>0</v>
      </c>
      <c r="U212" s="20">
        <f>_xlfn.XLOOKUP(S212,合格掲示用ワーク!L:L,合格掲示用ワーク!C:C,"",0,1)</f>
        <v>0</v>
      </c>
      <c r="V212" s="20">
        <f>_xlfn.XLOOKUP(S212,合格掲示用ワーク!L:L,合格掲示用ワーク!G:G,"",0,1)</f>
        <v>0</v>
      </c>
    </row>
    <row r="213" spans="17:22" ht="36.75" customHeight="1" x14ac:dyDescent="0.15">
      <c r="R213">
        <v>3</v>
      </c>
      <c r="S213" t="str">
        <f>Q205&amp;"-"&amp;R213</f>
        <v>13-3</v>
      </c>
      <c r="T213" s="19">
        <f>_xlfn.XLOOKUP(S213,合格掲示用ワーク!L:L,合格掲示用ワーク!B:B,"",0,1)</f>
        <v>0</v>
      </c>
      <c r="U213" s="20">
        <f>_xlfn.XLOOKUP(S213,合格掲示用ワーク!L:L,合格掲示用ワーク!C:C,"",0,1)</f>
        <v>0</v>
      </c>
      <c r="V213" s="20">
        <f>_xlfn.XLOOKUP(S213,合格掲示用ワーク!L:L,合格掲示用ワーク!G:G,"",0,1)</f>
        <v>0</v>
      </c>
    </row>
    <row r="214" spans="17:22" ht="36.75" customHeight="1" x14ac:dyDescent="0.15">
      <c r="R214">
        <v>4</v>
      </c>
      <c r="S214" t="str">
        <f>Q205&amp;"-"&amp;R214</f>
        <v>13-4</v>
      </c>
      <c r="T214" s="19">
        <f>_xlfn.XLOOKUP(S214,合格掲示用ワーク!L:L,合格掲示用ワーク!B:B,"",0,1)</f>
        <v>0</v>
      </c>
      <c r="U214" s="20">
        <f>_xlfn.XLOOKUP(S214,合格掲示用ワーク!L:L,合格掲示用ワーク!C:C,"",0,1)</f>
        <v>0</v>
      </c>
      <c r="V214" s="20">
        <f>_xlfn.XLOOKUP(S214,合格掲示用ワーク!L:L,合格掲示用ワーク!G:G,"",0,1)</f>
        <v>0</v>
      </c>
    </row>
    <row r="215" spans="17:22" ht="36.75" customHeight="1" x14ac:dyDescent="0.15">
      <c r="R215">
        <v>5</v>
      </c>
      <c r="S215" t="str">
        <f>Q205&amp;"-"&amp;R215</f>
        <v>13-5</v>
      </c>
      <c r="T215" s="19">
        <f>_xlfn.XLOOKUP(S215,合格掲示用ワーク!L:L,合格掲示用ワーク!B:B,"",0,1)</f>
        <v>0</v>
      </c>
      <c r="U215" s="20">
        <f>_xlfn.XLOOKUP(S215,合格掲示用ワーク!L:L,合格掲示用ワーク!C:C,"",0,1)</f>
        <v>0</v>
      </c>
      <c r="V215" s="20">
        <f>_xlfn.XLOOKUP(S215,合格掲示用ワーク!L:L,合格掲示用ワーク!G:G,"",0,1)</f>
        <v>0</v>
      </c>
    </row>
    <row r="216" spans="17:22" ht="36.75" customHeight="1" x14ac:dyDescent="0.15">
      <c r="R216">
        <v>6</v>
      </c>
      <c r="S216" t="str">
        <f>Q205&amp;"-"&amp;R216</f>
        <v>13-6</v>
      </c>
      <c r="T216" s="19">
        <f>_xlfn.XLOOKUP(S216,合格掲示用ワーク!L:L,合格掲示用ワーク!B:B,"",0,1)</f>
        <v>0</v>
      </c>
      <c r="U216" s="20">
        <f>_xlfn.XLOOKUP(S216,合格掲示用ワーク!L:L,合格掲示用ワーク!C:C,"",0,1)</f>
        <v>0</v>
      </c>
      <c r="V216" s="20">
        <f>_xlfn.XLOOKUP(S216,合格掲示用ワーク!L:L,合格掲示用ワーク!G:G,"",0,1)</f>
        <v>0</v>
      </c>
    </row>
    <row r="217" spans="17:22" ht="36.75" customHeight="1" x14ac:dyDescent="0.15">
      <c r="R217">
        <v>7</v>
      </c>
      <c r="S217" t="str">
        <f>Q205&amp;"-"&amp;R217</f>
        <v>13-7</v>
      </c>
      <c r="T217" s="19">
        <f>_xlfn.XLOOKUP(S217,合格掲示用ワーク!L:L,合格掲示用ワーク!B:B,"",0,1)</f>
        <v>0</v>
      </c>
      <c r="U217" s="20">
        <f>_xlfn.XLOOKUP(S217,合格掲示用ワーク!L:L,合格掲示用ワーク!C:C,"",0,1)</f>
        <v>0</v>
      </c>
      <c r="V217" s="20">
        <f>_xlfn.XLOOKUP(S217,合格掲示用ワーク!L:L,合格掲示用ワーク!G:G,"",0,1)</f>
        <v>0</v>
      </c>
    </row>
    <row r="218" spans="17:22" ht="36.75" customHeight="1" x14ac:dyDescent="0.15">
      <c r="R218">
        <v>8</v>
      </c>
      <c r="S218" t="str">
        <f>Q205&amp;"-"&amp;R218</f>
        <v>13-8</v>
      </c>
      <c r="T218" s="19">
        <f>_xlfn.XLOOKUP(S218,合格掲示用ワーク!L:L,合格掲示用ワーク!B:B,"",0,1)</f>
        <v>0</v>
      </c>
      <c r="U218" s="20">
        <f>_xlfn.XLOOKUP(S218,合格掲示用ワーク!L:L,合格掲示用ワーク!C:C,"",0,1)</f>
        <v>0</v>
      </c>
      <c r="V218" s="20">
        <f>_xlfn.XLOOKUP(S218,合格掲示用ワーク!L:L,合格掲示用ワーク!G:G,"",0,1)</f>
        <v>0</v>
      </c>
    </row>
    <row r="219" spans="17:22" ht="36.75" customHeight="1" x14ac:dyDescent="0.15">
      <c r="R219" s="18">
        <v>9</v>
      </c>
      <c r="S219" t="str">
        <f>Q205&amp;"-"&amp;R219</f>
        <v>13-9</v>
      </c>
      <c r="T219" s="19">
        <f>_xlfn.XLOOKUP(S219,合格掲示用ワーク!L:L,合格掲示用ワーク!B:B,"",0,1)</f>
        <v>0</v>
      </c>
      <c r="U219" s="20">
        <f>_xlfn.XLOOKUP(S219,合格掲示用ワーク!L:L,合格掲示用ワーク!C:C,"",0,1)</f>
        <v>0</v>
      </c>
      <c r="V219" s="20">
        <f>_xlfn.XLOOKUP(S219,合格掲示用ワーク!L:L,合格掲示用ワーク!G:G,"",0,1)</f>
        <v>0</v>
      </c>
    </row>
    <row r="220" spans="17:22" ht="36.75" customHeight="1" x14ac:dyDescent="0.15">
      <c r="R220">
        <v>10</v>
      </c>
      <c r="S220" t="str">
        <f>Q205&amp;"-"&amp;R220</f>
        <v>13-10</v>
      </c>
      <c r="T220" s="19">
        <f>_xlfn.XLOOKUP(S220,合格掲示用ワーク!L:L,合格掲示用ワーク!B:B,"",0,1)</f>
        <v>0</v>
      </c>
      <c r="U220" s="20">
        <f>_xlfn.XLOOKUP(S220,合格掲示用ワーク!L:L,合格掲示用ワーク!C:C,"",0,1)</f>
        <v>0</v>
      </c>
      <c r="V220" s="20">
        <f>_xlfn.XLOOKUP(S220,合格掲示用ワーク!L:L,合格掲示用ワーク!G:G,"",0,1)</f>
        <v>0</v>
      </c>
    </row>
    <row r="222" spans="17:22" ht="36.75" customHeight="1" x14ac:dyDescent="0.15">
      <c r="Q222">
        <f>Q205+1</f>
        <v>14</v>
      </c>
    </row>
    <row r="228" spans="17:22" ht="36.75" customHeight="1" x14ac:dyDescent="0.15">
      <c r="R228">
        <v>1</v>
      </c>
      <c r="S228" t="str">
        <f>Q222&amp;"-"&amp;R228</f>
        <v>14-1</v>
      </c>
      <c r="T228" s="19">
        <f>_xlfn.XLOOKUP(S228,合格掲示用ワーク!L:L,合格掲示用ワーク!B:B,"",0,1)</f>
        <v>0</v>
      </c>
      <c r="U228" s="20">
        <f>_xlfn.XLOOKUP(S228,合格掲示用ワーク!L:L,合格掲示用ワーク!C:C,"",0,1)</f>
        <v>0</v>
      </c>
      <c r="V228" s="20">
        <f>_xlfn.XLOOKUP(S228,合格掲示用ワーク!L:L,合格掲示用ワーク!G:G,"",0,1)</f>
        <v>0</v>
      </c>
    </row>
    <row r="229" spans="17:22" ht="36.75" customHeight="1" x14ac:dyDescent="0.15">
      <c r="R229">
        <v>2</v>
      </c>
      <c r="S229" t="str">
        <f>Q222&amp;"-"&amp;R229</f>
        <v>14-2</v>
      </c>
      <c r="T229" s="19">
        <f>_xlfn.XLOOKUP(S229,合格掲示用ワーク!L:L,合格掲示用ワーク!B:B,"",0,1)</f>
        <v>0</v>
      </c>
      <c r="U229" s="20">
        <f>_xlfn.XLOOKUP(S229,合格掲示用ワーク!L:L,合格掲示用ワーク!C:C,"",0,1)</f>
        <v>0</v>
      </c>
      <c r="V229" s="20">
        <f>_xlfn.XLOOKUP(S229,合格掲示用ワーク!L:L,合格掲示用ワーク!G:G,"",0,1)</f>
        <v>0</v>
      </c>
    </row>
    <row r="230" spans="17:22" ht="36.75" customHeight="1" x14ac:dyDescent="0.15">
      <c r="R230">
        <v>3</v>
      </c>
      <c r="S230" t="str">
        <f>Q222&amp;"-"&amp;R230</f>
        <v>14-3</v>
      </c>
      <c r="T230" s="19">
        <f>_xlfn.XLOOKUP(S230,合格掲示用ワーク!L:L,合格掲示用ワーク!B:B,"",0,1)</f>
        <v>0</v>
      </c>
      <c r="U230" s="20">
        <f>_xlfn.XLOOKUP(S230,合格掲示用ワーク!L:L,合格掲示用ワーク!C:C,"",0,1)</f>
        <v>0</v>
      </c>
      <c r="V230" s="20">
        <f>_xlfn.XLOOKUP(S230,合格掲示用ワーク!L:L,合格掲示用ワーク!G:G,"",0,1)</f>
        <v>0</v>
      </c>
    </row>
    <row r="231" spans="17:22" ht="36.75" customHeight="1" x14ac:dyDescent="0.15">
      <c r="R231">
        <v>4</v>
      </c>
      <c r="S231" t="str">
        <f>Q222&amp;"-"&amp;R231</f>
        <v>14-4</v>
      </c>
      <c r="T231" s="19">
        <f>_xlfn.XLOOKUP(S231,合格掲示用ワーク!L:L,合格掲示用ワーク!B:B,"",0,1)</f>
        <v>0</v>
      </c>
      <c r="U231" s="20">
        <f>_xlfn.XLOOKUP(S231,合格掲示用ワーク!L:L,合格掲示用ワーク!C:C,"",0,1)</f>
        <v>0</v>
      </c>
      <c r="V231" s="20">
        <f>_xlfn.XLOOKUP(S231,合格掲示用ワーク!L:L,合格掲示用ワーク!G:G,"",0,1)</f>
        <v>0</v>
      </c>
    </row>
    <row r="232" spans="17:22" ht="36.75" customHeight="1" x14ac:dyDescent="0.15">
      <c r="R232">
        <v>5</v>
      </c>
      <c r="S232" t="str">
        <f>Q222&amp;"-"&amp;R232</f>
        <v>14-5</v>
      </c>
      <c r="T232" s="19">
        <f>_xlfn.XLOOKUP(S232,合格掲示用ワーク!L:L,合格掲示用ワーク!B:B,"",0,1)</f>
        <v>0</v>
      </c>
      <c r="U232" s="20">
        <f>_xlfn.XLOOKUP(S232,合格掲示用ワーク!L:L,合格掲示用ワーク!C:C,"",0,1)</f>
        <v>0</v>
      </c>
      <c r="V232" s="20">
        <f>_xlfn.XLOOKUP(S232,合格掲示用ワーク!L:L,合格掲示用ワーク!G:G,"",0,1)</f>
        <v>0</v>
      </c>
    </row>
    <row r="233" spans="17:22" ht="36.75" customHeight="1" x14ac:dyDescent="0.15">
      <c r="R233">
        <v>6</v>
      </c>
      <c r="S233" t="str">
        <f>Q222&amp;"-"&amp;R233</f>
        <v>14-6</v>
      </c>
      <c r="T233" s="19">
        <f>_xlfn.XLOOKUP(S233,合格掲示用ワーク!L:L,合格掲示用ワーク!B:B,"",0,1)</f>
        <v>0</v>
      </c>
      <c r="U233" s="20">
        <f>_xlfn.XLOOKUP(S233,合格掲示用ワーク!L:L,合格掲示用ワーク!C:C,"",0,1)</f>
        <v>0</v>
      </c>
      <c r="V233" s="20">
        <f>_xlfn.XLOOKUP(S233,合格掲示用ワーク!L:L,合格掲示用ワーク!G:G,"",0,1)</f>
        <v>0</v>
      </c>
    </row>
    <row r="234" spans="17:22" ht="36.75" customHeight="1" x14ac:dyDescent="0.15">
      <c r="R234">
        <v>7</v>
      </c>
      <c r="S234" t="str">
        <f>Q222&amp;"-"&amp;R234</f>
        <v>14-7</v>
      </c>
      <c r="T234" s="19">
        <f>_xlfn.XLOOKUP(S234,合格掲示用ワーク!L:L,合格掲示用ワーク!B:B,"",0,1)</f>
        <v>0</v>
      </c>
      <c r="U234" s="20">
        <f>_xlfn.XLOOKUP(S234,合格掲示用ワーク!L:L,合格掲示用ワーク!C:C,"",0,1)</f>
        <v>0</v>
      </c>
      <c r="V234" s="20">
        <f>_xlfn.XLOOKUP(S234,合格掲示用ワーク!L:L,合格掲示用ワーク!G:G,"",0,1)</f>
        <v>0</v>
      </c>
    </row>
    <row r="235" spans="17:22" ht="36.75" customHeight="1" x14ac:dyDescent="0.15">
      <c r="R235">
        <v>8</v>
      </c>
      <c r="S235" t="str">
        <f>Q222&amp;"-"&amp;R235</f>
        <v>14-8</v>
      </c>
      <c r="T235" s="19">
        <f>_xlfn.XLOOKUP(S235,合格掲示用ワーク!L:L,合格掲示用ワーク!B:B,"",0,1)</f>
        <v>0</v>
      </c>
      <c r="U235" s="20">
        <f>_xlfn.XLOOKUP(S235,合格掲示用ワーク!L:L,合格掲示用ワーク!C:C,"",0,1)</f>
        <v>0</v>
      </c>
      <c r="V235" s="20">
        <f>_xlfn.XLOOKUP(S235,合格掲示用ワーク!L:L,合格掲示用ワーク!G:G,"",0,1)</f>
        <v>0</v>
      </c>
    </row>
    <row r="236" spans="17:22" ht="36.75" customHeight="1" x14ac:dyDescent="0.15">
      <c r="R236" s="18">
        <v>9</v>
      </c>
      <c r="S236" t="str">
        <f>Q222&amp;"-"&amp;R236</f>
        <v>14-9</v>
      </c>
      <c r="T236" s="19">
        <f>_xlfn.XLOOKUP(S236,合格掲示用ワーク!L:L,合格掲示用ワーク!B:B,"",0,1)</f>
        <v>0</v>
      </c>
      <c r="U236" s="20">
        <f>_xlfn.XLOOKUP(S236,合格掲示用ワーク!L:L,合格掲示用ワーク!C:C,"",0,1)</f>
        <v>0</v>
      </c>
      <c r="V236" s="20">
        <f>_xlfn.XLOOKUP(S236,合格掲示用ワーク!L:L,合格掲示用ワーク!G:G,"",0,1)</f>
        <v>0</v>
      </c>
    </row>
    <row r="237" spans="17:22" ht="36.75" customHeight="1" x14ac:dyDescent="0.15">
      <c r="R237">
        <v>10</v>
      </c>
      <c r="S237" t="str">
        <f>Q222&amp;"-"&amp;R237</f>
        <v>14-10</v>
      </c>
      <c r="T237" s="19">
        <f>_xlfn.XLOOKUP(S237,合格掲示用ワーク!L:L,合格掲示用ワーク!B:B,"",0,1)</f>
        <v>0</v>
      </c>
      <c r="U237" s="20">
        <f>_xlfn.XLOOKUP(S237,合格掲示用ワーク!L:L,合格掲示用ワーク!C:C,"",0,1)</f>
        <v>0</v>
      </c>
      <c r="V237" s="20">
        <f>_xlfn.XLOOKUP(S237,合格掲示用ワーク!L:L,合格掲示用ワーク!G:G,"",0,1)</f>
        <v>0</v>
      </c>
    </row>
    <row r="239" spans="17:22" ht="36.75" customHeight="1" x14ac:dyDescent="0.15">
      <c r="Q239">
        <f>Q222+1</f>
        <v>15</v>
      </c>
    </row>
    <row r="245" spans="17:22" ht="36.75" customHeight="1" x14ac:dyDescent="0.15">
      <c r="R245">
        <v>1</v>
      </c>
      <c r="S245" t="str">
        <f>Q239&amp;"-"&amp;R245</f>
        <v>15-1</v>
      </c>
      <c r="T245" s="19">
        <f>_xlfn.XLOOKUP(S245,合格掲示用ワーク!L:L,合格掲示用ワーク!B:B,"",0,1)</f>
        <v>0</v>
      </c>
      <c r="U245" s="20">
        <f>_xlfn.XLOOKUP(S245,合格掲示用ワーク!L:L,合格掲示用ワーク!C:C,"",0,1)</f>
        <v>0</v>
      </c>
      <c r="V245" s="20">
        <f>_xlfn.XLOOKUP(S245,合格掲示用ワーク!L:L,合格掲示用ワーク!G:G,"",0,1)</f>
        <v>0</v>
      </c>
    </row>
    <row r="246" spans="17:22" ht="36.75" customHeight="1" x14ac:dyDescent="0.15">
      <c r="R246">
        <v>2</v>
      </c>
      <c r="S246" t="str">
        <f>Q239&amp;"-"&amp;R246</f>
        <v>15-2</v>
      </c>
      <c r="T246" s="19">
        <f>_xlfn.XLOOKUP(S246,合格掲示用ワーク!L:L,合格掲示用ワーク!B:B,"",0,1)</f>
        <v>0</v>
      </c>
      <c r="U246" s="20">
        <f>_xlfn.XLOOKUP(S246,合格掲示用ワーク!L:L,合格掲示用ワーク!C:C,"",0,1)</f>
        <v>0</v>
      </c>
      <c r="V246" s="20">
        <f>_xlfn.XLOOKUP(S246,合格掲示用ワーク!L:L,合格掲示用ワーク!G:G,"",0,1)</f>
        <v>0</v>
      </c>
    </row>
    <row r="247" spans="17:22" ht="36.75" customHeight="1" x14ac:dyDescent="0.15">
      <c r="R247">
        <v>3</v>
      </c>
      <c r="S247" t="str">
        <f>Q239&amp;"-"&amp;R247</f>
        <v>15-3</v>
      </c>
      <c r="T247" s="19">
        <f>_xlfn.XLOOKUP(S247,合格掲示用ワーク!L:L,合格掲示用ワーク!B:B,"",0,1)</f>
        <v>0</v>
      </c>
      <c r="U247" s="20">
        <f>_xlfn.XLOOKUP(S247,合格掲示用ワーク!L:L,合格掲示用ワーク!C:C,"",0,1)</f>
        <v>0</v>
      </c>
      <c r="V247" s="20">
        <f>_xlfn.XLOOKUP(S247,合格掲示用ワーク!L:L,合格掲示用ワーク!G:G,"",0,1)</f>
        <v>0</v>
      </c>
    </row>
    <row r="248" spans="17:22" ht="36.75" customHeight="1" x14ac:dyDescent="0.15">
      <c r="R248">
        <v>4</v>
      </c>
      <c r="S248" t="str">
        <f>Q239&amp;"-"&amp;R248</f>
        <v>15-4</v>
      </c>
      <c r="T248" s="19">
        <f>_xlfn.XLOOKUP(S248,合格掲示用ワーク!L:L,合格掲示用ワーク!B:B,"",0,1)</f>
        <v>0</v>
      </c>
      <c r="U248" s="20">
        <f>_xlfn.XLOOKUP(S248,合格掲示用ワーク!L:L,合格掲示用ワーク!C:C,"",0,1)</f>
        <v>0</v>
      </c>
      <c r="V248" s="20">
        <f>_xlfn.XLOOKUP(S248,合格掲示用ワーク!L:L,合格掲示用ワーク!G:G,"",0,1)</f>
        <v>0</v>
      </c>
    </row>
    <row r="249" spans="17:22" ht="36.75" customHeight="1" x14ac:dyDescent="0.15">
      <c r="R249">
        <v>5</v>
      </c>
      <c r="S249" t="str">
        <f>Q239&amp;"-"&amp;R249</f>
        <v>15-5</v>
      </c>
      <c r="T249" s="19">
        <f>_xlfn.XLOOKUP(S249,合格掲示用ワーク!L:L,合格掲示用ワーク!B:B,"",0,1)</f>
        <v>0</v>
      </c>
      <c r="U249" s="20">
        <f>_xlfn.XLOOKUP(S249,合格掲示用ワーク!L:L,合格掲示用ワーク!C:C,"",0,1)</f>
        <v>0</v>
      </c>
      <c r="V249" s="20">
        <f>_xlfn.XLOOKUP(S249,合格掲示用ワーク!L:L,合格掲示用ワーク!G:G,"",0,1)</f>
        <v>0</v>
      </c>
    </row>
    <row r="250" spans="17:22" ht="36.75" customHeight="1" x14ac:dyDescent="0.15">
      <c r="R250">
        <v>6</v>
      </c>
      <c r="S250" t="str">
        <f>Q239&amp;"-"&amp;R250</f>
        <v>15-6</v>
      </c>
      <c r="T250" s="19">
        <f>_xlfn.XLOOKUP(S250,合格掲示用ワーク!L:L,合格掲示用ワーク!B:B,"",0,1)</f>
        <v>0</v>
      </c>
      <c r="U250" s="20">
        <f>_xlfn.XLOOKUP(S250,合格掲示用ワーク!L:L,合格掲示用ワーク!C:C,"",0,1)</f>
        <v>0</v>
      </c>
      <c r="V250" s="20">
        <f>_xlfn.XLOOKUP(S250,合格掲示用ワーク!L:L,合格掲示用ワーク!G:G,"",0,1)</f>
        <v>0</v>
      </c>
    </row>
    <row r="251" spans="17:22" ht="36.75" customHeight="1" x14ac:dyDescent="0.15">
      <c r="R251">
        <v>7</v>
      </c>
      <c r="S251" t="str">
        <f>Q239&amp;"-"&amp;R251</f>
        <v>15-7</v>
      </c>
      <c r="T251" s="19">
        <f>_xlfn.XLOOKUP(S251,合格掲示用ワーク!L:L,合格掲示用ワーク!B:B,"",0,1)</f>
        <v>0</v>
      </c>
      <c r="U251" s="20">
        <f>_xlfn.XLOOKUP(S251,合格掲示用ワーク!L:L,合格掲示用ワーク!C:C,"",0,1)</f>
        <v>0</v>
      </c>
      <c r="V251" s="20">
        <f>_xlfn.XLOOKUP(S251,合格掲示用ワーク!L:L,合格掲示用ワーク!G:G,"",0,1)</f>
        <v>0</v>
      </c>
    </row>
    <row r="252" spans="17:22" ht="36.75" customHeight="1" x14ac:dyDescent="0.15">
      <c r="R252">
        <v>8</v>
      </c>
      <c r="S252" t="str">
        <f>Q239&amp;"-"&amp;R252</f>
        <v>15-8</v>
      </c>
      <c r="T252" s="19">
        <f>_xlfn.XLOOKUP(S252,合格掲示用ワーク!L:L,合格掲示用ワーク!B:B,"",0,1)</f>
        <v>0</v>
      </c>
      <c r="U252" s="20">
        <f>_xlfn.XLOOKUP(S252,合格掲示用ワーク!L:L,合格掲示用ワーク!C:C,"",0,1)</f>
        <v>0</v>
      </c>
      <c r="V252" s="20">
        <f>_xlfn.XLOOKUP(S252,合格掲示用ワーク!L:L,合格掲示用ワーク!G:G,"",0,1)</f>
        <v>0</v>
      </c>
    </row>
    <row r="253" spans="17:22" ht="36.75" customHeight="1" x14ac:dyDescent="0.15">
      <c r="R253" s="18">
        <v>9</v>
      </c>
      <c r="S253" t="str">
        <f>Q239&amp;"-"&amp;R253</f>
        <v>15-9</v>
      </c>
      <c r="T253" s="19">
        <f>_xlfn.XLOOKUP(S253,合格掲示用ワーク!L:L,合格掲示用ワーク!B:B,"",0,1)</f>
        <v>0</v>
      </c>
      <c r="U253" s="20">
        <f>_xlfn.XLOOKUP(S253,合格掲示用ワーク!L:L,合格掲示用ワーク!C:C,"",0,1)</f>
        <v>0</v>
      </c>
      <c r="V253" s="20">
        <f>_xlfn.XLOOKUP(S253,合格掲示用ワーク!L:L,合格掲示用ワーク!G:G,"",0,1)</f>
        <v>0</v>
      </c>
    </row>
    <row r="254" spans="17:22" ht="36.75" customHeight="1" x14ac:dyDescent="0.15">
      <c r="R254">
        <v>10</v>
      </c>
      <c r="S254" t="str">
        <f>Q239&amp;"-"&amp;R254</f>
        <v>15-10</v>
      </c>
      <c r="T254" s="19">
        <f>_xlfn.XLOOKUP(S254,合格掲示用ワーク!L:L,合格掲示用ワーク!B:B,"",0,1)</f>
        <v>0</v>
      </c>
      <c r="U254" s="20">
        <f>_xlfn.XLOOKUP(S254,合格掲示用ワーク!L:L,合格掲示用ワーク!C:C,"",0,1)</f>
        <v>0</v>
      </c>
      <c r="V254" s="20">
        <f>_xlfn.XLOOKUP(S254,合格掲示用ワーク!L:L,合格掲示用ワーク!G:G,"",0,1)</f>
        <v>0</v>
      </c>
    </row>
    <row r="256" spans="17:22" ht="36.75" customHeight="1" x14ac:dyDescent="0.15">
      <c r="Q256">
        <f>Q239+1</f>
        <v>16</v>
      </c>
    </row>
    <row r="262" spans="18:22" ht="36.75" customHeight="1" x14ac:dyDescent="0.15">
      <c r="R262">
        <v>1</v>
      </c>
      <c r="S262" t="str">
        <f>Q256&amp;"-"&amp;R262</f>
        <v>16-1</v>
      </c>
      <c r="T262" s="19">
        <f>_xlfn.XLOOKUP(S262,合格掲示用ワーク!L:L,合格掲示用ワーク!B:B,"",0,1)</f>
        <v>0</v>
      </c>
      <c r="U262" s="20">
        <f>_xlfn.XLOOKUP(S262,合格掲示用ワーク!L:L,合格掲示用ワーク!C:C,"",0,1)</f>
        <v>0</v>
      </c>
      <c r="V262" s="20">
        <f>_xlfn.XLOOKUP(S262,合格掲示用ワーク!L:L,合格掲示用ワーク!G:G,"",0,1)</f>
        <v>0</v>
      </c>
    </row>
    <row r="263" spans="18:22" ht="36.75" customHeight="1" x14ac:dyDescent="0.15">
      <c r="R263">
        <v>2</v>
      </c>
      <c r="S263" t="str">
        <f>Q256&amp;"-"&amp;R263</f>
        <v>16-2</v>
      </c>
      <c r="T263" s="19">
        <f>_xlfn.XLOOKUP(S263,合格掲示用ワーク!L:L,合格掲示用ワーク!B:B,"",0,1)</f>
        <v>0</v>
      </c>
      <c r="U263" s="20">
        <f>_xlfn.XLOOKUP(S263,合格掲示用ワーク!L:L,合格掲示用ワーク!C:C,"",0,1)</f>
        <v>0</v>
      </c>
      <c r="V263" s="20">
        <f>_xlfn.XLOOKUP(S263,合格掲示用ワーク!L:L,合格掲示用ワーク!G:G,"",0,1)</f>
        <v>0</v>
      </c>
    </row>
    <row r="264" spans="18:22" ht="36.75" customHeight="1" x14ac:dyDescent="0.15">
      <c r="R264">
        <v>3</v>
      </c>
      <c r="S264" t="str">
        <f>Q256&amp;"-"&amp;R264</f>
        <v>16-3</v>
      </c>
      <c r="T264" s="19">
        <f>_xlfn.XLOOKUP(S264,合格掲示用ワーク!L:L,合格掲示用ワーク!B:B,"",0,1)</f>
        <v>0</v>
      </c>
      <c r="U264" s="20">
        <f>_xlfn.XLOOKUP(S264,合格掲示用ワーク!L:L,合格掲示用ワーク!C:C,"",0,1)</f>
        <v>0</v>
      </c>
      <c r="V264" s="20">
        <f>_xlfn.XLOOKUP(S264,合格掲示用ワーク!L:L,合格掲示用ワーク!G:G,"",0,1)</f>
        <v>0</v>
      </c>
    </row>
    <row r="265" spans="18:22" ht="36.75" customHeight="1" x14ac:dyDescent="0.15">
      <c r="R265">
        <v>4</v>
      </c>
      <c r="S265" t="str">
        <f>Q256&amp;"-"&amp;R265</f>
        <v>16-4</v>
      </c>
      <c r="T265" s="19">
        <f>_xlfn.XLOOKUP(S265,合格掲示用ワーク!L:L,合格掲示用ワーク!B:B,"",0,1)</f>
        <v>0</v>
      </c>
      <c r="U265" s="20">
        <f>_xlfn.XLOOKUP(S265,合格掲示用ワーク!L:L,合格掲示用ワーク!C:C,"",0,1)</f>
        <v>0</v>
      </c>
      <c r="V265" s="20">
        <f>_xlfn.XLOOKUP(S265,合格掲示用ワーク!L:L,合格掲示用ワーク!G:G,"",0,1)</f>
        <v>0</v>
      </c>
    </row>
    <row r="266" spans="18:22" ht="36.75" customHeight="1" x14ac:dyDescent="0.15">
      <c r="R266">
        <v>5</v>
      </c>
      <c r="S266" t="str">
        <f>Q256&amp;"-"&amp;R266</f>
        <v>16-5</v>
      </c>
      <c r="T266" s="19">
        <f>_xlfn.XLOOKUP(S266,合格掲示用ワーク!L:L,合格掲示用ワーク!B:B,"",0,1)</f>
        <v>0</v>
      </c>
      <c r="U266" s="20">
        <f>_xlfn.XLOOKUP(S266,合格掲示用ワーク!L:L,合格掲示用ワーク!C:C,"",0,1)</f>
        <v>0</v>
      </c>
      <c r="V266" s="20">
        <f>_xlfn.XLOOKUP(S266,合格掲示用ワーク!L:L,合格掲示用ワーク!G:G,"",0,1)</f>
        <v>0</v>
      </c>
    </row>
    <row r="267" spans="18:22" ht="36.75" customHeight="1" x14ac:dyDescent="0.15">
      <c r="R267">
        <v>6</v>
      </c>
      <c r="S267" t="str">
        <f>Q256&amp;"-"&amp;R267</f>
        <v>16-6</v>
      </c>
      <c r="T267" s="19">
        <f>_xlfn.XLOOKUP(S267,合格掲示用ワーク!L:L,合格掲示用ワーク!B:B,"",0,1)</f>
        <v>0</v>
      </c>
      <c r="U267" s="20">
        <f>_xlfn.XLOOKUP(S267,合格掲示用ワーク!L:L,合格掲示用ワーク!C:C,"",0,1)</f>
        <v>0</v>
      </c>
      <c r="V267" s="20">
        <f>_xlfn.XLOOKUP(S267,合格掲示用ワーク!L:L,合格掲示用ワーク!G:G,"",0,1)</f>
        <v>0</v>
      </c>
    </row>
    <row r="268" spans="18:22" ht="36.75" customHeight="1" x14ac:dyDescent="0.15">
      <c r="R268">
        <v>7</v>
      </c>
      <c r="S268" t="str">
        <f>Q256&amp;"-"&amp;R268</f>
        <v>16-7</v>
      </c>
      <c r="T268" s="19">
        <f>_xlfn.XLOOKUP(S268,合格掲示用ワーク!L:L,合格掲示用ワーク!B:B,"",0,1)</f>
        <v>0</v>
      </c>
      <c r="U268" s="20">
        <f>_xlfn.XLOOKUP(S268,合格掲示用ワーク!L:L,合格掲示用ワーク!C:C,"",0,1)</f>
        <v>0</v>
      </c>
      <c r="V268" s="20">
        <f>_xlfn.XLOOKUP(S268,合格掲示用ワーク!L:L,合格掲示用ワーク!G:G,"",0,1)</f>
        <v>0</v>
      </c>
    </row>
    <row r="269" spans="18:22" ht="36.75" customHeight="1" x14ac:dyDescent="0.15">
      <c r="R269">
        <v>8</v>
      </c>
      <c r="S269" t="str">
        <f>Q256&amp;"-"&amp;R269</f>
        <v>16-8</v>
      </c>
      <c r="T269" s="19">
        <f>_xlfn.XLOOKUP(S269,合格掲示用ワーク!L:L,合格掲示用ワーク!B:B,"",0,1)</f>
        <v>0</v>
      </c>
      <c r="U269" s="20">
        <f>_xlfn.XLOOKUP(S269,合格掲示用ワーク!L:L,合格掲示用ワーク!C:C,"",0,1)</f>
        <v>0</v>
      </c>
      <c r="V269" s="20">
        <f>_xlfn.XLOOKUP(S269,合格掲示用ワーク!L:L,合格掲示用ワーク!G:G,"",0,1)</f>
        <v>0</v>
      </c>
    </row>
    <row r="270" spans="18:22" ht="36.75" customHeight="1" x14ac:dyDescent="0.15">
      <c r="R270" s="18">
        <v>9</v>
      </c>
      <c r="S270" t="str">
        <f>Q256&amp;"-"&amp;R270</f>
        <v>16-9</v>
      </c>
      <c r="T270" s="19">
        <f>_xlfn.XLOOKUP(S270,合格掲示用ワーク!L:L,合格掲示用ワーク!B:B,"",0,1)</f>
        <v>0</v>
      </c>
      <c r="U270" s="20">
        <f>_xlfn.XLOOKUP(S270,合格掲示用ワーク!L:L,合格掲示用ワーク!C:C,"",0,1)</f>
        <v>0</v>
      </c>
      <c r="V270" s="20">
        <f>_xlfn.XLOOKUP(S270,合格掲示用ワーク!L:L,合格掲示用ワーク!G:G,"",0,1)</f>
        <v>0</v>
      </c>
    </row>
    <row r="271" spans="18:22" ht="36.75" customHeight="1" x14ac:dyDescent="0.15">
      <c r="R271">
        <v>10</v>
      </c>
      <c r="S271" t="str">
        <f>Q256&amp;"-"&amp;R271</f>
        <v>16-10</v>
      </c>
      <c r="T271" s="19">
        <f>_xlfn.XLOOKUP(S271,合格掲示用ワーク!L:L,合格掲示用ワーク!B:B,"",0,1)</f>
        <v>0</v>
      </c>
      <c r="U271" s="20">
        <f>_xlfn.XLOOKUP(S271,合格掲示用ワーク!L:L,合格掲示用ワーク!C:C,"",0,1)</f>
        <v>0</v>
      </c>
      <c r="V271" s="20">
        <f>_xlfn.XLOOKUP(S271,合格掲示用ワーク!L:L,合格掲示用ワーク!G:G,"",0,1)</f>
        <v>0</v>
      </c>
    </row>
    <row r="273" spans="17:22" ht="36.75" customHeight="1" x14ac:dyDescent="0.15">
      <c r="Q273">
        <f>Q256+1</f>
        <v>17</v>
      </c>
    </row>
    <row r="279" spans="17:22" ht="36.75" customHeight="1" x14ac:dyDescent="0.15">
      <c r="R279">
        <v>1</v>
      </c>
      <c r="S279" t="str">
        <f>Q273&amp;"-"&amp;R279</f>
        <v>17-1</v>
      </c>
      <c r="T279" s="19">
        <f>_xlfn.XLOOKUP(S279,合格掲示用ワーク!L:L,合格掲示用ワーク!B:B,"",0,1)</f>
        <v>0</v>
      </c>
      <c r="U279" s="20">
        <f>_xlfn.XLOOKUP(S279,合格掲示用ワーク!L:L,合格掲示用ワーク!C:C,"",0,1)</f>
        <v>0</v>
      </c>
      <c r="V279" s="20">
        <f>_xlfn.XLOOKUP(S279,合格掲示用ワーク!L:L,合格掲示用ワーク!G:G,"",0,1)</f>
        <v>0</v>
      </c>
    </row>
    <row r="280" spans="17:22" ht="36.75" customHeight="1" x14ac:dyDescent="0.15">
      <c r="R280">
        <v>2</v>
      </c>
      <c r="S280" t="str">
        <f>Q273&amp;"-"&amp;R280</f>
        <v>17-2</v>
      </c>
      <c r="T280" s="19">
        <f>_xlfn.XLOOKUP(S280,合格掲示用ワーク!L:L,合格掲示用ワーク!B:B,"",0,1)</f>
        <v>0</v>
      </c>
      <c r="U280" s="20">
        <f>_xlfn.XLOOKUP(S280,合格掲示用ワーク!L:L,合格掲示用ワーク!C:C,"",0,1)</f>
        <v>0</v>
      </c>
      <c r="V280" s="20">
        <f>_xlfn.XLOOKUP(S280,合格掲示用ワーク!L:L,合格掲示用ワーク!G:G,"",0,1)</f>
        <v>0</v>
      </c>
    </row>
    <row r="281" spans="17:22" ht="36.75" customHeight="1" x14ac:dyDescent="0.15">
      <c r="R281">
        <v>3</v>
      </c>
      <c r="S281" t="str">
        <f>Q273&amp;"-"&amp;R281</f>
        <v>17-3</v>
      </c>
      <c r="T281" s="19">
        <f>_xlfn.XLOOKUP(S281,合格掲示用ワーク!L:L,合格掲示用ワーク!B:B,"",0,1)</f>
        <v>0</v>
      </c>
      <c r="U281" s="20">
        <f>_xlfn.XLOOKUP(S281,合格掲示用ワーク!L:L,合格掲示用ワーク!C:C,"",0,1)</f>
        <v>0</v>
      </c>
      <c r="V281" s="20">
        <f>_xlfn.XLOOKUP(S281,合格掲示用ワーク!L:L,合格掲示用ワーク!G:G,"",0,1)</f>
        <v>0</v>
      </c>
    </row>
    <row r="282" spans="17:22" ht="36.75" customHeight="1" x14ac:dyDescent="0.15">
      <c r="R282">
        <v>4</v>
      </c>
      <c r="S282" t="str">
        <f>Q273&amp;"-"&amp;R282</f>
        <v>17-4</v>
      </c>
      <c r="T282" s="19">
        <f>_xlfn.XLOOKUP(S282,合格掲示用ワーク!L:L,合格掲示用ワーク!B:B,"",0,1)</f>
        <v>0</v>
      </c>
      <c r="U282" s="20">
        <f>_xlfn.XLOOKUP(S282,合格掲示用ワーク!L:L,合格掲示用ワーク!C:C,"",0,1)</f>
        <v>0</v>
      </c>
      <c r="V282" s="20">
        <f>_xlfn.XLOOKUP(S282,合格掲示用ワーク!L:L,合格掲示用ワーク!G:G,"",0,1)</f>
        <v>0</v>
      </c>
    </row>
    <row r="283" spans="17:22" ht="36.75" customHeight="1" x14ac:dyDescent="0.15">
      <c r="R283">
        <v>5</v>
      </c>
      <c r="S283" t="str">
        <f>Q273&amp;"-"&amp;R283</f>
        <v>17-5</v>
      </c>
      <c r="T283" s="19">
        <f>_xlfn.XLOOKUP(S283,合格掲示用ワーク!L:L,合格掲示用ワーク!B:B,"",0,1)</f>
        <v>0</v>
      </c>
      <c r="U283" s="20">
        <f>_xlfn.XLOOKUP(S283,合格掲示用ワーク!L:L,合格掲示用ワーク!C:C,"",0,1)</f>
        <v>0</v>
      </c>
      <c r="V283" s="20">
        <f>_xlfn.XLOOKUP(S283,合格掲示用ワーク!L:L,合格掲示用ワーク!G:G,"",0,1)</f>
        <v>0</v>
      </c>
    </row>
    <row r="284" spans="17:22" ht="36.75" customHeight="1" x14ac:dyDescent="0.15">
      <c r="R284">
        <v>6</v>
      </c>
      <c r="S284" t="str">
        <f>Q273&amp;"-"&amp;R284</f>
        <v>17-6</v>
      </c>
      <c r="T284" s="19">
        <f>_xlfn.XLOOKUP(S284,合格掲示用ワーク!L:L,合格掲示用ワーク!B:B,"",0,1)</f>
        <v>0</v>
      </c>
      <c r="U284" s="20">
        <f>_xlfn.XLOOKUP(S284,合格掲示用ワーク!L:L,合格掲示用ワーク!C:C,"",0,1)</f>
        <v>0</v>
      </c>
      <c r="V284" s="20">
        <f>_xlfn.XLOOKUP(S284,合格掲示用ワーク!L:L,合格掲示用ワーク!G:G,"",0,1)</f>
        <v>0</v>
      </c>
    </row>
    <row r="285" spans="17:22" ht="36.75" customHeight="1" x14ac:dyDescent="0.15">
      <c r="R285">
        <v>7</v>
      </c>
      <c r="S285" t="str">
        <f>Q273&amp;"-"&amp;R285</f>
        <v>17-7</v>
      </c>
      <c r="T285" s="19">
        <f>_xlfn.XLOOKUP(S285,合格掲示用ワーク!L:L,合格掲示用ワーク!B:B,"",0,1)</f>
        <v>0</v>
      </c>
      <c r="U285" s="20">
        <f>_xlfn.XLOOKUP(S285,合格掲示用ワーク!L:L,合格掲示用ワーク!C:C,"",0,1)</f>
        <v>0</v>
      </c>
      <c r="V285" s="20">
        <f>_xlfn.XLOOKUP(S285,合格掲示用ワーク!L:L,合格掲示用ワーク!G:G,"",0,1)</f>
        <v>0</v>
      </c>
    </row>
    <row r="286" spans="17:22" ht="36.75" customHeight="1" x14ac:dyDescent="0.15">
      <c r="R286">
        <v>8</v>
      </c>
      <c r="S286" t="str">
        <f>Q273&amp;"-"&amp;R286</f>
        <v>17-8</v>
      </c>
      <c r="T286" s="19">
        <f>_xlfn.XLOOKUP(S286,合格掲示用ワーク!L:L,合格掲示用ワーク!B:B,"",0,1)</f>
        <v>0</v>
      </c>
      <c r="U286" s="20">
        <f>_xlfn.XLOOKUP(S286,合格掲示用ワーク!L:L,合格掲示用ワーク!C:C,"",0,1)</f>
        <v>0</v>
      </c>
      <c r="V286" s="20">
        <f>_xlfn.XLOOKUP(S286,合格掲示用ワーク!L:L,合格掲示用ワーク!G:G,"",0,1)</f>
        <v>0</v>
      </c>
    </row>
    <row r="287" spans="17:22" ht="36.75" customHeight="1" x14ac:dyDescent="0.15">
      <c r="R287" s="18">
        <v>9</v>
      </c>
      <c r="S287" t="str">
        <f>Q273&amp;"-"&amp;R287</f>
        <v>17-9</v>
      </c>
      <c r="T287" s="19">
        <f>_xlfn.XLOOKUP(S287,合格掲示用ワーク!L:L,合格掲示用ワーク!B:B,"",0,1)</f>
        <v>0</v>
      </c>
      <c r="U287" s="20">
        <f>_xlfn.XLOOKUP(S287,合格掲示用ワーク!L:L,合格掲示用ワーク!C:C,"",0,1)</f>
        <v>0</v>
      </c>
      <c r="V287" s="20">
        <f>_xlfn.XLOOKUP(S287,合格掲示用ワーク!L:L,合格掲示用ワーク!G:G,"",0,1)</f>
        <v>0</v>
      </c>
    </row>
    <row r="288" spans="17:22" ht="36.75" customHeight="1" x14ac:dyDescent="0.15">
      <c r="R288">
        <v>10</v>
      </c>
      <c r="S288" t="str">
        <f>Q273&amp;"-"&amp;R288</f>
        <v>17-10</v>
      </c>
      <c r="T288" s="19">
        <f>_xlfn.XLOOKUP(S288,合格掲示用ワーク!L:L,合格掲示用ワーク!B:B,"",0,1)</f>
        <v>0</v>
      </c>
      <c r="U288" s="20">
        <f>_xlfn.XLOOKUP(S288,合格掲示用ワーク!L:L,合格掲示用ワーク!C:C,"",0,1)</f>
        <v>0</v>
      </c>
      <c r="V288" s="20">
        <f>_xlfn.XLOOKUP(S288,合格掲示用ワーク!L:L,合格掲示用ワーク!G:G,"",0,1)</f>
        <v>0</v>
      </c>
    </row>
    <row r="290" spans="17:22" ht="36.75" customHeight="1" x14ac:dyDescent="0.15">
      <c r="Q290">
        <f>Q273+1</f>
        <v>18</v>
      </c>
    </row>
    <row r="296" spans="17:22" ht="36.75" customHeight="1" x14ac:dyDescent="0.15">
      <c r="R296">
        <v>1</v>
      </c>
      <c r="S296" t="str">
        <f>Q290&amp;"-"&amp;R296</f>
        <v>18-1</v>
      </c>
      <c r="T296" s="19">
        <f>_xlfn.XLOOKUP(S296,合格掲示用ワーク!L:L,合格掲示用ワーク!B:B,"",0,1)</f>
        <v>0</v>
      </c>
      <c r="U296" s="20">
        <f>_xlfn.XLOOKUP(S296,合格掲示用ワーク!L:L,合格掲示用ワーク!C:C,"",0,1)</f>
        <v>0</v>
      </c>
      <c r="V296" s="20">
        <f>_xlfn.XLOOKUP(S296,合格掲示用ワーク!L:L,合格掲示用ワーク!G:G,"",0,1)</f>
        <v>0</v>
      </c>
    </row>
    <row r="297" spans="17:22" ht="36.75" customHeight="1" x14ac:dyDescent="0.15">
      <c r="R297">
        <v>2</v>
      </c>
      <c r="S297" t="str">
        <f>Q290&amp;"-"&amp;R297</f>
        <v>18-2</v>
      </c>
      <c r="T297" s="19">
        <f>_xlfn.XLOOKUP(S297,合格掲示用ワーク!L:L,合格掲示用ワーク!B:B,"",0,1)</f>
        <v>0</v>
      </c>
      <c r="U297" s="20">
        <f>_xlfn.XLOOKUP(S297,合格掲示用ワーク!L:L,合格掲示用ワーク!C:C,"",0,1)</f>
        <v>0</v>
      </c>
      <c r="V297" s="20">
        <f>_xlfn.XLOOKUP(S297,合格掲示用ワーク!L:L,合格掲示用ワーク!G:G,"",0,1)</f>
        <v>0</v>
      </c>
    </row>
    <row r="298" spans="17:22" ht="36.75" customHeight="1" x14ac:dyDescent="0.15">
      <c r="R298">
        <v>3</v>
      </c>
      <c r="S298" t="str">
        <f>Q290&amp;"-"&amp;R298</f>
        <v>18-3</v>
      </c>
      <c r="T298" s="19">
        <f>_xlfn.XLOOKUP(S298,合格掲示用ワーク!L:L,合格掲示用ワーク!B:B,"",0,1)</f>
        <v>0</v>
      </c>
      <c r="U298" s="20">
        <f>_xlfn.XLOOKUP(S298,合格掲示用ワーク!L:L,合格掲示用ワーク!C:C,"",0,1)</f>
        <v>0</v>
      </c>
      <c r="V298" s="20">
        <f>_xlfn.XLOOKUP(S298,合格掲示用ワーク!L:L,合格掲示用ワーク!G:G,"",0,1)</f>
        <v>0</v>
      </c>
    </row>
    <row r="299" spans="17:22" ht="36.75" customHeight="1" x14ac:dyDescent="0.15">
      <c r="R299">
        <v>4</v>
      </c>
      <c r="S299" t="str">
        <f>Q290&amp;"-"&amp;R299</f>
        <v>18-4</v>
      </c>
      <c r="T299" s="19">
        <f>_xlfn.XLOOKUP(S299,合格掲示用ワーク!L:L,合格掲示用ワーク!B:B,"",0,1)</f>
        <v>0</v>
      </c>
      <c r="U299" s="20">
        <f>_xlfn.XLOOKUP(S299,合格掲示用ワーク!L:L,合格掲示用ワーク!C:C,"",0,1)</f>
        <v>0</v>
      </c>
      <c r="V299" s="20">
        <f>_xlfn.XLOOKUP(S299,合格掲示用ワーク!L:L,合格掲示用ワーク!G:G,"",0,1)</f>
        <v>0</v>
      </c>
    </row>
    <row r="300" spans="17:22" ht="36.75" customHeight="1" x14ac:dyDescent="0.15">
      <c r="R300">
        <v>5</v>
      </c>
      <c r="S300" t="str">
        <f>Q290&amp;"-"&amp;R300</f>
        <v>18-5</v>
      </c>
      <c r="T300" s="19">
        <f>_xlfn.XLOOKUP(S300,合格掲示用ワーク!L:L,合格掲示用ワーク!B:B,"",0,1)</f>
        <v>0</v>
      </c>
      <c r="U300" s="20">
        <f>_xlfn.XLOOKUP(S300,合格掲示用ワーク!L:L,合格掲示用ワーク!C:C,"",0,1)</f>
        <v>0</v>
      </c>
      <c r="V300" s="20">
        <f>_xlfn.XLOOKUP(S300,合格掲示用ワーク!L:L,合格掲示用ワーク!G:G,"",0,1)</f>
        <v>0</v>
      </c>
    </row>
    <row r="301" spans="17:22" ht="36.75" customHeight="1" x14ac:dyDescent="0.15">
      <c r="R301">
        <v>6</v>
      </c>
      <c r="S301" t="str">
        <f>Q290&amp;"-"&amp;R301</f>
        <v>18-6</v>
      </c>
      <c r="T301" s="19">
        <f>_xlfn.XLOOKUP(S301,合格掲示用ワーク!L:L,合格掲示用ワーク!B:B,"",0,1)</f>
        <v>0</v>
      </c>
      <c r="U301" s="20">
        <f>_xlfn.XLOOKUP(S301,合格掲示用ワーク!L:L,合格掲示用ワーク!C:C,"",0,1)</f>
        <v>0</v>
      </c>
      <c r="V301" s="20">
        <f>_xlfn.XLOOKUP(S301,合格掲示用ワーク!L:L,合格掲示用ワーク!G:G,"",0,1)</f>
        <v>0</v>
      </c>
    </row>
    <row r="302" spans="17:22" ht="36.75" customHeight="1" x14ac:dyDescent="0.15">
      <c r="R302">
        <v>7</v>
      </c>
      <c r="S302" t="str">
        <f>Q290&amp;"-"&amp;R302</f>
        <v>18-7</v>
      </c>
      <c r="T302" s="19">
        <f>_xlfn.XLOOKUP(S302,合格掲示用ワーク!L:L,合格掲示用ワーク!B:B,"",0,1)</f>
        <v>0</v>
      </c>
      <c r="U302" s="20">
        <f>_xlfn.XLOOKUP(S302,合格掲示用ワーク!L:L,合格掲示用ワーク!C:C,"",0,1)</f>
        <v>0</v>
      </c>
      <c r="V302" s="20">
        <f>_xlfn.XLOOKUP(S302,合格掲示用ワーク!L:L,合格掲示用ワーク!G:G,"",0,1)</f>
        <v>0</v>
      </c>
    </row>
    <row r="303" spans="17:22" ht="36.75" customHeight="1" x14ac:dyDescent="0.15">
      <c r="R303">
        <v>8</v>
      </c>
      <c r="S303" t="str">
        <f>Q290&amp;"-"&amp;R303</f>
        <v>18-8</v>
      </c>
      <c r="T303" s="19">
        <f>_xlfn.XLOOKUP(S303,合格掲示用ワーク!L:L,合格掲示用ワーク!B:B,"",0,1)</f>
        <v>0</v>
      </c>
      <c r="U303" s="20">
        <f>_xlfn.XLOOKUP(S303,合格掲示用ワーク!L:L,合格掲示用ワーク!C:C,"",0,1)</f>
        <v>0</v>
      </c>
      <c r="V303" s="20">
        <f>_xlfn.XLOOKUP(S303,合格掲示用ワーク!L:L,合格掲示用ワーク!G:G,"",0,1)</f>
        <v>0</v>
      </c>
    </row>
    <row r="304" spans="17:22" ht="36.75" customHeight="1" x14ac:dyDescent="0.15">
      <c r="R304" s="18">
        <v>9</v>
      </c>
      <c r="S304" t="str">
        <f>Q290&amp;"-"&amp;R304</f>
        <v>18-9</v>
      </c>
      <c r="T304" s="19">
        <f>_xlfn.XLOOKUP(S304,合格掲示用ワーク!L:L,合格掲示用ワーク!B:B,"",0,1)</f>
        <v>0</v>
      </c>
      <c r="U304" s="20">
        <f>_xlfn.XLOOKUP(S304,合格掲示用ワーク!L:L,合格掲示用ワーク!C:C,"",0,1)</f>
        <v>0</v>
      </c>
      <c r="V304" s="20">
        <f>_xlfn.XLOOKUP(S304,合格掲示用ワーク!L:L,合格掲示用ワーク!G:G,"",0,1)</f>
        <v>0</v>
      </c>
    </row>
    <row r="305" spans="17:22" ht="36.75" customHeight="1" x14ac:dyDescent="0.15">
      <c r="R305">
        <v>10</v>
      </c>
      <c r="S305" t="str">
        <f>Q290&amp;"-"&amp;R305</f>
        <v>18-10</v>
      </c>
      <c r="T305" s="19">
        <f>_xlfn.XLOOKUP(S305,合格掲示用ワーク!L:L,合格掲示用ワーク!B:B,"",0,1)</f>
        <v>0</v>
      </c>
      <c r="U305" s="20">
        <f>_xlfn.XLOOKUP(S305,合格掲示用ワーク!L:L,合格掲示用ワーク!C:C,"",0,1)</f>
        <v>0</v>
      </c>
      <c r="V305" s="20">
        <f>_xlfn.XLOOKUP(S305,合格掲示用ワーク!L:L,合格掲示用ワーク!G:G,"",0,1)</f>
        <v>0</v>
      </c>
    </row>
    <row r="307" spans="17:22" ht="36.75" customHeight="1" x14ac:dyDescent="0.15">
      <c r="Q307">
        <f>Q290+1</f>
        <v>19</v>
      </c>
    </row>
    <row r="313" spans="17:22" ht="36.75" customHeight="1" x14ac:dyDescent="0.15">
      <c r="R313">
        <v>1</v>
      </c>
      <c r="S313" t="str">
        <f>Q307&amp;"-"&amp;R313</f>
        <v>19-1</v>
      </c>
      <c r="T313" s="19">
        <f>_xlfn.XLOOKUP(S313,合格掲示用ワーク!L:L,合格掲示用ワーク!B:B,"",0,1)</f>
        <v>0</v>
      </c>
      <c r="U313" s="20">
        <f>_xlfn.XLOOKUP(S313,合格掲示用ワーク!L:L,合格掲示用ワーク!C:C,"",0,1)</f>
        <v>0</v>
      </c>
      <c r="V313" s="20">
        <f>_xlfn.XLOOKUP(S313,合格掲示用ワーク!L:L,合格掲示用ワーク!G:G,"",0,1)</f>
        <v>0</v>
      </c>
    </row>
    <row r="314" spans="17:22" ht="36.75" customHeight="1" x14ac:dyDescent="0.15">
      <c r="R314">
        <v>2</v>
      </c>
      <c r="S314" t="str">
        <f>Q307&amp;"-"&amp;R314</f>
        <v>19-2</v>
      </c>
      <c r="T314" s="19">
        <f>_xlfn.XLOOKUP(S314,合格掲示用ワーク!L:L,合格掲示用ワーク!B:B,"",0,1)</f>
        <v>0</v>
      </c>
      <c r="U314" s="20">
        <f>_xlfn.XLOOKUP(S314,合格掲示用ワーク!L:L,合格掲示用ワーク!C:C,"",0,1)</f>
        <v>0</v>
      </c>
      <c r="V314" s="20">
        <f>_xlfn.XLOOKUP(S314,合格掲示用ワーク!L:L,合格掲示用ワーク!G:G,"",0,1)</f>
        <v>0</v>
      </c>
    </row>
    <row r="315" spans="17:22" ht="36.75" customHeight="1" x14ac:dyDescent="0.15">
      <c r="R315">
        <v>3</v>
      </c>
      <c r="S315" t="str">
        <f>Q307&amp;"-"&amp;R315</f>
        <v>19-3</v>
      </c>
      <c r="T315" s="19">
        <f>_xlfn.XLOOKUP(S315,合格掲示用ワーク!L:L,合格掲示用ワーク!B:B,"",0,1)</f>
        <v>0</v>
      </c>
      <c r="U315" s="20">
        <f>_xlfn.XLOOKUP(S315,合格掲示用ワーク!L:L,合格掲示用ワーク!C:C,"",0,1)</f>
        <v>0</v>
      </c>
      <c r="V315" s="20">
        <f>_xlfn.XLOOKUP(S315,合格掲示用ワーク!L:L,合格掲示用ワーク!G:G,"",0,1)</f>
        <v>0</v>
      </c>
    </row>
    <row r="316" spans="17:22" ht="36.75" customHeight="1" x14ac:dyDescent="0.15">
      <c r="R316">
        <v>4</v>
      </c>
      <c r="S316" t="str">
        <f>Q307&amp;"-"&amp;R316</f>
        <v>19-4</v>
      </c>
      <c r="T316" s="19">
        <f>_xlfn.XLOOKUP(S316,合格掲示用ワーク!L:L,合格掲示用ワーク!B:B,"",0,1)</f>
        <v>0</v>
      </c>
      <c r="U316" s="20">
        <f>_xlfn.XLOOKUP(S316,合格掲示用ワーク!L:L,合格掲示用ワーク!C:C,"",0,1)</f>
        <v>0</v>
      </c>
      <c r="V316" s="20">
        <f>_xlfn.XLOOKUP(S316,合格掲示用ワーク!L:L,合格掲示用ワーク!G:G,"",0,1)</f>
        <v>0</v>
      </c>
    </row>
    <row r="317" spans="17:22" ht="36.75" customHeight="1" x14ac:dyDescent="0.15">
      <c r="R317">
        <v>5</v>
      </c>
      <c r="S317" t="str">
        <f>Q307&amp;"-"&amp;R317</f>
        <v>19-5</v>
      </c>
      <c r="T317" s="19">
        <f>_xlfn.XLOOKUP(S317,合格掲示用ワーク!L:L,合格掲示用ワーク!B:B,"",0,1)</f>
        <v>0</v>
      </c>
      <c r="U317" s="20">
        <f>_xlfn.XLOOKUP(S317,合格掲示用ワーク!L:L,合格掲示用ワーク!C:C,"",0,1)</f>
        <v>0</v>
      </c>
      <c r="V317" s="20">
        <f>_xlfn.XLOOKUP(S317,合格掲示用ワーク!L:L,合格掲示用ワーク!G:G,"",0,1)</f>
        <v>0</v>
      </c>
    </row>
    <row r="318" spans="17:22" ht="36.75" customHeight="1" x14ac:dyDescent="0.15">
      <c r="R318">
        <v>6</v>
      </c>
      <c r="S318" t="str">
        <f>Q307&amp;"-"&amp;R318</f>
        <v>19-6</v>
      </c>
      <c r="T318" s="19">
        <f>_xlfn.XLOOKUP(S318,合格掲示用ワーク!L:L,合格掲示用ワーク!B:B,"",0,1)</f>
        <v>0</v>
      </c>
      <c r="U318" s="20">
        <f>_xlfn.XLOOKUP(S318,合格掲示用ワーク!L:L,合格掲示用ワーク!C:C,"",0,1)</f>
        <v>0</v>
      </c>
      <c r="V318" s="20">
        <f>_xlfn.XLOOKUP(S318,合格掲示用ワーク!L:L,合格掲示用ワーク!G:G,"",0,1)</f>
        <v>0</v>
      </c>
    </row>
    <row r="319" spans="17:22" ht="36.75" customHeight="1" x14ac:dyDescent="0.15">
      <c r="R319">
        <v>7</v>
      </c>
      <c r="S319" t="str">
        <f>Q307&amp;"-"&amp;R319</f>
        <v>19-7</v>
      </c>
      <c r="T319" s="19">
        <f>_xlfn.XLOOKUP(S319,合格掲示用ワーク!L:L,合格掲示用ワーク!B:B,"",0,1)</f>
        <v>0</v>
      </c>
      <c r="U319" s="20">
        <f>_xlfn.XLOOKUP(S319,合格掲示用ワーク!L:L,合格掲示用ワーク!C:C,"",0,1)</f>
        <v>0</v>
      </c>
      <c r="V319" s="20">
        <f>_xlfn.XLOOKUP(S319,合格掲示用ワーク!L:L,合格掲示用ワーク!G:G,"",0,1)</f>
        <v>0</v>
      </c>
    </row>
    <row r="320" spans="17:22" ht="36.75" customHeight="1" x14ac:dyDescent="0.15">
      <c r="R320">
        <v>8</v>
      </c>
      <c r="S320" t="str">
        <f>Q307&amp;"-"&amp;R320</f>
        <v>19-8</v>
      </c>
      <c r="T320" s="19">
        <f>_xlfn.XLOOKUP(S320,合格掲示用ワーク!L:L,合格掲示用ワーク!B:B,"",0,1)</f>
        <v>0</v>
      </c>
      <c r="U320" s="20">
        <f>_xlfn.XLOOKUP(S320,合格掲示用ワーク!L:L,合格掲示用ワーク!C:C,"",0,1)</f>
        <v>0</v>
      </c>
      <c r="V320" s="20">
        <f>_xlfn.XLOOKUP(S320,合格掲示用ワーク!L:L,合格掲示用ワーク!G:G,"",0,1)</f>
        <v>0</v>
      </c>
    </row>
    <row r="321" spans="17:22" ht="36.75" customHeight="1" x14ac:dyDescent="0.15">
      <c r="R321" s="18">
        <v>9</v>
      </c>
      <c r="S321" t="str">
        <f>Q307&amp;"-"&amp;R321</f>
        <v>19-9</v>
      </c>
      <c r="T321" s="19">
        <f>_xlfn.XLOOKUP(S321,合格掲示用ワーク!L:L,合格掲示用ワーク!B:B,"",0,1)</f>
        <v>0</v>
      </c>
      <c r="U321" s="20">
        <f>_xlfn.XLOOKUP(S321,合格掲示用ワーク!L:L,合格掲示用ワーク!C:C,"",0,1)</f>
        <v>0</v>
      </c>
      <c r="V321" s="20">
        <f>_xlfn.XLOOKUP(S321,合格掲示用ワーク!L:L,合格掲示用ワーク!G:G,"",0,1)</f>
        <v>0</v>
      </c>
    </row>
    <row r="322" spans="17:22" ht="36.75" customHeight="1" x14ac:dyDescent="0.15">
      <c r="R322">
        <v>10</v>
      </c>
      <c r="S322" t="str">
        <f>Q307&amp;"-"&amp;R322</f>
        <v>19-10</v>
      </c>
      <c r="T322" s="19">
        <f>_xlfn.XLOOKUP(S322,合格掲示用ワーク!L:L,合格掲示用ワーク!B:B,"",0,1)</f>
        <v>0</v>
      </c>
      <c r="U322" s="20">
        <f>_xlfn.XLOOKUP(S322,合格掲示用ワーク!L:L,合格掲示用ワーク!C:C,"",0,1)</f>
        <v>0</v>
      </c>
      <c r="V322" s="20">
        <f>_xlfn.XLOOKUP(S322,合格掲示用ワーク!L:L,合格掲示用ワーク!G:G,"",0,1)</f>
        <v>0</v>
      </c>
    </row>
    <row r="324" spans="17:22" ht="36.75" customHeight="1" x14ac:dyDescent="0.15">
      <c r="Q324">
        <f>Q307+1</f>
        <v>20</v>
      </c>
    </row>
    <row r="330" spans="17:22" ht="36.75" customHeight="1" x14ac:dyDescent="0.15">
      <c r="R330">
        <v>1</v>
      </c>
      <c r="S330" t="str">
        <f>Q324&amp;"-"&amp;R330</f>
        <v>20-1</v>
      </c>
      <c r="T330" s="19">
        <f>_xlfn.XLOOKUP(S330,合格掲示用ワーク!L:L,合格掲示用ワーク!B:B,"",0,1)</f>
        <v>0</v>
      </c>
      <c r="U330" s="20">
        <f>_xlfn.XLOOKUP(S330,合格掲示用ワーク!L:L,合格掲示用ワーク!C:C,"",0,1)</f>
        <v>0</v>
      </c>
      <c r="V330" s="20">
        <f>_xlfn.XLOOKUP(S330,合格掲示用ワーク!L:L,合格掲示用ワーク!G:G,"",0,1)</f>
        <v>0</v>
      </c>
    </row>
    <row r="331" spans="17:22" ht="36.75" customHeight="1" x14ac:dyDescent="0.15">
      <c r="R331">
        <v>2</v>
      </c>
      <c r="S331" t="str">
        <f>Q324&amp;"-"&amp;R331</f>
        <v>20-2</v>
      </c>
      <c r="T331" s="19">
        <f>_xlfn.XLOOKUP(S331,合格掲示用ワーク!L:L,合格掲示用ワーク!B:B,"",0,1)</f>
        <v>0</v>
      </c>
      <c r="U331" s="20">
        <f>_xlfn.XLOOKUP(S331,合格掲示用ワーク!L:L,合格掲示用ワーク!C:C,"",0,1)</f>
        <v>0</v>
      </c>
      <c r="V331" s="20">
        <f>_xlfn.XLOOKUP(S331,合格掲示用ワーク!L:L,合格掲示用ワーク!G:G,"",0,1)</f>
        <v>0</v>
      </c>
    </row>
    <row r="332" spans="17:22" ht="36.75" customHeight="1" x14ac:dyDescent="0.15">
      <c r="R332">
        <v>3</v>
      </c>
      <c r="S332" t="str">
        <f>Q324&amp;"-"&amp;R332</f>
        <v>20-3</v>
      </c>
      <c r="T332" s="19">
        <f>_xlfn.XLOOKUP(S332,合格掲示用ワーク!L:L,合格掲示用ワーク!B:B,"",0,1)</f>
        <v>0</v>
      </c>
      <c r="U332" s="20">
        <f>_xlfn.XLOOKUP(S332,合格掲示用ワーク!L:L,合格掲示用ワーク!C:C,"",0,1)</f>
        <v>0</v>
      </c>
      <c r="V332" s="20">
        <f>_xlfn.XLOOKUP(S332,合格掲示用ワーク!L:L,合格掲示用ワーク!G:G,"",0,1)</f>
        <v>0</v>
      </c>
    </row>
    <row r="333" spans="17:22" ht="36.75" customHeight="1" x14ac:dyDescent="0.15">
      <c r="R333">
        <v>4</v>
      </c>
      <c r="S333" t="str">
        <f>Q324&amp;"-"&amp;R333</f>
        <v>20-4</v>
      </c>
      <c r="T333" s="19">
        <f>_xlfn.XLOOKUP(S333,合格掲示用ワーク!L:L,合格掲示用ワーク!B:B,"",0,1)</f>
        <v>0</v>
      </c>
      <c r="U333" s="20">
        <f>_xlfn.XLOOKUP(S333,合格掲示用ワーク!L:L,合格掲示用ワーク!C:C,"",0,1)</f>
        <v>0</v>
      </c>
      <c r="V333" s="20">
        <f>_xlfn.XLOOKUP(S333,合格掲示用ワーク!L:L,合格掲示用ワーク!G:G,"",0,1)</f>
        <v>0</v>
      </c>
    </row>
    <row r="334" spans="17:22" ht="36.75" customHeight="1" x14ac:dyDescent="0.15">
      <c r="R334">
        <v>5</v>
      </c>
      <c r="S334" t="str">
        <f>Q324&amp;"-"&amp;R334</f>
        <v>20-5</v>
      </c>
      <c r="T334" s="19">
        <f>_xlfn.XLOOKUP(S334,合格掲示用ワーク!L:L,合格掲示用ワーク!B:B,"",0,1)</f>
        <v>0</v>
      </c>
      <c r="U334" s="20">
        <f>_xlfn.XLOOKUP(S334,合格掲示用ワーク!L:L,合格掲示用ワーク!C:C,"",0,1)</f>
        <v>0</v>
      </c>
      <c r="V334" s="20">
        <f>_xlfn.XLOOKUP(S334,合格掲示用ワーク!L:L,合格掲示用ワーク!G:G,"",0,1)</f>
        <v>0</v>
      </c>
    </row>
    <row r="335" spans="17:22" ht="36.75" customHeight="1" x14ac:dyDescent="0.15">
      <c r="R335">
        <v>6</v>
      </c>
      <c r="S335" t="str">
        <f>Q324&amp;"-"&amp;R335</f>
        <v>20-6</v>
      </c>
      <c r="T335" s="19">
        <f>_xlfn.XLOOKUP(S335,合格掲示用ワーク!L:L,合格掲示用ワーク!B:B,"",0,1)</f>
        <v>0</v>
      </c>
      <c r="U335" s="20">
        <f>_xlfn.XLOOKUP(S335,合格掲示用ワーク!L:L,合格掲示用ワーク!C:C,"",0,1)</f>
        <v>0</v>
      </c>
      <c r="V335" s="20">
        <f>_xlfn.XLOOKUP(S335,合格掲示用ワーク!L:L,合格掲示用ワーク!G:G,"",0,1)</f>
        <v>0</v>
      </c>
    </row>
    <row r="336" spans="17:22" ht="36.75" customHeight="1" x14ac:dyDescent="0.15">
      <c r="R336">
        <v>7</v>
      </c>
      <c r="S336" t="str">
        <f>Q324&amp;"-"&amp;R336</f>
        <v>20-7</v>
      </c>
      <c r="T336" s="19">
        <f>_xlfn.XLOOKUP(S336,合格掲示用ワーク!L:L,合格掲示用ワーク!B:B,"",0,1)</f>
        <v>0</v>
      </c>
      <c r="U336" s="20">
        <f>_xlfn.XLOOKUP(S336,合格掲示用ワーク!L:L,合格掲示用ワーク!C:C,"",0,1)</f>
        <v>0</v>
      </c>
      <c r="V336" s="20">
        <f>_xlfn.XLOOKUP(S336,合格掲示用ワーク!L:L,合格掲示用ワーク!G:G,"",0,1)</f>
        <v>0</v>
      </c>
    </row>
    <row r="337" spans="17:22" ht="36.75" customHeight="1" x14ac:dyDescent="0.15">
      <c r="R337">
        <v>8</v>
      </c>
      <c r="S337" t="str">
        <f>Q324&amp;"-"&amp;R337</f>
        <v>20-8</v>
      </c>
      <c r="T337" s="19">
        <f>_xlfn.XLOOKUP(S337,合格掲示用ワーク!L:L,合格掲示用ワーク!B:B,"",0,1)</f>
        <v>0</v>
      </c>
      <c r="U337" s="20">
        <f>_xlfn.XLOOKUP(S337,合格掲示用ワーク!L:L,合格掲示用ワーク!C:C,"",0,1)</f>
        <v>0</v>
      </c>
      <c r="V337" s="20">
        <f>_xlfn.XLOOKUP(S337,合格掲示用ワーク!L:L,合格掲示用ワーク!G:G,"",0,1)</f>
        <v>0</v>
      </c>
    </row>
    <row r="338" spans="17:22" ht="36.75" customHeight="1" x14ac:dyDescent="0.15">
      <c r="R338" s="18">
        <v>9</v>
      </c>
      <c r="S338" t="str">
        <f>Q324&amp;"-"&amp;R338</f>
        <v>20-9</v>
      </c>
      <c r="T338" s="19">
        <f>_xlfn.XLOOKUP(S338,合格掲示用ワーク!L:L,合格掲示用ワーク!B:B,"",0,1)</f>
        <v>0</v>
      </c>
      <c r="U338" s="20">
        <f>_xlfn.XLOOKUP(S338,合格掲示用ワーク!L:L,合格掲示用ワーク!C:C,"",0,1)</f>
        <v>0</v>
      </c>
      <c r="V338" s="20">
        <f>_xlfn.XLOOKUP(S338,合格掲示用ワーク!L:L,合格掲示用ワーク!G:G,"",0,1)</f>
        <v>0</v>
      </c>
    </row>
    <row r="339" spans="17:22" ht="36.75" customHeight="1" x14ac:dyDescent="0.15">
      <c r="R339">
        <v>10</v>
      </c>
      <c r="S339" t="str">
        <f>Q324&amp;"-"&amp;R339</f>
        <v>20-10</v>
      </c>
      <c r="T339" s="19">
        <f>_xlfn.XLOOKUP(S339,合格掲示用ワーク!L:L,合格掲示用ワーク!B:B,"",0,1)</f>
        <v>0</v>
      </c>
      <c r="U339" s="20">
        <f>_xlfn.XLOOKUP(S339,合格掲示用ワーク!L:L,合格掲示用ワーク!C:C,"",0,1)</f>
        <v>0</v>
      </c>
      <c r="V339" s="20">
        <f>_xlfn.XLOOKUP(S339,合格掲示用ワーク!L:L,合格掲示用ワーク!G:G,"",0,1)</f>
        <v>0</v>
      </c>
    </row>
    <row r="341" spans="17:22" ht="36.75" customHeight="1" x14ac:dyDescent="0.15">
      <c r="Q341">
        <f>Q324+1</f>
        <v>21</v>
      </c>
    </row>
    <row r="347" spans="17:22" ht="36.75" customHeight="1" x14ac:dyDescent="0.15">
      <c r="R347">
        <v>1</v>
      </c>
      <c r="S347" t="str">
        <f>Q341&amp;"-"&amp;R347</f>
        <v>21-1</v>
      </c>
      <c r="T347" s="19">
        <f>_xlfn.XLOOKUP(S347,合格掲示用ワーク!L:L,合格掲示用ワーク!B:B,"",0,1)</f>
        <v>0</v>
      </c>
      <c r="U347" s="20">
        <f>_xlfn.XLOOKUP(S347,合格掲示用ワーク!L:L,合格掲示用ワーク!C:C,"",0,1)</f>
        <v>0</v>
      </c>
      <c r="V347" s="20">
        <f>_xlfn.XLOOKUP(S347,合格掲示用ワーク!L:L,合格掲示用ワーク!G:G,"",0,1)</f>
        <v>0</v>
      </c>
    </row>
    <row r="348" spans="17:22" ht="36.75" customHeight="1" x14ac:dyDescent="0.15">
      <c r="R348">
        <v>2</v>
      </c>
      <c r="S348" t="str">
        <f>Q341&amp;"-"&amp;R348</f>
        <v>21-2</v>
      </c>
      <c r="T348" s="19">
        <f>_xlfn.XLOOKUP(S348,合格掲示用ワーク!L:L,合格掲示用ワーク!B:B,"",0,1)</f>
        <v>0</v>
      </c>
      <c r="U348" s="20">
        <f>_xlfn.XLOOKUP(S348,合格掲示用ワーク!L:L,合格掲示用ワーク!C:C,"",0,1)</f>
        <v>0</v>
      </c>
      <c r="V348" s="20">
        <f>_xlfn.XLOOKUP(S348,合格掲示用ワーク!L:L,合格掲示用ワーク!G:G,"",0,1)</f>
        <v>0</v>
      </c>
    </row>
    <row r="349" spans="17:22" ht="36.75" customHeight="1" x14ac:dyDescent="0.15">
      <c r="R349">
        <v>3</v>
      </c>
      <c r="S349" t="str">
        <f>Q341&amp;"-"&amp;R349</f>
        <v>21-3</v>
      </c>
      <c r="T349" s="19">
        <f>_xlfn.XLOOKUP(S349,合格掲示用ワーク!L:L,合格掲示用ワーク!B:B,"",0,1)</f>
        <v>0</v>
      </c>
      <c r="U349" s="20">
        <f>_xlfn.XLOOKUP(S349,合格掲示用ワーク!L:L,合格掲示用ワーク!C:C,"",0,1)</f>
        <v>0</v>
      </c>
      <c r="V349" s="20">
        <f>_xlfn.XLOOKUP(S349,合格掲示用ワーク!L:L,合格掲示用ワーク!G:G,"",0,1)</f>
        <v>0</v>
      </c>
    </row>
    <row r="350" spans="17:22" ht="36.75" customHeight="1" x14ac:dyDescent="0.15">
      <c r="R350">
        <v>4</v>
      </c>
      <c r="S350" t="str">
        <f>Q341&amp;"-"&amp;R350</f>
        <v>21-4</v>
      </c>
      <c r="T350" s="19">
        <f>_xlfn.XLOOKUP(S350,合格掲示用ワーク!L:L,合格掲示用ワーク!B:B,"",0,1)</f>
        <v>0</v>
      </c>
      <c r="U350" s="20">
        <f>_xlfn.XLOOKUP(S350,合格掲示用ワーク!L:L,合格掲示用ワーク!C:C,"",0,1)</f>
        <v>0</v>
      </c>
      <c r="V350" s="20">
        <f>_xlfn.XLOOKUP(S350,合格掲示用ワーク!L:L,合格掲示用ワーク!G:G,"",0,1)</f>
        <v>0</v>
      </c>
    </row>
    <row r="351" spans="17:22" ht="36.75" customHeight="1" x14ac:dyDescent="0.15">
      <c r="R351">
        <v>5</v>
      </c>
      <c r="S351" t="str">
        <f>Q341&amp;"-"&amp;R351</f>
        <v>21-5</v>
      </c>
      <c r="T351" s="19">
        <f>_xlfn.XLOOKUP(S351,合格掲示用ワーク!L:L,合格掲示用ワーク!B:B,"",0,1)</f>
        <v>0</v>
      </c>
      <c r="U351" s="20">
        <f>_xlfn.XLOOKUP(S351,合格掲示用ワーク!L:L,合格掲示用ワーク!C:C,"",0,1)</f>
        <v>0</v>
      </c>
      <c r="V351" s="20">
        <f>_xlfn.XLOOKUP(S351,合格掲示用ワーク!L:L,合格掲示用ワーク!G:G,"",0,1)</f>
        <v>0</v>
      </c>
    </row>
    <row r="352" spans="17:22" ht="36.75" customHeight="1" x14ac:dyDescent="0.15">
      <c r="R352">
        <v>6</v>
      </c>
      <c r="S352" t="str">
        <f>Q341&amp;"-"&amp;R352</f>
        <v>21-6</v>
      </c>
      <c r="T352" s="19">
        <f>_xlfn.XLOOKUP(S352,合格掲示用ワーク!L:L,合格掲示用ワーク!B:B,"",0,1)</f>
        <v>0</v>
      </c>
      <c r="U352" s="20">
        <f>_xlfn.XLOOKUP(S352,合格掲示用ワーク!L:L,合格掲示用ワーク!C:C,"",0,1)</f>
        <v>0</v>
      </c>
      <c r="V352" s="20">
        <f>_xlfn.XLOOKUP(S352,合格掲示用ワーク!L:L,合格掲示用ワーク!G:G,"",0,1)</f>
        <v>0</v>
      </c>
    </row>
    <row r="353" spans="17:22" ht="36.75" customHeight="1" x14ac:dyDescent="0.15">
      <c r="R353">
        <v>7</v>
      </c>
      <c r="S353" t="str">
        <f>Q341&amp;"-"&amp;R353</f>
        <v>21-7</v>
      </c>
      <c r="T353" s="19">
        <f>_xlfn.XLOOKUP(S353,合格掲示用ワーク!L:L,合格掲示用ワーク!B:B,"",0,1)</f>
        <v>0</v>
      </c>
      <c r="U353" s="20">
        <f>_xlfn.XLOOKUP(S353,合格掲示用ワーク!L:L,合格掲示用ワーク!C:C,"",0,1)</f>
        <v>0</v>
      </c>
      <c r="V353" s="20">
        <f>_xlfn.XLOOKUP(S353,合格掲示用ワーク!L:L,合格掲示用ワーク!G:G,"",0,1)</f>
        <v>0</v>
      </c>
    </row>
    <row r="354" spans="17:22" ht="36.75" customHeight="1" x14ac:dyDescent="0.15">
      <c r="R354">
        <v>8</v>
      </c>
      <c r="S354" t="str">
        <f>Q341&amp;"-"&amp;R354</f>
        <v>21-8</v>
      </c>
      <c r="T354" s="19">
        <f>_xlfn.XLOOKUP(S354,合格掲示用ワーク!L:L,合格掲示用ワーク!B:B,"",0,1)</f>
        <v>0</v>
      </c>
      <c r="U354" s="20">
        <f>_xlfn.XLOOKUP(S354,合格掲示用ワーク!L:L,合格掲示用ワーク!C:C,"",0,1)</f>
        <v>0</v>
      </c>
      <c r="V354" s="20">
        <f>_xlfn.XLOOKUP(S354,合格掲示用ワーク!L:L,合格掲示用ワーク!G:G,"",0,1)</f>
        <v>0</v>
      </c>
    </row>
    <row r="355" spans="17:22" ht="36.75" customHeight="1" x14ac:dyDescent="0.15">
      <c r="R355" s="18">
        <v>9</v>
      </c>
      <c r="S355" t="str">
        <f>Q341&amp;"-"&amp;R355</f>
        <v>21-9</v>
      </c>
      <c r="T355" s="19">
        <f>_xlfn.XLOOKUP(S355,合格掲示用ワーク!L:L,合格掲示用ワーク!B:B,"",0,1)</f>
        <v>0</v>
      </c>
      <c r="U355" s="20">
        <f>_xlfn.XLOOKUP(S355,合格掲示用ワーク!L:L,合格掲示用ワーク!C:C,"",0,1)</f>
        <v>0</v>
      </c>
      <c r="V355" s="20">
        <f>_xlfn.XLOOKUP(S355,合格掲示用ワーク!L:L,合格掲示用ワーク!G:G,"",0,1)</f>
        <v>0</v>
      </c>
    </row>
    <row r="356" spans="17:22" ht="36.75" customHeight="1" x14ac:dyDescent="0.15">
      <c r="R356">
        <v>10</v>
      </c>
      <c r="S356" t="str">
        <f>Q341&amp;"-"&amp;R356</f>
        <v>21-10</v>
      </c>
      <c r="T356" s="19">
        <f>_xlfn.XLOOKUP(S356,合格掲示用ワーク!L:L,合格掲示用ワーク!B:B,"",0,1)</f>
        <v>0</v>
      </c>
      <c r="U356" s="20">
        <f>_xlfn.XLOOKUP(S356,合格掲示用ワーク!L:L,合格掲示用ワーク!C:C,"",0,1)</f>
        <v>0</v>
      </c>
      <c r="V356" s="20">
        <f>_xlfn.XLOOKUP(S356,合格掲示用ワーク!L:L,合格掲示用ワーク!G:G,"",0,1)</f>
        <v>0</v>
      </c>
    </row>
    <row r="358" spans="17:22" ht="36.75" customHeight="1" x14ac:dyDescent="0.15">
      <c r="Q358">
        <f>Q341+1</f>
        <v>22</v>
      </c>
    </row>
    <row r="364" spans="17:22" ht="36.75" customHeight="1" x14ac:dyDescent="0.15">
      <c r="R364">
        <v>1</v>
      </c>
      <c r="S364" t="str">
        <f>Q358&amp;"-"&amp;R364</f>
        <v>22-1</v>
      </c>
      <c r="T364" s="19">
        <f>_xlfn.XLOOKUP(S364,合格掲示用ワーク!L:L,合格掲示用ワーク!B:B,"",0,1)</f>
        <v>0</v>
      </c>
      <c r="U364" s="20">
        <f>_xlfn.XLOOKUP(S364,合格掲示用ワーク!L:L,合格掲示用ワーク!C:C,"",0,1)</f>
        <v>0</v>
      </c>
      <c r="V364" s="20">
        <f>_xlfn.XLOOKUP(S364,合格掲示用ワーク!L:L,合格掲示用ワーク!G:G,"",0,1)</f>
        <v>0</v>
      </c>
    </row>
    <row r="365" spans="17:22" ht="36.75" customHeight="1" x14ac:dyDescent="0.15">
      <c r="R365">
        <v>2</v>
      </c>
      <c r="S365" t="str">
        <f>Q358&amp;"-"&amp;R365</f>
        <v>22-2</v>
      </c>
      <c r="T365" s="19">
        <f>_xlfn.XLOOKUP(S365,合格掲示用ワーク!L:L,合格掲示用ワーク!B:B,"",0,1)</f>
        <v>0</v>
      </c>
      <c r="U365" s="20">
        <f>_xlfn.XLOOKUP(S365,合格掲示用ワーク!L:L,合格掲示用ワーク!C:C,"",0,1)</f>
        <v>0</v>
      </c>
      <c r="V365" s="20">
        <f>_xlfn.XLOOKUP(S365,合格掲示用ワーク!L:L,合格掲示用ワーク!G:G,"",0,1)</f>
        <v>0</v>
      </c>
    </row>
    <row r="366" spans="17:22" ht="36.75" customHeight="1" x14ac:dyDescent="0.15">
      <c r="R366">
        <v>3</v>
      </c>
      <c r="S366" t="str">
        <f>Q358&amp;"-"&amp;R366</f>
        <v>22-3</v>
      </c>
      <c r="T366" s="19">
        <f>_xlfn.XLOOKUP(S366,合格掲示用ワーク!L:L,合格掲示用ワーク!B:B,"",0,1)</f>
        <v>0</v>
      </c>
      <c r="U366" s="20">
        <f>_xlfn.XLOOKUP(S366,合格掲示用ワーク!L:L,合格掲示用ワーク!C:C,"",0,1)</f>
        <v>0</v>
      </c>
      <c r="V366" s="20">
        <f>_xlfn.XLOOKUP(S366,合格掲示用ワーク!L:L,合格掲示用ワーク!G:G,"",0,1)</f>
        <v>0</v>
      </c>
    </row>
    <row r="367" spans="17:22" ht="36.75" customHeight="1" x14ac:dyDescent="0.15">
      <c r="R367">
        <v>4</v>
      </c>
      <c r="S367" t="str">
        <f>Q358&amp;"-"&amp;R367</f>
        <v>22-4</v>
      </c>
      <c r="T367" s="19">
        <f>_xlfn.XLOOKUP(S367,合格掲示用ワーク!L:L,合格掲示用ワーク!B:B,"",0,1)</f>
        <v>0</v>
      </c>
      <c r="U367" s="20">
        <f>_xlfn.XLOOKUP(S367,合格掲示用ワーク!L:L,合格掲示用ワーク!C:C,"",0,1)</f>
        <v>0</v>
      </c>
      <c r="V367" s="20">
        <f>_xlfn.XLOOKUP(S367,合格掲示用ワーク!L:L,合格掲示用ワーク!G:G,"",0,1)</f>
        <v>0</v>
      </c>
    </row>
    <row r="368" spans="17:22" ht="36.75" customHeight="1" x14ac:dyDescent="0.15">
      <c r="R368">
        <v>5</v>
      </c>
      <c r="S368" t="str">
        <f>Q358&amp;"-"&amp;R368</f>
        <v>22-5</v>
      </c>
      <c r="T368" s="19">
        <f>_xlfn.XLOOKUP(S368,合格掲示用ワーク!L:L,合格掲示用ワーク!B:B,"",0,1)</f>
        <v>0</v>
      </c>
      <c r="U368" s="20">
        <f>_xlfn.XLOOKUP(S368,合格掲示用ワーク!L:L,合格掲示用ワーク!C:C,"",0,1)</f>
        <v>0</v>
      </c>
      <c r="V368" s="20">
        <f>_xlfn.XLOOKUP(S368,合格掲示用ワーク!L:L,合格掲示用ワーク!G:G,"",0,1)</f>
        <v>0</v>
      </c>
    </row>
    <row r="369" spans="17:22" ht="36.75" customHeight="1" x14ac:dyDescent="0.15">
      <c r="R369">
        <v>6</v>
      </c>
      <c r="S369" t="str">
        <f>Q358&amp;"-"&amp;R369</f>
        <v>22-6</v>
      </c>
      <c r="T369" s="19">
        <f>_xlfn.XLOOKUP(S369,合格掲示用ワーク!L:L,合格掲示用ワーク!B:B,"",0,1)</f>
        <v>0</v>
      </c>
      <c r="U369" s="20">
        <f>_xlfn.XLOOKUP(S369,合格掲示用ワーク!L:L,合格掲示用ワーク!C:C,"",0,1)</f>
        <v>0</v>
      </c>
      <c r="V369" s="20">
        <f>_xlfn.XLOOKUP(S369,合格掲示用ワーク!L:L,合格掲示用ワーク!G:G,"",0,1)</f>
        <v>0</v>
      </c>
    </row>
    <row r="370" spans="17:22" ht="36.75" customHeight="1" x14ac:dyDescent="0.15">
      <c r="R370">
        <v>7</v>
      </c>
      <c r="S370" t="str">
        <f>Q358&amp;"-"&amp;R370</f>
        <v>22-7</v>
      </c>
      <c r="T370" s="19">
        <f>_xlfn.XLOOKUP(S370,合格掲示用ワーク!L:L,合格掲示用ワーク!B:B,"",0,1)</f>
        <v>0</v>
      </c>
      <c r="U370" s="20">
        <f>_xlfn.XLOOKUP(S370,合格掲示用ワーク!L:L,合格掲示用ワーク!C:C,"",0,1)</f>
        <v>0</v>
      </c>
      <c r="V370" s="20">
        <f>_xlfn.XLOOKUP(S370,合格掲示用ワーク!L:L,合格掲示用ワーク!G:G,"",0,1)</f>
        <v>0</v>
      </c>
    </row>
    <row r="371" spans="17:22" ht="36.75" customHeight="1" x14ac:dyDescent="0.15">
      <c r="R371">
        <v>8</v>
      </c>
      <c r="S371" t="str">
        <f>Q358&amp;"-"&amp;R371</f>
        <v>22-8</v>
      </c>
      <c r="T371" s="19">
        <f>_xlfn.XLOOKUP(S371,合格掲示用ワーク!L:L,合格掲示用ワーク!B:B,"",0,1)</f>
        <v>0</v>
      </c>
      <c r="U371" s="20">
        <f>_xlfn.XLOOKUP(S371,合格掲示用ワーク!L:L,合格掲示用ワーク!C:C,"",0,1)</f>
        <v>0</v>
      </c>
      <c r="V371" s="20">
        <f>_xlfn.XLOOKUP(S371,合格掲示用ワーク!L:L,合格掲示用ワーク!G:G,"",0,1)</f>
        <v>0</v>
      </c>
    </row>
    <row r="372" spans="17:22" ht="36.75" customHeight="1" x14ac:dyDescent="0.15">
      <c r="R372" s="18">
        <v>9</v>
      </c>
      <c r="S372" t="str">
        <f>Q358&amp;"-"&amp;R372</f>
        <v>22-9</v>
      </c>
      <c r="T372" s="19">
        <f>_xlfn.XLOOKUP(S372,合格掲示用ワーク!L:L,合格掲示用ワーク!B:B,"",0,1)</f>
        <v>0</v>
      </c>
      <c r="U372" s="20">
        <f>_xlfn.XLOOKUP(S372,合格掲示用ワーク!L:L,合格掲示用ワーク!C:C,"",0,1)</f>
        <v>0</v>
      </c>
      <c r="V372" s="20">
        <f>_xlfn.XLOOKUP(S372,合格掲示用ワーク!L:L,合格掲示用ワーク!G:G,"",0,1)</f>
        <v>0</v>
      </c>
    </row>
    <row r="373" spans="17:22" ht="36.75" customHeight="1" x14ac:dyDescent="0.15">
      <c r="R373">
        <v>10</v>
      </c>
      <c r="S373" t="str">
        <f>Q358&amp;"-"&amp;R373</f>
        <v>22-10</v>
      </c>
      <c r="T373" s="19">
        <f>_xlfn.XLOOKUP(S373,合格掲示用ワーク!L:L,合格掲示用ワーク!B:B,"",0,1)</f>
        <v>0</v>
      </c>
      <c r="U373" s="20">
        <f>_xlfn.XLOOKUP(S373,合格掲示用ワーク!L:L,合格掲示用ワーク!C:C,"",0,1)</f>
        <v>0</v>
      </c>
      <c r="V373" s="20">
        <f>_xlfn.XLOOKUP(S373,合格掲示用ワーク!L:L,合格掲示用ワーク!G:G,"",0,1)</f>
        <v>0</v>
      </c>
    </row>
    <row r="375" spans="17:22" ht="36.75" customHeight="1" x14ac:dyDescent="0.15">
      <c r="Q375">
        <f>Q358+1</f>
        <v>23</v>
      </c>
    </row>
    <row r="381" spans="17:22" ht="36.75" customHeight="1" x14ac:dyDescent="0.15">
      <c r="R381">
        <v>1</v>
      </c>
      <c r="S381" t="str">
        <f>Q375&amp;"-"&amp;R381</f>
        <v>23-1</v>
      </c>
      <c r="T381" s="19">
        <f>_xlfn.XLOOKUP(S381,合格掲示用ワーク!L:L,合格掲示用ワーク!B:B,"",0,1)</f>
        <v>0</v>
      </c>
      <c r="U381" s="20">
        <f>_xlfn.XLOOKUP(S381,合格掲示用ワーク!L:L,合格掲示用ワーク!C:C,"",0,1)</f>
        <v>0</v>
      </c>
      <c r="V381" s="20">
        <f>_xlfn.XLOOKUP(S381,合格掲示用ワーク!L:L,合格掲示用ワーク!G:G,"",0,1)</f>
        <v>0</v>
      </c>
    </row>
    <row r="382" spans="17:22" ht="36.75" customHeight="1" x14ac:dyDescent="0.15">
      <c r="R382">
        <v>2</v>
      </c>
      <c r="S382" t="str">
        <f>Q375&amp;"-"&amp;R382</f>
        <v>23-2</v>
      </c>
      <c r="T382" s="19">
        <f>_xlfn.XLOOKUP(S382,合格掲示用ワーク!L:L,合格掲示用ワーク!B:B,"",0,1)</f>
        <v>0</v>
      </c>
      <c r="U382" s="20">
        <f>_xlfn.XLOOKUP(S382,合格掲示用ワーク!L:L,合格掲示用ワーク!C:C,"",0,1)</f>
        <v>0</v>
      </c>
      <c r="V382" s="20">
        <f>_xlfn.XLOOKUP(S382,合格掲示用ワーク!L:L,合格掲示用ワーク!G:G,"",0,1)</f>
        <v>0</v>
      </c>
    </row>
    <row r="383" spans="17:22" ht="36.75" customHeight="1" x14ac:dyDescent="0.15">
      <c r="R383">
        <v>3</v>
      </c>
      <c r="S383" t="str">
        <f>Q375&amp;"-"&amp;R383</f>
        <v>23-3</v>
      </c>
      <c r="T383" s="19">
        <f>_xlfn.XLOOKUP(S383,合格掲示用ワーク!L:L,合格掲示用ワーク!B:B,"",0,1)</f>
        <v>0</v>
      </c>
      <c r="U383" s="20">
        <f>_xlfn.XLOOKUP(S383,合格掲示用ワーク!L:L,合格掲示用ワーク!C:C,"",0,1)</f>
        <v>0</v>
      </c>
      <c r="V383" s="20">
        <f>_xlfn.XLOOKUP(S383,合格掲示用ワーク!L:L,合格掲示用ワーク!G:G,"",0,1)</f>
        <v>0</v>
      </c>
    </row>
    <row r="384" spans="17:22" ht="36.75" customHeight="1" x14ac:dyDescent="0.15">
      <c r="R384">
        <v>4</v>
      </c>
      <c r="S384" t="str">
        <f>Q375&amp;"-"&amp;R384</f>
        <v>23-4</v>
      </c>
      <c r="T384" s="19">
        <f>_xlfn.XLOOKUP(S384,合格掲示用ワーク!L:L,合格掲示用ワーク!B:B,"",0,1)</f>
        <v>0</v>
      </c>
      <c r="U384" s="20">
        <f>_xlfn.XLOOKUP(S384,合格掲示用ワーク!L:L,合格掲示用ワーク!C:C,"",0,1)</f>
        <v>0</v>
      </c>
      <c r="V384" s="20">
        <f>_xlfn.XLOOKUP(S384,合格掲示用ワーク!L:L,合格掲示用ワーク!G:G,"",0,1)</f>
        <v>0</v>
      </c>
    </row>
    <row r="385" spans="17:22" ht="36.75" customHeight="1" x14ac:dyDescent="0.15">
      <c r="R385">
        <v>5</v>
      </c>
      <c r="S385" t="str">
        <f>Q375&amp;"-"&amp;R385</f>
        <v>23-5</v>
      </c>
      <c r="T385" s="19">
        <f>_xlfn.XLOOKUP(S385,合格掲示用ワーク!L:L,合格掲示用ワーク!B:B,"",0,1)</f>
        <v>0</v>
      </c>
      <c r="U385" s="20">
        <f>_xlfn.XLOOKUP(S385,合格掲示用ワーク!L:L,合格掲示用ワーク!C:C,"",0,1)</f>
        <v>0</v>
      </c>
      <c r="V385" s="20">
        <f>_xlfn.XLOOKUP(S385,合格掲示用ワーク!L:L,合格掲示用ワーク!G:G,"",0,1)</f>
        <v>0</v>
      </c>
    </row>
    <row r="386" spans="17:22" ht="36.75" customHeight="1" x14ac:dyDescent="0.15">
      <c r="R386">
        <v>6</v>
      </c>
      <c r="S386" t="str">
        <f>Q375&amp;"-"&amp;R386</f>
        <v>23-6</v>
      </c>
      <c r="T386" s="19">
        <f>_xlfn.XLOOKUP(S386,合格掲示用ワーク!L:L,合格掲示用ワーク!B:B,"",0,1)</f>
        <v>0</v>
      </c>
      <c r="U386" s="20">
        <f>_xlfn.XLOOKUP(S386,合格掲示用ワーク!L:L,合格掲示用ワーク!C:C,"",0,1)</f>
        <v>0</v>
      </c>
      <c r="V386" s="20">
        <f>_xlfn.XLOOKUP(S386,合格掲示用ワーク!L:L,合格掲示用ワーク!G:G,"",0,1)</f>
        <v>0</v>
      </c>
    </row>
    <row r="387" spans="17:22" ht="36.75" customHeight="1" x14ac:dyDescent="0.15">
      <c r="R387">
        <v>7</v>
      </c>
      <c r="S387" t="str">
        <f>Q375&amp;"-"&amp;R387</f>
        <v>23-7</v>
      </c>
      <c r="T387" s="19">
        <f>_xlfn.XLOOKUP(S387,合格掲示用ワーク!L:L,合格掲示用ワーク!B:B,"",0,1)</f>
        <v>0</v>
      </c>
      <c r="U387" s="20">
        <f>_xlfn.XLOOKUP(S387,合格掲示用ワーク!L:L,合格掲示用ワーク!C:C,"",0,1)</f>
        <v>0</v>
      </c>
      <c r="V387" s="20">
        <f>_xlfn.XLOOKUP(S387,合格掲示用ワーク!L:L,合格掲示用ワーク!G:G,"",0,1)</f>
        <v>0</v>
      </c>
    </row>
    <row r="388" spans="17:22" ht="36.75" customHeight="1" x14ac:dyDescent="0.15">
      <c r="R388">
        <v>8</v>
      </c>
      <c r="S388" t="str">
        <f>Q375&amp;"-"&amp;R388</f>
        <v>23-8</v>
      </c>
      <c r="T388" s="19">
        <f>_xlfn.XLOOKUP(S388,合格掲示用ワーク!L:L,合格掲示用ワーク!B:B,"",0,1)</f>
        <v>0</v>
      </c>
      <c r="U388" s="20">
        <f>_xlfn.XLOOKUP(S388,合格掲示用ワーク!L:L,合格掲示用ワーク!C:C,"",0,1)</f>
        <v>0</v>
      </c>
      <c r="V388" s="20">
        <f>_xlfn.XLOOKUP(S388,合格掲示用ワーク!L:L,合格掲示用ワーク!G:G,"",0,1)</f>
        <v>0</v>
      </c>
    </row>
    <row r="389" spans="17:22" ht="36.75" customHeight="1" x14ac:dyDescent="0.15">
      <c r="R389" s="18">
        <v>9</v>
      </c>
      <c r="S389" t="str">
        <f>Q375&amp;"-"&amp;R389</f>
        <v>23-9</v>
      </c>
      <c r="T389" s="19">
        <f>_xlfn.XLOOKUP(S389,合格掲示用ワーク!L:L,合格掲示用ワーク!B:B,"",0,1)</f>
        <v>0</v>
      </c>
      <c r="U389" s="20">
        <f>_xlfn.XLOOKUP(S389,合格掲示用ワーク!L:L,合格掲示用ワーク!C:C,"",0,1)</f>
        <v>0</v>
      </c>
      <c r="V389" s="20">
        <f>_xlfn.XLOOKUP(S389,合格掲示用ワーク!L:L,合格掲示用ワーク!G:G,"",0,1)</f>
        <v>0</v>
      </c>
    </row>
    <row r="390" spans="17:22" ht="36.75" customHeight="1" x14ac:dyDescent="0.15">
      <c r="R390">
        <v>10</v>
      </c>
      <c r="S390" t="str">
        <f>Q375&amp;"-"&amp;R390</f>
        <v>23-10</v>
      </c>
      <c r="T390" s="19">
        <f>_xlfn.XLOOKUP(S390,合格掲示用ワーク!L:L,合格掲示用ワーク!B:B,"",0,1)</f>
        <v>0</v>
      </c>
      <c r="U390" s="20">
        <f>_xlfn.XLOOKUP(S390,合格掲示用ワーク!L:L,合格掲示用ワーク!C:C,"",0,1)</f>
        <v>0</v>
      </c>
      <c r="V390" s="20">
        <f>_xlfn.XLOOKUP(S390,合格掲示用ワーク!L:L,合格掲示用ワーク!G:G,"",0,1)</f>
        <v>0</v>
      </c>
    </row>
    <row r="392" spans="17:22" ht="36.75" customHeight="1" x14ac:dyDescent="0.15">
      <c r="Q392">
        <f>Q375+1</f>
        <v>24</v>
      </c>
    </row>
    <row r="398" spans="17:22" ht="36.75" customHeight="1" x14ac:dyDescent="0.15">
      <c r="R398">
        <v>1</v>
      </c>
      <c r="S398" t="str">
        <f>Q392&amp;"-"&amp;R398</f>
        <v>24-1</v>
      </c>
      <c r="T398" s="19">
        <f>_xlfn.XLOOKUP(S398,合格掲示用ワーク!L:L,合格掲示用ワーク!B:B,"",0,1)</f>
        <v>0</v>
      </c>
      <c r="U398" s="20">
        <f>_xlfn.XLOOKUP(S398,合格掲示用ワーク!L:L,合格掲示用ワーク!C:C,"",0,1)</f>
        <v>0</v>
      </c>
      <c r="V398" s="20">
        <f>_xlfn.XLOOKUP(S398,合格掲示用ワーク!L:L,合格掲示用ワーク!G:G,"",0,1)</f>
        <v>0</v>
      </c>
    </row>
    <row r="399" spans="17:22" ht="36.75" customHeight="1" x14ac:dyDescent="0.15">
      <c r="R399">
        <v>2</v>
      </c>
      <c r="S399" t="str">
        <f>Q392&amp;"-"&amp;R399</f>
        <v>24-2</v>
      </c>
      <c r="T399" s="19">
        <f>_xlfn.XLOOKUP(S399,合格掲示用ワーク!L:L,合格掲示用ワーク!B:B,"",0,1)</f>
        <v>0</v>
      </c>
      <c r="U399" s="20">
        <f>_xlfn.XLOOKUP(S399,合格掲示用ワーク!L:L,合格掲示用ワーク!C:C,"",0,1)</f>
        <v>0</v>
      </c>
      <c r="V399" s="20">
        <f>_xlfn.XLOOKUP(S399,合格掲示用ワーク!L:L,合格掲示用ワーク!G:G,"",0,1)</f>
        <v>0</v>
      </c>
    </row>
    <row r="400" spans="17:22" ht="36.75" customHeight="1" x14ac:dyDescent="0.15">
      <c r="R400">
        <v>3</v>
      </c>
      <c r="S400" t="str">
        <f>Q392&amp;"-"&amp;R400</f>
        <v>24-3</v>
      </c>
      <c r="T400" s="19">
        <f>_xlfn.XLOOKUP(S400,合格掲示用ワーク!L:L,合格掲示用ワーク!B:B,"",0,1)</f>
        <v>0</v>
      </c>
      <c r="U400" s="20">
        <f>_xlfn.XLOOKUP(S400,合格掲示用ワーク!L:L,合格掲示用ワーク!C:C,"",0,1)</f>
        <v>0</v>
      </c>
      <c r="V400" s="20">
        <f>_xlfn.XLOOKUP(S400,合格掲示用ワーク!L:L,合格掲示用ワーク!G:G,"",0,1)</f>
        <v>0</v>
      </c>
    </row>
    <row r="401" spans="17:22" ht="36.75" customHeight="1" x14ac:dyDescent="0.15">
      <c r="R401">
        <v>4</v>
      </c>
      <c r="S401" t="str">
        <f>Q392&amp;"-"&amp;R401</f>
        <v>24-4</v>
      </c>
      <c r="T401" s="19">
        <f>_xlfn.XLOOKUP(S401,合格掲示用ワーク!L:L,合格掲示用ワーク!B:B,"",0,1)</f>
        <v>0</v>
      </c>
      <c r="U401" s="20">
        <f>_xlfn.XLOOKUP(S401,合格掲示用ワーク!L:L,合格掲示用ワーク!C:C,"",0,1)</f>
        <v>0</v>
      </c>
      <c r="V401" s="20">
        <f>_xlfn.XLOOKUP(S401,合格掲示用ワーク!L:L,合格掲示用ワーク!G:G,"",0,1)</f>
        <v>0</v>
      </c>
    </row>
    <row r="402" spans="17:22" ht="36.75" customHeight="1" x14ac:dyDescent="0.15">
      <c r="R402">
        <v>5</v>
      </c>
      <c r="S402" t="str">
        <f>Q392&amp;"-"&amp;R402</f>
        <v>24-5</v>
      </c>
      <c r="T402" s="19">
        <f>_xlfn.XLOOKUP(S402,合格掲示用ワーク!L:L,合格掲示用ワーク!B:B,"",0,1)</f>
        <v>0</v>
      </c>
      <c r="U402" s="20">
        <f>_xlfn.XLOOKUP(S402,合格掲示用ワーク!L:L,合格掲示用ワーク!C:C,"",0,1)</f>
        <v>0</v>
      </c>
      <c r="V402" s="20">
        <f>_xlfn.XLOOKUP(S402,合格掲示用ワーク!L:L,合格掲示用ワーク!G:G,"",0,1)</f>
        <v>0</v>
      </c>
    </row>
    <row r="403" spans="17:22" ht="36.75" customHeight="1" x14ac:dyDescent="0.15">
      <c r="R403">
        <v>6</v>
      </c>
      <c r="S403" t="str">
        <f>Q392&amp;"-"&amp;R403</f>
        <v>24-6</v>
      </c>
      <c r="T403" s="19">
        <f>_xlfn.XLOOKUP(S403,合格掲示用ワーク!L:L,合格掲示用ワーク!B:B,"",0,1)</f>
        <v>0</v>
      </c>
      <c r="U403" s="20">
        <f>_xlfn.XLOOKUP(S403,合格掲示用ワーク!L:L,合格掲示用ワーク!C:C,"",0,1)</f>
        <v>0</v>
      </c>
      <c r="V403" s="20">
        <f>_xlfn.XLOOKUP(S403,合格掲示用ワーク!L:L,合格掲示用ワーク!G:G,"",0,1)</f>
        <v>0</v>
      </c>
    </row>
    <row r="404" spans="17:22" ht="36.75" customHeight="1" x14ac:dyDescent="0.15">
      <c r="R404">
        <v>7</v>
      </c>
      <c r="S404" t="str">
        <f>Q392&amp;"-"&amp;R404</f>
        <v>24-7</v>
      </c>
      <c r="T404" s="19">
        <f>_xlfn.XLOOKUP(S404,合格掲示用ワーク!L:L,合格掲示用ワーク!B:B,"",0,1)</f>
        <v>0</v>
      </c>
      <c r="U404" s="20">
        <f>_xlfn.XLOOKUP(S404,合格掲示用ワーク!L:L,合格掲示用ワーク!C:C,"",0,1)</f>
        <v>0</v>
      </c>
      <c r="V404" s="20">
        <f>_xlfn.XLOOKUP(S404,合格掲示用ワーク!L:L,合格掲示用ワーク!G:G,"",0,1)</f>
        <v>0</v>
      </c>
    </row>
    <row r="405" spans="17:22" ht="36.75" customHeight="1" x14ac:dyDescent="0.15">
      <c r="R405">
        <v>8</v>
      </c>
      <c r="S405" t="str">
        <f>Q392&amp;"-"&amp;R405</f>
        <v>24-8</v>
      </c>
      <c r="T405" s="19">
        <f>_xlfn.XLOOKUP(S405,合格掲示用ワーク!L:L,合格掲示用ワーク!B:B,"",0,1)</f>
        <v>0</v>
      </c>
      <c r="U405" s="20">
        <f>_xlfn.XLOOKUP(S405,合格掲示用ワーク!L:L,合格掲示用ワーク!C:C,"",0,1)</f>
        <v>0</v>
      </c>
      <c r="V405" s="20">
        <f>_xlfn.XLOOKUP(S405,合格掲示用ワーク!L:L,合格掲示用ワーク!G:G,"",0,1)</f>
        <v>0</v>
      </c>
    </row>
    <row r="406" spans="17:22" ht="36.75" customHeight="1" x14ac:dyDescent="0.15">
      <c r="R406" s="18">
        <v>9</v>
      </c>
      <c r="S406" t="str">
        <f>Q392&amp;"-"&amp;R406</f>
        <v>24-9</v>
      </c>
      <c r="T406" s="19">
        <f>_xlfn.XLOOKUP(S406,合格掲示用ワーク!L:L,合格掲示用ワーク!B:B,"",0,1)</f>
        <v>0</v>
      </c>
      <c r="U406" s="20">
        <f>_xlfn.XLOOKUP(S406,合格掲示用ワーク!L:L,合格掲示用ワーク!C:C,"",0,1)</f>
        <v>0</v>
      </c>
      <c r="V406" s="20">
        <f>_xlfn.XLOOKUP(S406,合格掲示用ワーク!L:L,合格掲示用ワーク!G:G,"",0,1)</f>
        <v>0</v>
      </c>
    </row>
    <row r="407" spans="17:22" ht="36.75" customHeight="1" x14ac:dyDescent="0.15">
      <c r="R407">
        <v>10</v>
      </c>
      <c r="S407" t="str">
        <f>Q392&amp;"-"&amp;R407</f>
        <v>24-10</v>
      </c>
      <c r="T407" s="19">
        <f>_xlfn.XLOOKUP(S407,合格掲示用ワーク!L:L,合格掲示用ワーク!B:B,"",0,1)</f>
        <v>0</v>
      </c>
      <c r="U407" s="20">
        <f>_xlfn.XLOOKUP(S407,合格掲示用ワーク!L:L,合格掲示用ワーク!C:C,"",0,1)</f>
        <v>0</v>
      </c>
      <c r="V407" s="20">
        <f>_xlfn.XLOOKUP(S407,合格掲示用ワーク!L:L,合格掲示用ワーク!G:G,"",0,1)</f>
        <v>0</v>
      </c>
    </row>
    <row r="409" spans="17:22" ht="36.75" customHeight="1" x14ac:dyDescent="0.15">
      <c r="Q409">
        <f>Q392+1</f>
        <v>25</v>
      </c>
    </row>
    <row r="415" spans="17:22" ht="36.75" customHeight="1" x14ac:dyDescent="0.15">
      <c r="R415">
        <v>1</v>
      </c>
      <c r="S415" t="str">
        <f>Q409&amp;"-"&amp;R415</f>
        <v>25-1</v>
      </c>
      <c r="T415" s="19">
        <f>_xlfn.XLOOKUP(S415,合格掲示用ワーク!L:L,合格掲示用ワーク!B:B,"",0,1)</f>
        <v>0</v>
      </c>
      <c r="U415" s="20">
        <f>_xlfn.XLOOKUP(S415,合格掲示用ワーク!L:L,合格掲示用ワーク!C:C,"",0,1)</f>
        <v>0</v>
      </c>
      <c r="V415" s="20">
        <f>_xlfn.XLOOKUP(S415,合格掲示用ワーク!L:L,合格掲示用ワーク!G:G,"",0,1)</f>
        <v>0</v>
      </c>
    </row>
    <row r="416" spans="17:22" ht="36.75" customHeight="1" x14ac:dyDescent="0.15">
      <c r="R416">
        <v>2</v>
      </c>
      <c r="S416" t="str">
        <f>Q409&amp;"-"&amp;R416</f>
        <v>25-2</v>
      </c>
      <c r="T416" s="19">
        <f>_xlfn.XLOOKUP(S416,合格掲示用ワーク!L:L,合格掲示用ワーク!B:B,"",0,1)</f>
        <v>0</v>
      </c>
      <c r="U416" s="20">
        <f>_xlfn.XLOOKUP(S416,合格掲示用ワーク!L:L,合格掲示用ワーク!C:C,"",0,1)</f>
        <v>0</v>
      </c>
      <c r="V416" s="20">
        <f>_xlfn.XLOOKUP(S416,合格掲示用ワーク!L:L,合格掲示用ワーク!G:G,"",0,1)</f>
        <v>0</v>
      </c>
    </row>
    <row r="417" spans="17:22" ht="36.75" customHeight="1" x14ac:dyDescent="0.15">
      <c r="R417">
        <v>3</v>
      </c>
      <c r="S417" t="str">
        <f>Q409&amp;"-"&amp;R417</f>
        <v>25-3</v>
      </c>
      <c r="T417" s="19">
        <f>_xlfn.XLOOKUP(S417,合格掲示用ワーク!L:L,合格掲示用ワーク!B:B,"",0,1)</f>
        <v>0</v>
      </c>
      <c r="U417" s="20">
        <f>_xlfn.XLOOKUP(S417,合格掲示用ワーク!L:L,合格掲示用ワーク!C:C,"",0,1)</f>
        <v>0</v>
      </c>
      <c r="V417" s="20">
        <f>_xlfn.XLOOKUP(S417,合格掲示用ワーク!L:L,合格掲示用ワーク!G:G,"",0,1)</f>
        <v>0</v>
      </c>
    </row>
    <row r="418" spans="17:22" ht="36.75" customHeight="1" x14ac:dyDescent="0.15">
      <c r="R418">
        <v>4</v>
      </c>
      <c r="S418" t="str">
        <f>Q409&amp;"-"&amp;R418</f>
        <v>25-4</v>
      </c>
      <c r="T418" s="19">
        <f>_xlfn.XLOOKUP(S418,合格掲示用ワーク!L:L,合格掲示用ワーク!B:B,"",0,1)</f>
        <v>0</v>
      </c>
      <c r="U418" s="20">
        <f>_xlfn.XLOOKUP(S418,合格掲示用ワーク!L:L,合格掲示用ワーク!C:C,"",0,1)</f>
        <v>0</v>
      </c>
      <c r="V418" s="20">
        <f>_xlfn.XLOOKUP(S418,合格掲示用ワーク!L:L,合格掲示用ワーク!G:G,"",0,1)</f>
        <v>0</v>
      </c>
    </row>
    <row r="419" spans="17:22" ht="36.75" customHeight="1" x14ac:dyDescent="0.15">
      <c r="R419">
        <v>5</v>
      </c>
      <c r="S419" t="str">
        <f>Q409&amp;"-"&amp;R419</f>
        <v>25-5</v>
      </c>
      <c r="T419" s="19">
        <f>_xlfn.XLOOKUP(S419,合格掲示用ワーク!L:L,合格掲示用ワーク!B:B,"",0,1)</f>
        <v>0</v>
      </c>
      <c r="U419" s="20">
        <f>_xlfn.XLOOKUP(S419,合格掲示用ワーク!L:L,合格掲示用ワーク!C:C,"",0,1)</f>
        <v>0</v>
      </c>
      <c r="V419" s="20">
        <f>_xlfn.XLOOKUP(S419,合格掲示用ワーク!L:L,合格掲示用ワーク!G:G,"",0,1)</f>
        <v>0</v>
      </c>
    </row>
    <row r="420" spans="17:22" ht="36.75" customHeight="1" x14ac:dyDescent="0.15">
      <c r="R420">
        <v>6</v>
      </c>
      <c r="S420" t="str">
        <f>Q409&amp;"-"&amp;R420</f>
        <v>25-6</v>
      </c>
      <c r="T420" s="19">
        <f>_xlfn.XLOOKUP(S420,合格掲示用ワーク!L:L,合格掲示用ワーク!B:B,"",0,1)</f>
        <v>0</v>
      </c>
      <c r="U420" s="20">
        <f>_xlfn.XLOOKUP(S420,合格掲示用ワーク!L:L,合格掲示用ワーク!C:C,"",0,1)</f>
        <v>0</v>
      </c>
      <c r="V420" s="20">
        <f>_xlfn.XLOOKUP(S420,合格掲示用ワーク!L:L,合格掲示用ワーク!G:G,"",0,1)</f>
        <v>0</v>
      </c>
    </row>
    <row r="421" spans="17:22" ht="36.75" customHeight="1" x14ac:dyDescent="0.15">
      <c r="R421">
        <v>7</v>
      </c>
      <c r="S421" t="str">
        <f>Q409&amp;"-"&amp;R421</f>
        <v>25-7</v>
      </c>
      <c r="T421" s="19">
        <f>_xlfn.XLOOKUP(S421,合格掲示用ワーク!L:L,合格掲示用ワーク!B:B,"",0,1)</f>
        <v>0</v>
      </c>
      <c r="U421" s="20">
        <f>_xlfn.XLOOKUP(S421,合格掲示用ワーク!L:L,合格掲示用ワーク!C:C,"",0,1)</f>
        <v>0</v>
      </c>
      <c r="V421" s="20">
        <f>_xlfn.XLOOKUP(S421,合格掲示用ワーク!L:L,合格掲示用ワーク!G:G,"",0,1)</f>
        <v>0</v>
      </c>
    </row>
    <row r="422" spans="17:22" ht="36.75" customHeight="1" x14ac:dyDescent="0.15">
      <c r="R422">
        <v>8</v>
      </c>
      <c r="S422" t="str">
        <f>Q409&amp;"-"&amp;R422</f>
        <v>25-8</v>
      </c>
      <c r="T422" s="19">
        <f>_xlfn.XLOOKUP(S422,合格掲示用ワーク!L:L,合格掲示用ワーク!B:B,"",0,1)</f>
        <v>0</v>
      </c>
      <c r="U422" s="20">
        <f>_xlfn.XLOOKUP(S422,合格掲示用ワーク!L:L,合格掲示用ワーク!C:C,"",0,1)</f>
        <v>0</v>
      </c>
      <c r="V422" s="20">
        <f>_xlfn.XLOOKUP(S422,合格掲示用ワーク!L:L,合格掲示用ワーク!G:G,"",0,1)</f>
        <v>0</v>
      </c>
    </row>
    <row r="423" spans="17:22" ht="36.75" customHeight="1" x14ac:dyDescent="0.15">
      <c r="R423" s="18">
        <v>9</v>
      </c>
      <c r="S423" t="str">
        <f>Q409&amp;"-"&amp;R423</f>
        <v>25-9</v>
      </c>
      <c r="T423" s="19">
        <f>_xlfn.XLOOKUP(S423,合格掲示用ワーク!L:L,合格掲示用ワーク!B:B,"",0,1)</f>
        <v>0</v>
      </c>
      <c r="U423" s="20">
        <f>_xlfn.XLOOKUP(S423,合格掲示用ワーク!L:L,合格掲示用ワーク!C:C,"",0,1)</f>
        <v>0</v>
      </c>
      <c r="V423" s="20">
        <f>_xlfn.XLOOKUP(S423,合格掲示用ワーク!L:L,合格掲示用ワーク!G:G,"",0,1)</f>
        <v>0</v>
      </c>
    </row>
    <row r="424" spans="17:22" ht="36.75" customHeight="1" x14ac:dyDescent="0.15">
      <c r="R424">
        <v>10</v>
      </c>
      <c r="S424" t="str">
        <f>Q409&amp;"-"&amp;R424</f>
        <v>25-10</v>
      </c>
      <c r="T424" s="19">
        <f>_xlfn.XLOOKUP(S424,合格掲示用ワーク!L:L,合格掲示用ワーク!B:B,"",0,1)</f>
        <v>0</v>
      </c>
      <c r="U424" s="20">
        <f>_xlfn.XLOOKUP(S424,合格掲示用ワーク!L:L,合格掲示用ワーク!C:C,"",0,1)</f>
        <v>0</v>
      </c>
      <c r="V424" s="20">
        <f>_xlfn.XLOOKUP(S424,合格掲示用ワーク!L:L,合格掲示用ワーク!G:G,"",0,1)</f>
        <v>0</v>
      </c>
    </row>
    <row r="426" spans="17:22" ht="36.75" customHeight="1" x14ac:dyDescent="0.15">
      <c r="Q426">
        <f>Q409+1</f>
        <v>26</v>
      </c>
    </row>
    <row r="432" spans="17:22" ht="36.75" customHeight="1" x14ac:dyDescent="0.15">
      <c r="R432">
        <v>1</v>
      </c>
      <c r="S432" t="str">
        <f>Q426&amp;"-"&amp;R432</f>
        <v>26-1</v>
      </c>
      <c r="T432" s="19" t="str">
        <f>_xlfn.XLOOKUP(S432,合格掲示用ワーク!L:L,合格掲示用ワーク!B:B,"",0,1)</f>
        <v/>
      </c>
      <c r="U432" s="20" t="str">
        <f>_xlfn.XLOOKUP(S432,合格掲示用ワーク!L:L,合格掲示用ワーク!C:C,"",0,1)</f>
        <v/>
      </c>
      <c r="V432" s="20" t="str">
        <f>_xlfn.XLOOKUP(S432,合格掲示用ワーク!L:L,合格掲示用ワーク!G:G,"",0,1)</f>
        <v/>
      </c>
    </row>
    <row r="433" spans="18:22" ht="36.75" customHeight="1" x14ac:dyDescent="0.15">
      <c r="R433">
        <v>2</v>
      </c>
      <c r="S433" t="str">
        <f>Q426&amp;"-"&amp;R433</f>
        <v>26-2</v>
      </c>
      <c r="T433" s="19" t="str">
        <f>_xlfn.XLOOKUP(S433,合格掲示用ワーク!L:L,合格掲示用ワーク!B:B,"",0,1)</f>
        <v/>
      </c>
      <c r="U433" s="20" t="str">
        <f>_xlfn.XLOOKUP(S433,合格掲示用ワーク!L:L,合格掲示用ワーク!C:C,"",0,1)</f>
        <v/>
      </c>
      <c r="V433" s="20" t="str">
        <f>_xlfn.XLOOKUP(S433,合格掲示用ワーク!L:L,合格掲示用ワーク!G:G,"",0,1)</f>
        <v/>
      </c>
    </row>
    <row r="434" spans="18:22" ht="36.75" customHeight="1" x14ac:dyDescent="0.15">
      <c r="R434">
        <v>3</v>
      </c>
      <c r="S434" t="str">
        <f>Q426&amp;"-"&amp;R434</f>
        <v>26-3</v>
      </c>
      <c r="T434" s="19" t="str">
        <f>_xlfn.XLOOKUP(S434,合格掲示用ワーク!L:L,合格掲示用ワーク!B:B,"",0,1)</f>
        <v/>
      </c>
      <c r="U434" s="20" t="str">
        <f>_xlfn.XLOOKUP(S434,合格掲示用ワーク!L:L,合格掲示用ワーク!C:C,"",0,1)</f>
        <v/>
      </c>
      <c r="V434" s="20" t="str">
        <f>_xlfn.XLOOKUP(S434,合格掲示用ワーク!L:L,合格掲示用ワーク!G:G,"",0,1)</f>
        <v/>
      </c>
    </row>
    <row r="435" spans="18:22" ht="36.75" customHeight="1" x14ac:dyDescent="0.15">
      <c r="R435">
        <v>4</v>
      </c>
      <c r="S435" t="str">
        <f>Q426&amp;"-"&amp;R435</f>
        <v>26-4</v>
      </c>
      <c r="T435" s="19" t="str">
        <f>_xlfn.XLOOKUP(S435,合格掲示用ワーク!L:L,合格掲示用ワーク!B:B,"",0,1)</f>
        <v/>
      </c>
      <c r="U435" s="20" t="str">
        <f>_xlfn.XLOOKUP(S435,合格掲示用ワーク!L:L,合格掲示用ワーク!C:C,"",0,1)</f>
        <v/>
      </c>
      <c r="V435" s="20" t="str">
        <f>_xlfn.XLOOKUP(S435,合格掲示用ワーク!L:L,合格掲示用ワーク!G:G,"",0,1)</f>
        <v/>
      </c>
    </row>
    <row r="436" spans="18:22" ht="36.75" customHeight="1" x14ac:dyDescent="0.15">
      <c r="R436">
        <v>5</v>
      </c>
      <c r="S436" t="str">
        <f>Q426&amp;"-"&amp;R436</f>
        <v>26-5</v>
      </c>
      <c r="T436" s="19" t="str">
        <f>_xlfn.XLOOKUP(S436,合格掲示用ワーク!L:L,合格掲示用ワーク!B:B,"",0,1)</f>
        <v/>
      </c>
      <c r="U436" s="20" t="str">
        <f>_xlfn.XLOOKUP(S436,合格掲示用ワーク!L:L,合格掲示用ワーク!C:C,"",0,1)</f>
        <v/>
      </c>
      <c r="V436" s="20" t="str">
        <f>_xlfn.XLOOKUP(S436,合格掲示用ワーク!L:L,合格掲示用ワーク!G:G,"",0,1)</f>
        <v/>
      </c>
    </row>
    <row r="437" spans="18:22" ht="36.75" customHeight="1" x14ac:dyDescent="0.15">
      <c r="R437">
        <v>6</v>
      </c>
      <c r="S437" t="str">
        <f>Q426&amp;"-"&amp;R437</f>
        <v>26-6</v>
      </c>
      <c r="T437" s="19" t="str">
        <f>_xlfn.XLOOKUP(S437,合格掲示用ワーク!L:L,合格掲示用ワーク!B:B,"",0,1)</f>
        <v/>
      </c>
      <c r="U437" s="20" t="str">
        <f>_xlfn.XLOOKUP(S437,合格掲示用ワーク!L:L,合格掲示用ワーク!C:C,"",0,1)</f>
        <v/>
      </c>
      <c r="V437" s="20" t="str">
        <f>_xlfn.XLOOKUP(S437,合格掲示用ワーク!L:L,合格掲示用ワーク!G:G,"",0,1)</f>
        <v/>
      </c>
    </row>
    <row r="438" spans="18:22" ht="36.75" customHeight="1" x14ac:dyDescent="0.15">
      <c r="R438">
        <v>7</v>
      </c>
      <c r="S438" t="str">
        <f>Q426&amp;"-"&amp;R438</f>
        <v>26-7</v>
      </c>
      <c r="T438" s="19" t="str">
        <f>_xlfn.XLOOKUP(S438,合格掲示用ワーク!L:L,合格掲示用ワーク!B:B,"",0,1)</f>
        <v/>
      </c>
      <c r="U438" s="20" t="str">
        <f>_xlfn.XLOOKUP(S438,合格掲示用ワーク!L:L,合格掲示用ワーク!C:C,"",0,1)</f>
        <v/>
      </c>
      <c r="V438" s="20" t="str">
        <f>_xlfn.XLOOKUP(S438,合格掲示用ワーク!L:L,合格掲示用ワーク!G:G,"",0,1)</f>
        <v/>
      </c>
    </row>
    <row r="439" spans="18:22" ht="36.75" customHeight="1" x14ac:dyDescent="0.15">
      <c r="R439">
        <v>8</v>
      </c>
      <c r="S439" t="str">
        <f>Q426&amp;"-"&amp;R439</f>
        <v>26-8</v>
      </c>
      <c r="T439" s="19" t="str">
        <f>_xlfn.XLOOKUP(S439,合格掲示用ワーク!L:L,合格掲示用ワーク!B:B,"",0,1)</f>
        <v/>
      </c>
      <c r="U439" s="20" t="str">
        <f>_xlfn.XLOOKUP(S439,合格掲示用ワーク!L:L,合格掲示用ワーク!C:C,"",0,1)</f>
        <v/>
      </c>
      <c r="V439" s="20" t="str">
        <f>_xlfn.XLOOKUP(S439,合格掲示用ワーク!L:L,合格掲示用ワーク!G:G,"",0,1)</f>
        <v/>
      </c>
    </row>
    <row r="440" spans="18:22" ht="36.75" customHeight="1" x14ac:dyDescent="0.15">
      <c r="R440" s="18">
        <v>9</v>
      </c>
      <c r="S440" t="str">
        <f>Q426&amp;"-"&amp;R440</f>
        <v>26-9</v>
      </c>
      <c r="T440" s="19" t="str">
        <f>_xlfn.XLOOKUP(S440,合格掲示用ワーク!L:L,合格掲示用ワーク!B:B,"",0,1)</f>
        <v/>
      </c>
      <c r="U440" s="20" t="str">
        <f>_xlfn.XLOOKUP(S440,合格掲示用ワーク!L:L,合格掲示用ワーク!C:C,"",0,1)</f>
        <v/>
      </c>
      <c r="V440" s="20" t="str">
        <f>_xlfn.XLOOKUP(S440,合格掲示用ワーク!L:L,合格掲示用ワーク!G:G,"",0,1)</f>
        <v/>
      </c>
    </row>
    <row r="441" spans="18:22" ht="36.75" customHeight="1" x14ac:dyDescent="0.15">
      <c r="R441">
        <v>10</v>
      </c>
      <c r="S441" t="str">
        <f>Q426&amp;"-"&amp;R441</f>
        <v>26-10</v>
      </c>
      <c r="T441" s="19" t="str">
        <f>_xlfn.XLOOKUP(S441,合格掲示用ワーク!L:L,合格掲示用ワーク!B:B,"",0,1)</f>
        <v/>
      </c>
      <c r="U441" s="20" t="str">
        <f>_xlfn.XLOOKUP(S441,合格掲示用ワーク!L:L,合格掲示用ワーク!C:C,"",0,1)</f>
        <v/>
      </c>
      <c r="V441" s="20" t="str">
        <f>_xlfn.XLOOKUP(S441,合格掲示用ワーク!L:L,合格掲示用ワーク!G:G,"",0,1)</f>
        <v/>
      </c>
    </row>
  </sheetData>
  <phoneticPr fontId="1"/>
  <pageMargins left="0" right="0" top="0" bottom="0" header="0" footer="0"/>
  <pageSetup paperSize="9"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70B2-B490-42C7-84DC-58E0B89C3074}">
  <dimension ref="A1:D38"/>
  <sheetViews>
    <sheetView topLeftCell="A10" workbookViewId="0">
      <selection activeCell="B23" sqref="B23"/>
    </sheetView>
  </sheetViews>
  <sheetFormatPr defaultRowHeight="13.5" x14ac:dyDescent="0.15"/>
  <cols>
    <col min="1" max="1" width="31" customWidth="1"/>
    <col min="2" max="2" width="54.625" style="33" customWidth="1"/>
    <col min="3" max="3" width="17.75" customWidth="1"/>
    <col min="4" max="4" width="16.125" customWidth="1"/>
  </cols>
  <sheetData>
    <row r="1" spans="1:4" x14ac:dyDescent="0.15">
      <c r="A1" t="s">
        <v>519</v>
      </c>
      <c r="B1" s="33" t="s">
        <v>520</v>
      </c>
      <c r="C1" t="s">
        <v>522</v>
      </c>
      <c r="D1" t="s">
        <v>523</v>
      </c>
    </row>
    <row r="2" spans="1:4" x14ac:dyDescent="0.15">
      <c r="A2" t="s">
        <v>521</v>
      </c>
      <c r="B2" s="33" t="s">
        <v>525</v>
      </c>
      <c r="C2" s="9">
        <v>45958</v>
      </c>
      <c r="D2" t="s">
        <v>524</v>
      </c>
    </row>
    <row r="3" spans="1:4" x14ac:dyDescent="0.15">
      <c r="A3" t="s">
        <v>528</v>
      </c>
      <c r="B3" s="33" t="s">
        <v>525</v>
      </c>
      <c r="C3" s="9">
        <v>45950</v>
      </c>
      <c r="D3" t="s">
        <v>527</v>
      </c>
    </row>
    <row r="4" spans="1:4" x14ac:dyDescent="0.15">
      <c r="A4" t="s">
        <v>526</v>
      </c>
      <c r="B4" s="33" t="s">
        <v>525</v>
      </c>
      <c r="C4" s="9">
        <v>45959</v>
      </c>
      <c r="D4" t="s">
        <v>527</v>
      </c>
    </row>
    <row r="5" spans="1:4" x14ac:dyDescent="0.15">
      <c r="A5" t="s">
        <v>529</v>
      </c>
      <c r="B5" s="33" t="s">
        <v>525</v>
      </c>
      <c r="C5" s="9">
        <v>45954</v>
      </c>
      <c r="D5" t="s">
        <v>527</v>
      </c>
    </row>
    <row r="6" spans="1:4" x14ac:dyDescent="0.15">
      <c r="A6" t="s">
        <v>513</v>
      </c>
      <c r="B6" s="33" t="s">
        <v>547</v>
      </c>
      <c r="C6" s="9">
        <v>45950</v>
      </c>
      <c r="D6" t="s">
        <v>527</v>
      </c>
    </row>
    <row r="7" spans="1:4" ht="27" x14ac:dyDescent="0.15">
      <c r="A7" t="s">
        <v>545</v>
      </c>
      <c r="B7" s="33" t="s">
        <v>546</v>
      </c>
      <c r="C7" s="9">
        <v>45960</v>
      </c>
      <c r="D7" t="s">
        <v>527</v>
      </c>
    </row>
    <row r="8" spans="1:4" ht="40.5" x14ac:dyDescent="0.15">
      <c r="A8" t="s">
        <v>502</v>
      </c>
      <c r="B8" s="33" t="s">
        <v>549</v>
      </c>
      <c r="C8" s="9">
        <v>45960</v>
      </c>
      <c r="D8" t="s">
        <v>527</v>
      </c>
    </row>
    <row r="9" spans="1:4" ht="27" x14ac:dyDescent="0.15">
      <c r="A9" t="s">
        <v>17</v>
      </c>
      <c r="B9" s="33" t="s">
        <v>550</v>
      </c>
      <c r="C9" s="9">
        <v>45899</v>
      </c>
      <c r="D9" t="s">
        <v>527</v>
      </c>
    </row>
    <row r="10" spans="1:4" ht="40.5" x14ac:dyDescent="0.15">
      <c r="A10" t="s">
        <v>313</v>
      </c>
      <c r="B10" s="33" t="s">
        <v>551</v>
      </c>
      <c r="C10" s="9">
        <v>45959</v>
      </c>
      <c r="D10" t="s">
        <v>552</v>
      </c>
    </row>
    <row r="11" spans="1:4" ht="121.5" x14ac:dyDescent="0.15">
      <c r="A11" t="s">
        <v>502</v>
      </c>
      <c r="B11" s="33" t="s">
        <v>654</v>
      </c>
      <c r="C11" s="9">
        <v>45938</v>
      </c>
      <c r="D11" t="s">
        <v>552</v>
      </c>
    </row>
    <row r="12" spans="1:4" ht="27" x14ac:dyDescent="0.15">
      <c r="A12" t="s">
        <v>553</v>
      </c>
      <c r="B12" s="33" t="s">
        <v>575</v>
      </c>
      <c r="C12" s="9">
        <v>45931</v>
      </c>
      <c r="D12" t="s">
        <v>552</v>
      </c>
    </row>
    <row r="13" spans="1:4" x14ac:dyDescent="0.15">
      <c r="A13" t="s">
        <v>558</v>
      </c>
      <c r="B13" s="33" t="s">
        <v>632</v>
      </c>
      <c r="C13" s="9">
        <v>45959</v>
      </c>
      <c r="D13" t="s">
        <v>559</v>
      </c>
    </row>
    <row r="14" spans="1:4" x14ac:dyDescent="0.15">
      <c r="A14" t="s">
        <v>560</v>
      </c>
      <c r="B14" s="33" t="s">
        <v>525</v>
      </c>
      <c r="C14" s="9">
        <v>45965</v>
      </c>
      <c r="D14" t="s">
        <v>527</v>
      </c>
    </row>
    <row r="15" spans="1:4" x14ac:dyDescent="0.15">
      <c r="A15" t="s">
        <v>570</v>
      </c>
      <c r="B15" s="33" t="s">
        <v>525</v>
      </c>
      <c r="C15" s="9">
        <v>45967</v>
      </c>
      <c r="D15" t="s">
        <v>527</v>
      </c>
    </row>
    <row r="16" spans="1:4" ht="148.5" x14ac:dyDescent="0.15">
      <c r="A16" t="s">
        <v>531</v>
      </c>
      <c r="B16" s="33" t="s">
        <v>677</v>
      </c>
      <c r="C16" s="9">
        <v>45967</v>
      </c>
      <c r="D16" t="s">
        <v>571</v>
      </c>
    </row>
    <row r="17" spans="1:4" ht="40.5" x14ac:dyDescent="0.15">
      <c r="A17" t="s">
        <v>573</v>
      </c>
      <c r="B17" s="33" t="s">
        <v>574</v>
      </c>
      <c r="C17" s="9">
        <v>45967</v>
      </c>
      <c r="D17" t="s">
        <v>572</v>
      </c>
    </row>
    <row r="18" spans="1:4" x14ac:dyDescent="0.15">
      <c r="A18" t="s">
        <v>558</v>
      </c>
      <c r="B18" s="33" t="s">
        <v>585</v>
      </c>
      <c r="C18" s="9">
        <v>45972</v>
      </c>
      <c r="D18" t="s">
        <v>527</v>
      </c>
    </row>
    <row r="19" spans="1:4" ht="40.5" x14ac:dyDescent="0.15">
      <c r="A19" t="s">
        <v>582</v>
      </c>
      <c r="B19" s="33" t="s">
        <v>583</v>
      </c>
      <c r="C19" s="9">
        <v>45972</v>
      </c>
      <c r="D19" t="s">
        <v>524</v>
      </c>
    </row>
    <row r="20" spans="1:4" ht="54" x14ac:dyDescent="0.15">
      <c r="A20" t="s">
        <v>286</v>
      </c>
      <c r="B20" s="33" t="s">
        <v>584</v>
      </c>
      <c r="C20" s="9">
        <v>45972</v>
      </c>
      <c r="D20" t="s">
        <v>572</v>
      </c>
    </row>
    <row r="21" spans="1:4" ht="108" x14ac:dyDescent="0.15">
      <c r="A21" s="33" t="s">
        <v>587</v>
      </c>
      <c r="B21" s="33" t="s">
        <v>634</v>
      </c>
      <c r="C21" s="9">
        <v>45974</v>
      </c>
      <c r="D21" t="s">
        <v>527</v>
      </c>
    </row>
    <row r="22" spans="1:4" x14ac:dyDescent="0.15">
      <c r="A22" t="s">
        <v>588</v>
      </c>
      <c r="B22" s="33" t="s">
        <v>525</v>
      </c>
      <c r="C22" s="9">
        <v>45974</v>
      </c>
      <c r="D22" t="s">
        <v>527</v>
      </c>
    </row>
    <row r="23" spans="1:4" ht="148.5" x14ac:dyDescent="0.15">
      <c r="A23" t="s">
        <v>590</v>
      </c>
      <c r="B23" s="33" t="s">
        <v>591</v>
      </c>
      <c r="C23" s="9">
        <v>45975</v>
      </c>
      <c r="D23" t="s">
        <v>592</v>
      </c>
    </row>
    <row r="24" spans="1:4" ht="67.5" x14ac:dyDescent="0.15">
      <c r="A24" t="s">
        <v>593</v>
      </c>
      <c r="B24" s="33" t="s">
        <v>594</v>
      </c>
      <c r="C24" s="9">
        <v>45978</v>
      </c>
      <c r="D24" t="s">
        <v>527</v>
      </c>
    </row>
    <row r="25" spans="1:4" ht="121.5" x14ac:dyDescent="0.15">
      <c r="A25" t="s">
        <v>628</v>
      </c>
      <c r="B25" s="33" t="s">
        <v>629</v>
      </c>
      <c r="C25" s="9">
        <v>45981</v>
      </c>
      <c r="D25" t="s">
        <v>527</v>
      </c>
    </row>
    <row r="26" spans="1:4" ht="27" x14ac:dyDescent="0.15">
      <c r="A26" t="s">
        <v>631</v>
      </c>
      <c r="B26" s="33" t="s">
        <v>633</v>
      </c>
      <c r="C26" s="9">
        <v>45986</v>
      </c>
      <c r="D26" t="s">
        <v>572</v>
      </c>
    </row>
    <row r="27" spans="1:4" ht="67.5" x14ac:dyDescent="0.15">
      <c r="A27" t="s">
        <v>635</v>
      </c>
      <c r="B27" s="33" t="s">
        <v>636</v>
      </c>
      <c r="C27" s="9">
        <v>45988</v>
      </c>
      <c r="D27" t="s">
        <v>527</v>
      </c>
    </row>
    <row r="28" spans="1:4" ht="27" x14ac:dyDescent="0.15">
      <c r="A28" t="s">
        <v>638</v>
      </c>
      <c r="B28" s="33" t="s">
        <v>639</v>
      </c>
      <c r="C28" s="9">
        <v>45992</v>
      </c>
      <c r="D28" t="s">
        <v>527</v>
      </c>
    </row>
    <row r="29" spans="1:4" ht="118.5" customHeight="1" x14ac:dyDescent="0.15">
      <c r="A29" t="s">
        <v>597</v>
      </c>
      <c r="B29" s="40" t="s">
        <v>660</v>
      </c>
      <c r="C29" s="9">
        <v>45993</v>
      </c>
      <c r="D29" t="s">
        <v>524</v>
      </c>
    </row>
    <row r="30" spans="1:4" ht="49.5" customHeight="1" x14ac:dyDescent="0.15">
      <c r="A30" t="s">
        <v>649</v>
      </c>
      <c r="B30" s="40" t="s">
        <v>650</v>
      </c>
      <c r="C30" s="9">
        <v>45999</v>
      </c>
      <c r="D30" t="s">
        <v>524</v>
      </c>
    </row>
    <row r="31" spans="1:4" x14ac:dyDescent="0.15">
      <c r="A31" t="s">
        <v>662</v>
      </c>
      <c r="B31" s="33" t="s">
        <v>525</v>
      </c>
      <c r="C31" s="9">
        <v>46002</v>
      </c>
      <c r="D31" t="s">
        <v>527</v>
      </c>
    </row>
    <row r="32" spans="1:4" x14ac:dyDescent="0.15">
      <c r="A32" t="s">
        <v>663</v>
      </c>
      <c r="B32" s="33" t="s">
        <v>525</v>
      </c>
      <c r="C32" s="9">
        <v>46002</v>
      </c>
      <c r="D32" t="s">
        <v>527</v>
      </c>
    </row>
    <row r="33" spans="1:4" x14ac:dyDescent="0.15">
      <c r="A33" t="s">
        <v>664</v>
      </c>
      <c r="B33" s="33" t="s">
        <v>525</v>
      </c>
      <c r="C33" s="9">
        <v>46002</v>
      </c>
      <c r="D33" t="s">
        <v>527</v>
      </c>
    </row>
    <row r="34" spans="1:4" ht="67.5" x14ac:dyDescent="0.15">
      <c r="A34" t="s">
        <v>393</v>
      </c>
      <c r="B34" s="33" t="s">
        <v>665</v>
      </c>
      <c r="C34" s="9">
        <v>46006</v>
      </c>
      <c r="D34" t="s">
        <v>527</v>
      </c>
    </row>
    <row r="35" spans="1:4" ht="78" customHeight="1" x14ac:dyDescent="0.15">
      <c r="A35" t="s">
        <v>666</v>
      </c>
      <c r="B35" s="33" t="s">
        <v>667</v>
      </c>
      <c r="C35" s="9">
        <v>46007</v>
      </c>
      <c r="D35" t="s">
        <v>524</v>
      </c>
    </row>
    <row r="36" spans="1:4" ht="120.75" customHeight="1" x14ac:dyDescent="0.15">
      <c r="A36" t="s">
        <v>668</v>
      </c>
      <c r="B36" s="33" t="s">
        <v>669</v>
      </c>
      <c r="C36" s="9">
        <v>46007</v>
      </c>
      <c r="D36" t="s">
        <v>524</v>
      </c>
    </row>
    <row r="37" spans="1:4" ht="72" customHeight="1" x14ac:dyDescent="0.15">
      <c r="A37" t="s">
        <v>670</v>
      </c>
      <c r="B37" s="33" t="s">
        <v>671</v>
      </c>
      <c r="C37" s="9">
        <v>46007</v>
      </c>
      <c r="D37" t="s">
        <v>524</v>
      </c>
    </row>
    <row r="38" spans="1:4" ht="75" customHeight="1" x14ac:dyDescent="0.15">
      <c r="A38" t="s">
        <v>689</v>
      </c>
      <c r="B38" s="41" t="s">
        <v>690</v>
      </c>
      <c r="C38" s="9">
        <v>46015</v>
      </c>
      <c r="D38" t="s">
        <v>571</v>
      </c>
    </row>
  </sheetData>
  <phoneticPr fontId="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AB50-8E75-481C-85A0-BAFB585832B0}">
  <dimension ref="A1:C11"/>
  <sheetViews>
    <sheetView workbookViewId="0">
      <selection activeCell="C7" sqref="C7"/>
    </sheetView>
  </sheetViews>
  <sheetFormatPr defaultRowHeight="13.5" x14ac:dyDescent="0.15"/>
  <cols>
    <col min="1" max="1" width="12.375" customWidth="1"/>
    <col min="3" max="3" width="13.5" bestFit="1" customWidth="1"/>
  </cols>
  <sheetData>
    <row r="1" spans="1:3" x14ac:dyDescent="0.15">
      <c r="A1" t="s">
        <v>23</v>
      </c>
      <c r="C1" t="s">
        <v>32</v>
      </c>
    </row>
    <row r="2" spans="1:3" x14ac:dyDescent="0.15">
      <c r="A2" s="1">
        <v>45809</v>
      </c>
      <c r="C2" s="2" t="s">
        <v>33</v>
      </c>
    </row>
    <row r="3" spans="1:3" x14ac:dyDescent="0.15">
      <c r="A3" s="1">
        <v>45839</v>
      </c>
      <c r="C3" t="s">
        <v>34</v>
      </c>
    </row>
    <row r="4" spans="1:3" x14ac:dyDescent="0.15">
      <c r="A4" s="1">
        <v>45870</v>
      </c>
      <c r="C4" t="s">
        <v>35</v>
      </c>
    </row>
    <row r="5" spans="1:3" x14ac:dyDescent="0.15">
      <c r="A5" s="1">
        <v>45901</v>
      </c>
      <c r="C5" t="s">
        <v>37</v>
      </c>
    </row>
    <row r="6" spans="1:3" x14ac:dyDescent="0.15">
      <c r="A6" s="1">
        <v>45931</v>
      </c>
      <c r="C6" t="s">
        <v>36</v>
      </c>
    </row>
    <row r="7" spans="1:3" x14ac:dyDescent="0.15">
      <c r="A7" s="1">
        <v>45962</v>
      </c>
    </row>
    <row r="8" spans="1:3" x14ac:dyDescent="0.15">
      <c r="A8" s="1">
        <v>45992</v>
      </c>
    </row>
    <row r="9" spans="1:3" x14ac:dyDescent="0.15">
      <c r="A9" s="1">
        <v>46023</v>
      </c>
    </row>
    <row r="10" spans="1:3" x14ac:dyDescent="0.15">
      <c r="A10" s="1">
        <v>46054</v>
      </c>
    </row>
    <row r="11" spans="1:3" x14ac:dyDescent="0.15">
      <c r="A11" s="1">
        <v>46082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進路状況入力シート</vt:lpstr>
      <vt:lpstr>【印刷用】進路状況入力シート</vt:lpstr>
      <vt:lpstr>学生別進路確定閲覧シート</vt:lpstr>
      <vt:lpstr>合格掲示用ワーク</vt:lpstr>
      <vt:lpstr>上部データ更新用</vt:lpstr>
      <vt:lpstr>分析</vt:lpstr>
      <vt:lpstr>合格掲示印刷用</vt:lpstr>
      <vt:lpstr>募集状況の情報</vt:lpstr>
      <vt:lpstr>選択肢</vt:lpstr>
      <vt:lpstr>【印刷用】進路状況入力シート!Print_Area</vt:lpstr>
      <vt:lpstr>合格掲示印刷用!Print_Area</vt:lpstr>
      <vt:lpstr>進路状況入力シート!Print_Area</vt:lpstr>
      <vt:lpstr>分析!Print_Area</vt:lpstr>
      <vt:lpstr>【印刷用】進路状況入力シート!Print_Titles</vt:lpstr>
      <vt:lpstr>時期選択肢</vt:lpstr>
      <vt:lpstr>進路区分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kobe-gkgjp</dc:creator>
  <cp:lastModifiedBy>亮一 北條</cp:lastModifiedBy>
  <cp:lastPrinted>2026-04-10T06:56:38Z</cp:lastPrinted>
  <dcterms:created xsi:type="dcterms:W3CDTF">2018-12-04T03:13:14Z</dcterms:created>
  <dcterms:modified xsi:type="dcterms:W3CDTF">2026-06-09T06:11:59Z</dcterms:modified>
</cp:coreProperties>
</file>