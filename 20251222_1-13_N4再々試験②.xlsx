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2022-04pc\教務室共有ファイル\学生状況\テスト結果\定期テスト\2025年度\校内模擬試験\N4\"/>
    </mc:Choice>
  </mc:AlternateContent>
  <xr:revisionPtr revIDLastSave="0" documentId="13_ncr:1_{F2374924-8BFE-45F2-9223-88B5BE48B926}" xr6:coauthVersionLast="47" xr6:coauthVersionMax="47" xr10:uidLastSave="{00000000-0000-0000-0000-000000000000}"/>
  <bookViews>
    <workbookView xWindow="3420" yWindow="0" windowWidth="19635" windowHeight="14295" activeTab="3" xr2:uid="{54B56E93-1AEF-4605-967E-26F7C7B83E6E}"/>
  </bookViews>
  <sheets>
    <sheet name="設定" sheetId="10" r:id="rId1"/>
    <sheet name="受験者" sheetId="6" r:id="rId2"/>
    <sheet name="解答入力" sheetId="1" r:id="rId3"/>
    <sheet name="集計" sheetId="7" r:id="rId4"/>
    <sheet name="学生配布用" sheetId="5" r:id="rId5"/>
    <sheet name="試験情報" sheetId="8" r:id="rId6"/>
    <sheet name="レベル別情報" sheetId="12" r:id="rId7"/>
    <sheet name="→ここから右のシートは試験ごとの解答を入力" sheetId="11" r:id="rId8"/>
    <sheet name="公式問題集第二集 N5" sheetId="9" r:id="rId9"/>
    <sheet name="公式問題集第二集 N4" sheetId="13" r:id="rId10"/>
    <sheet name="公式問題集第二集 N3" sheetId="15" r:id="rId11"/>
    <sheet name="完全模試N3第1回" sheetId="14" r:id="rId12"/>
    <sheet name="完全模試N4第3回" sheetId="16" r:id="rId13"/>
    <sheet name="完全模試N5第1回" sheetId="17" r:id="rId14"/>
    <sheet name="完全模試N4第2回" sheetId="18" r:id="rId15"/>
  </sheets>
  <externalReferences>
    <externalReference r:id="rId16"/>
  </externalReferences>
  <definedNames>
    <definedName name="_xlnm.Print_Area" localSheetId="2">解答入力!$A$1:$AD$99</definedName>
    <definedName name="_xlnm.Print_Area" localSheetId="4">学生配布用!$A$1:$P$21</definedName>
    <definedName name="_xlnm.Print_Titles" localSheetId="4">学生配布用!$1:$1</definedName>
    <definedName name="試験名">設定!$A$2</definedName>
    <definedName name="試験名一覧" localSheetId="13">T_試験[書籍名および実施回]</definedName>
    <definedName name="試験名一覧">T_試験[書籍名および実施回]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8" l="1"/>
  <c r="J10" i="8" l="1"/>
  <c r="L10" i="8" s="1"/>
  <c r="I10" i="8"/>
  <c r="H10" i="8"/>
  <c r="K1" i="18"/>
  <c r="C1" i="17"/>
  <c r="H9" i="8"/>
  <c r="I9" i="8" s="1"/>
  <c r="C1" i="16"/>
  <c r="H8" i="8"/>
  <c r="I8" i="8" s="1"/>
  <c r="C1" i="15"/>
  <c r="N10" i="8" l="1"/>
  <c r="M10" i="8"/>
  <c r="K10" i="8"/>
  <c r="D1" i="18"/>
  <c r="F1" i="18"/>
  <c r="G1" i="18"/>
  <c r="H1" i="18"/>
  <c r="E1" i="18"/>
  <c r="I1" i="18"/>
  <c r="J1" i="18"/>
  <c r="E1" i="17"/>
  <c r="D1" i="17"/>
  <c r="F1" i="17"/>
  <c r="J9" i="8"/>
  <c r="K9" i="8" s="1"/>
  <c r="H1" i="17" s="1"/>
  <c r="L9" i="8"/>
  <c r="I1" i="17" s="1"/>
  <c r="D1" i="16"/>
  <c r="E1" i="16"/>
  <c r="F1" i="16"/>
  <c r="G1" i="16"/>
  <c r="D1" i="15"/>
  <c r="J8" i="8"/>
  <c r="H7" i="8"/>
  <c r="I7" i="8"/>
  <c r="J7" i="8"/>
  <c r="K7" i="8"/>
  <c r="L7" i="8"/>
  <c r="M7" i="8"/>
  <c r="N7" i="8"/>
  <c r="C1" i="14"/>
  <c r="C1" i="13"/>
  <c r="G1" i="17" l="1"/>
  <c r="A31" i="18" a="1"/>
  <c r="A31" i="18" s="1"/>
  <c r="A97" i="18" a="1"/>
  <c r="A97" i="18" s="1"/>
  <c r="A91" i="18" a="1"/>
  <c r="A91" i="18" s="1"/>
  <c r="A85" i="18" a="1"/>
  <c r="A85" i="18" s="1"/>
  <c r="A79" i="18" a="1"/>
  <c r="A79" i="18" s="1"/>
  <c r="A73" i="18" a="1"/>
  <c r="A73" i="18" s="1"/>
  <c r="A67" i="18" a="1"/>
  <c r="A67" i="18" s="1"/>
  <c r="A61" i="18" a="1"/>
  <c r="A61" i="18" s="1"/>
  <c r="A55" i="18" a="1"/>
  <c r="A55" i="18" s="1"/>
  <c r="A49" i="18" a="1"/>
  <c r="A49" i="18" s="1"/>
  <c r="A43" i="18" a="1"/>
  <c r="A43" i="18" s="1"/>
  <c r="A37" i="18" a="1"/>
  <c r="A37" i="18" s="1"/>
  <c r="A25" i="18" a="1"/>
  <c r="A25" i="18" s="1"/>
  <c r="A19" i="18" a="1"/>
  <c r="A19" i="18" s="1"/>
  <c r="A13" i="18" a="1"/>
  <c r="A13" i="18" s="1"/>
  <c r="A7" i="18" a="1"/>
  <c r="A7" i="18" s="1"/>
  <c r="A89" i="18" a="1"/>
  <c r="A89" i="18" s="1"/>
  <c r="A59" i="18" a="1"/>
  <c r="A59" i="18" s="1"/>
  <c r="A47" i="18" a="1"/>
  <c r="A47" i="18" s="1"/>
  <c r="A29" i="18" a="1"/>
  <c r="A29" i="18" s="1"/>
  <c r="A5" i="18" a="1"/>
  <c r="A5" i="18" s="1"/>
  <c r="A88" i="18" a="1"/>
  <c r="A88" i="18" s="1"/>
  <c r="A64" i="18" a="1"/>
  <c r="A64" i="18" s="1"/>
  <c r="A40" i="18" a="1"/>
  <c r="A40" i="18" s="1"/>
  <c r="A22" i="18" a="1"/>
  <c r="A22" i="18" s="1"/>
  <c r="A4" i="18" a="1"/>
  <c r="A4" i="18" s="1"/>
  <c r="A24" i="18" a="1"/>
  <c r="A24" i="18" s="1"/>
  <c r="A95" i="18" a="1"/>
  <c r="A95" i="18" s="1"/>
  <c r="A65" i="18" a="1"/>
  <c r="A65" i="18" s="1"/>
  <c r="A41" i="18" a="1"/>
  <c r="A41" i="18" s="1"/>
  <c r="A17" i="18" a="1"/>
  <c r="A17" i="18" s="1"/>
  <c r="A82" i="18" a="1"/>
  <c r="A82" i="18" s="1"/>
  <c r="A76" i="18" a="1"/>
  <c r="A76" i="18" s="1"/>
  <c r="A58" i="18" a="1"/>
  <c r="A58" i="18" s="1"/>
  <c r="A46" i="18" a="1"/>
  <c r="A46" i="18" s="1"/>
  <c r="A34" i="18" a="1"/>
  <c r="A34" i="18" s="1"/>
  <c r="A16" i="18" a="1"/>
  <c r="A16" i="18" s="1"/>
  <c r="A96" i="18" a="1"/>
  <c r="A96" i="18" s="1"/>
  <c r="A90" i="18" a="1"/>
  <c r="A90" i="18" s="1"/>
  <c r="A84" i="18" a="1"/>
  <c r="A84" i="18" s="1"/>
  <c r="A78" i="18" a="1"/>
  <c r="A78" i="18" s="1"/>
  <c r="A72" i="18" a="1"/>
  <c r="A72" i="18" s="1"/>
  <c r="A66" i="18" a="1"/>
  <c r="A66" i="18" s="1"/>
  <c r="A60" i="18" a="1"/>
  <c r="A60" i="18" s="1"/>
  <c r="A54" i="18" a="1"/>
  <c r="A54" i="18" s="1"/>
  <c r="A48" i="18" a="1"/>
  <c r="A48" i="18" s="1"/>
  <c r="A42" i="18" a="1"/>
  <c r="A42" i="18" s="1"/>
  <c r="A36" i="18" a="1"/>
  <c r="A36" i="18" s="1"/>
  <c r="A30" i="18" a="1"/>
  <c r="A30" i="18" s="1"/>
  <c r="A18" i="18" a="1"/>
  <c r="A18" i="18" s="1"/>
  <c r="A12" i="18" a="1"/>
  <c r="A12" i="18" s="1"/>
  <c r="A6" i="18" a="1"/>
  <c r="A6" i="18" s="1"/>
  <c r="A83" i="18" a="1"/>
  <c r="A83" i="18" s="1"/>
  <c r="A77" i="18" a="1"/>
  <c r="A77" i="18" s="1"/>
  <c r="A71" i="18" a="1"/>
  <c r="A71" i="18" s="1"/>
  <c r="A53" i="18" a="1"/>
  <c r="A53" i="18" s="1"/>
  <c r="A35" i="18" a="1"/>
  <c r="A35" i="18" s="1"/>
  <c r="A23" i="18" a="1"/>
  <c r="A23" i="18" s="1"/>
  <c r="A11" i="18" a="1"/>
  <c r="A11" i="18" s="1"/>
  <c r="A94" i="18" a="1"/>
  <c r="A94" i="18" s="1"/>
  <c r="A70" i="18" a="1"/>
  <c r="A70" i="18" s="1"/>
  <c r="A52" i="18" a="1"/>
  <c r="A52" i="18" s="1"/>
  <c r="A28" i="18" a="1"/>
  <c r="A28" i="18" s="1"/>
  <c r="A10" i="18" a="1"/>
  <c r="A10" i="18" s="1"/>
  <c r="A93" i="18" a="1"/>
  <c r="A93" i="18" s="1"/>
  <c r="A87" i="18" a="1"/>
  <c r="A87" i="18" s="1"/>
  <c r="A81" i="18" a="1"/>
  <c r="A81" i="18" s="1"/>
  <c r="A75" i="18" a="1"/>
  <c r="A75" i="18" s="1"/>
  <c r="A69" i="18" a="1"/>
  <c r="A69" i="18" s="1"/>
  <c r="A63" i="18" a="1"/>
  <c r="A63" i="18" s="1"/>
  <c r="A57" i="18" a="1"/>
  <c r="A57" i="18" s="1"/>
  <c r="A51" i="18" a="1"/>
  <c r="A51" i="18" s="1"/>
  <c r="A45" i="18" a="1"/>
  <c r="A45" i="18" s="1"/>
  <c r="A39" i="18" a="1"/>
  <c r="A39" i="18" s="1"/>
  <c r="A33" i="18" a="1"/>
  <c r="A33" i="18" s="1"/>
  <c r="A27" i="18" a="1"/>
  <c r="A27" i="18" s="1"/>
  <c r="A21" i="18" a="1"/>
  <c r="A21" i="18" s="1"/>
  <c r="A15" i="18" a="1"/>
  <c r="A15" i="18" s="1"/>
  <c r="A9" i="18" a="1"/>
  <c r="A9" i="18" s="1"/>
  <c r="A3" i="18" a="1"/>
  <c r="A3" i="18" s="1"/>
  <c r="A1" i="18" a="1"/>
  <c r="A1" i="18" s="1"/>
  <c r="A92" i="18" a="1"/>
  <c r="A92" i="18" s="1"/>
  <c r="A86" i="18" a="1"/>
  <c r="A86" i="18" s="1"/>
  <c r="A80" i="18" a="1"/>
  <c r="A80" i="18" s="1"/>
  <c r="A74" i="18" a="1"/>
  <c r="A74" i="18" s="1"/>
  <c r="A68" i="18" a="1"/>
  <c r="A68" i="18" s="1"/>
  <c r="A62" i="18" a="1"/>
  <c r="A62" i="18" s="1"/>
  <c r="A56" i="18" a="1"/>
  <c r="A56" i="18" s="1"/>
  <c r="A50" i="18" a="1"/>
  <c r="A50" i="18" s="1"/>
  <c r="A44" i="18" a="1"/>
  <c r="A44" i="18" s="1"/>
  <c r="A38" i="18" a="1"/>
  <c r="A38" i="18" s="1"/>
  <c r="A32" i="18" a="1"/>
  <c r="A32" i="18" s="1"/>
  <c r="A26" i="18" a="1"/>
  <c r="A26" i="18" s="1"/>
  <c r="A20" i="18" a="1"/>
  <c r="A20" i="18" s="1"/>
  <c r="A14" i="18" a="1"/>
  <c r="A14" i="18" s="1"/>
  <c r="A8" i="18" a="1"/>
  <c r="A8" i="18" s="1"/>
  <c r="A2" i="18" a="1"/>
  <c r="A2" i="18" s="1"/>
  <c r="M9" i="8"/>
  <c r="J1" i="17" s="1"/>
  <c r="N9" i="8"/>
  <c r="K1" i="17" s="1"/>
  <c r="K1" i="14"/>
  <c r="J1" i="14"/>
  <c r="I1" i="14"/>
  <c r="H1" i="14"/>
  <c r="G1" i="14"/>
  <c r="F1" i="14"/>
  <c r="E1" i="14"/>
  <c r="D1" i="14"/>
  <c r="K8" i="8"/>
  <c r="H1" i="16" s="1"/>
  <c r="L8" i="8"/>
  <c r="I1" i="16" s="1"/>
  <c r="D1" i="13"/>
  <c r="A76" i="17" l="1" a="1"/>
  <c r="A76" i="17" s="1"/>
  <c r="A37" i="17" a="1"/>
  <c r="A37" i="17" s="1"/>
  <c r="A86" i="17" a="1"/>
  <c r="A86" i="17" s="1"/>
  <c r="A92" i="17" a="1"/>
  <c r="A92" i="17" s="1"/>
  <c r="A44" i="17" a="1"/>
  <c r="A44" i="17" s="1"/>
  <c r="A88" i="17" a="1"/>
  <c r="A88" i="17" s="1"/>
  <c r="A89" i="17" a="1"/>
  <c r="A89" i="17" s="1"/>
  <c r="A95" i="17" a="1"/>
  <c r="A95" i="17" s="1"/>
  <c r="A74" i="17" a="1"/>
  <c r="A74" i="17" s="1"/>
  <c r="A96" i="17" a="1"/>
  <c r="A96" i="17" s="1"/>
  <c r="A31" i="17" a="1"/>
  <c r="A31" i="17" s="1"/>
  <c r="A6" i="17" a="1"/>
  <c r="A6" i="17" s="1"/>
  <c r="A39" i="17" a="1"/>
  <c r="A39" i="17" s="1"/>
  <c r="A49" i="17" a="1"/>
  <c r="A49" i="17" s="1"/>
  <c r="A69" i="17" a="1"/>
  <c r="A69" i="17" s="1"/>
  <c r="A51" i="17" a="1"/>
  <c r="A51" i="17" s="1"/>
  <c r="A82" i="17" a="1"/>
  <c r="A82" i="17" s="1"/>
  <c r="A18" i="17" a="1"/>
  <c r="A18" i="17" s="1"/>
  <c r="A55" i="17" a="1"/>
  <c r="A55" i="17" s="1"/>
  <c r="A15" i="17" a="1"/>
  <c r="A15" i="17" s="1"/>
  <c r="A45" i="17" a="1"/>
  <c r="A45" i="17" s="1"/>
  <c r="A65" i="17" a="1"/>
  <c r="A65" i="17" s="1"/>
  <c r="A12" i="17" a="1"/>
  <c r="A12" i="17" s="1"/>
  <c r="A46" i="17" a="1"/>
  <c r="A46" i="17" s="1"/>
  <c r="A57" i="17" a="1"/>
  <c r="A57" i="17" s="1"/>
  <c r="A5" i="17" a="1"/>
  <c r="A5" i="17" s="1"/>
  <c r="A24" i="17" a="1"/>
  <c r="A24" i="17" s="1"/>
  <c r="A61" i="17" a="1"/>
  <c r="A61" i="17" s="1"/>
  <c r="A63" i="17" a="1"/>
  <c r="A63" i="17" s="1"/>
  <c r="A60" i="17" a="1"/>
  <c r="A60" i="17" s="1"/>
  <c r="A50" i="17" a="1"/>
  <c r="A50" i="17" s="1"/>
  <c r="A75" i="17" a="1"/>
  <c r="A75" i="17" s="1"/>
  <c r="A23" i="17" a="1"/>
  <c r="A23" i="17" s="1"/>
  <c r="A66" i="17" a="1"/>
  <c r="A66" i="17" s="1"/>
  <c r="A73" i="17" a="1"/>
  <c r="A73" i="17" s="1"/>
  <c r="A17" i="17" a="1"/>
  <c r="A17" i="17" s="1"/>
  <c r="A94" i="17" a="1"/>
  <c r="A94" i="17" s="1"/>
  <c r="A11" i="17" a="1"/>
  <c r="A11" i="17" s="1"/>
  <c r="A67" i="17" a="1"/>
  <c r="A67" i="17" s="1"/>
  <c r="A56" i="17" a="1"/>
  <c r="A56" i="17" s="1"/>
  <c r="A81" i="17" a="1"/>
  <c r="A81" i="17" s="1"/>
  <c r="A29" i="17" a="1"/>
  <c r="A29" i="17" s="1"/>
  <c r="A72" i="17" a="1"/>
  <c r="A72" i="17" s="1"/>
  <c r="A62" i="17" a="1"/>
  <c r="A62" i="17" s="1"/>
  <c r="A35" i="17" a="1"/>
  <c r="A35" i="17" s="1"/>
  <c r="A78" i="17" a="1"/>
  <c r="A78" i="17" s="1"/>
  <c r="A68" i="17" a="1"/>
  <c r="A68" i="17" s="1"/>
  <c r="A52" i="17" a="1"/>
  <c r="A52" i="17" s="1"/>
  <c r="A41" i="17" a="1"/>
  <c r="A41" i="17" s="1"/>
  <c r="A84" i="17" a="1"/>
  <c r="A84" i="17" s="1"/>
  <c r="A33" i="17" a="1"/>
  <c r="A33" i="17" s="1"/>
  <c r="A43" i="17" a="1"/>
  <c r="A43" i="17" s="1"/>
  <c r="A34" i="17" a="1"/>
  <c r="A34" i="17" s="1"/>
  <c r="A91" i="17" a="1"/>
  <c r="A91" i="17" s="1"/>
  <c r="A80" i="17" a="1"/>
  <c r="A80" i="17" s="1"/>
  <c r="A64" i="17" a="1"/>
  <c r="A64" i="17" s="1"/>
  <c r="A83" i="17" a="1"/>
  <c r="A83" i="17" s="1"/>
  <c r="A90" i="17" a="1"/>
  <c r="A90" i="17" s="1"/>
  <c r="A2" i="17" a="1"/>
  <c r="A2" i="17" s="1"/>
  <c r="A1" i="17" a="1"/>
  <c r="A1" i="17" s="1"/>
  <c r="A87" i="17" a="1"/>
  <c r="A87" i="17" s="1"/>
  <c r="A16" i="17" a="1"/>
  <c r="A16" i="17" s="1"/>
  <c r="A47" i="17" a="1"/>
  <c r="A47" i="17" s="1"/>
  <c r="A30" i="17" a="1"/>
  <c r="A30" i="17" s="1"/>
  <c r="A7" i="17" a="1"/>
  <c r="A7" i="17" s="1"/>
  <c r="A79" i="17" a="1"/>
  <c r="A79" i="17" s="1"/>
  <c r="A8" i="17" a="1"/>
  <c r="A8" i="17" s="1"/>
  <c r="A3" i="17" a="1"/>
  <c r="A3" i="17" s="1"/>
  <c r="A93" i="17" a="1"/>
  <c r="A93" i="17" s="1"/>
  <c r="A28" i="17" a="1"/>
  <c r="A28" i="17" s="1"/>
  <c r="A53" i="17" a="1"/>
  <c r="A53" i="17" s="1"/>
  <c r="A36" i="17" a="1"/>
  <c r="A36" i="17" s="1"/>
  <c r="A13" i="17" a="1"/>
  <c r="A13" i="17" s="1"/>
  <c r="A85" i="17" a="1"/>
  <c r="A85" i="17" s="1"/>
  <c r="A20" i="17" a="1"/>
  <c r="A20" i="17" s="1"/>
  <c r="A59" i="17" a="1"/>
  <c r="A59" i="17" s="1"/>
  <c r="A19" i="17" a="1"/>
  <c r="A19" i="17" s="1"/>
  <c r="A4" i="17" a="1"/>
  <c r="A4" i="17" s="1"/>
  <c r="A42" i="17" a="1"/>
  <c r="A42" i="17" s="1"/>
  <c r="A32" i="17" a="1"/>
  <c r="A32" i="17" s="1"/>
  <c r="A26" i="17" a="1"/>
  <c r="A26" i="17" s="1"/>
  <c r="A21" i="17" a="1"/>
  <c r="A21" i="17" s="1"/>
  <c r="A10" i="17" a="1"/>
  <c r="A10" i="17" s="1"/>
  <c r="A58" i="17" a="1"/>
  <c r="A58" i="17" s="1"/>
  <c r="A71" i="17" a="1"/>
  <c r="A71" i="17" s="1"/>
  <c r="A48" i="17" a="1"/>
  <c r="A48" i="17" s="1"/>
  <c r="A25" i="17" a="1"/>
  <c r="A25" i="17" s="1"/>
  <c r="A97" i="17" a="1"/>
  <c r="A97" i="17" s="1"/>
  <c r="A9" i="17" a="1"/>
  <c r="A9" i="17" s="1"/>
  <c r="A40" i="17" a="1"/>
  <c r="A40" i="17" s="1"/>
  <c r="A14" i="17" a="1"/>
  <c r="A14" i="17" s="1"/>
  <c r="A38" i="17" a="1"/>
  <c r="A38" i="17" s="1"/>
  <c r="A27" i="17" a="1"/>
  <c r="A27" i="17" s="1"/>
  <c r="A22" i="17" a="1"/>
  <c r="A22" i="17" s="1"/>
  <c r="A70" i="17" a="1"/>
  <c r="A70" i="17" s="1"/>
  <c r="A77" i="17" a="1"/>
  <c r="A77" i="17" s="1"/>
  <c r="A54" i="17" a="1"/>
  <c r="A54" i="17" s="1"/>
  <c r="M8" i="8"/>
  <c r="J1" i="16" s="1"/>
  <c r="N8" i="8"/>
  <c r="K1" i="16" s="1"/>
  <c r="A18" i="14" a="1"/>
  <c r="A18" i="14" s="1"/>
  <c r="A131" i="14" a="1"/>
  <c r="A131" i="14" s="1"/>
  <c r="A101" i="14" a="1"/>
  <c r="A101" i="14" s="1"/>
  <c r="A89" i="14" a="1"/>
  <c r="A89" i="14" s="1"/>
  <c r="A77" i="14" a="1"/>
  <c r="A77" i="14" s="1"/>
  <c r="A65" i="14" a="1"/>
  <c r="A65" i="14" s="1"/>
  <c r="A53" i="14" a="1"/>
  <c r="A53" i="14" s="1"/>
  <c r="A41" i="14" a="1"/>
  <c r="A41" i="14" s="1"/>
  <c r="A29" i="14" a="1"/>
  <c r="A29" i="14" s="1"/>
  <c r="A17" i="14" a="1"/>
  <c r="A17" i="14" s="1"/>
  <c r="A5" i="14" a="1"/>
  <c r="A5" i="14" s="1"/>
  <c r="A28" i="14" a="1"/>
  <c r="A28" i="14" s="1"/>
  <c r="A4" i="14" a="1"/>
  <c r="A4" i="14" s="1"/>
  <c r="A141" i="14" a="1"/>
  <c r="A141" i="14" s="1"/>
  <c r="A123" i="14" a="1"/>
  <c r="A123" i="14" s="1"/>
  <c r="A111" i="14" a="1"/>
  <c r="A111" i="14" s="1"/>
  <c r="A99" i="14" a="1"/>
  <c r="A99" i="14" s="1"/>
  <c r="A81" i="14" a="1"/>
  <c r="A81" i="14" s="1"/>
  <c r="A63" i="14" a="1"/>
  <c r="A63" i="14" s="1"/>
  <c r="A51" i="14" a="1"/>
  <c r="A51" i="14" s="1"/>
  <c r="A39" i="14" a="1"/>
  <c r="A39" i="14" s="1"/>
  <c r="A27" i="14" a="1"/>
  <c r="A27" i="14" s="1"/>
  <c r="A15" i="14" a="1"/>
  <c r="A15" i="14" s="1"/>
  <c r="A110" i="14" a="1"/>
  <c r="A110" i="14" s="1"/>
  <c r="A74" i="14" a="1"/>
  <c r="A74" i="14" s="1"/>
  <c r="A50" i="14" a="1"/>
  <c r="A50" i="14" s="1"/>
  <c r="A20" i="14" a="1"/>
  <c r="A20" i="14" s="1"/>
  <c r="A8" i="14" a="1"/>
  <c r="A8" i="14" s="1"/>
  <c r="A133" i="14" a="1"/>
  <c r="A133" i="14" s="1"/>
  <c r="A115" i="14" a="1"/>
  <c r="A115" i="14" s="1"/>
  <c r="A91" i="14" a="1"/>
  <c r="A91" i="14" s="1"/>
  <c r="A67" i="14" a="1"/>
  <c r="A67" i="14" s="1"/>
  <c r="A43" i="14" a="1"/>
  <c r="A43" i="14" s="1"/>
  <c r="A7" i="14" a="1"/>
  <c r="A7" i="14" s="1"/>
  <c r="A150" i="14" a="1"/>
  <c r="A150" i="14" s="1"/>
  <c r="A144" i="14" a="1"/>
  <c r="A144" i="14" s="1"/>
  <c r="A138" i="14" a="1"/>
  <c r="A138" i="14" s="1"/>
  <c r="A132" i="14" a="1"/>
  <c r="A132" i="14" s="1"/>
  <c r="A126" i="14" a="1"/>
  <c r="A126" i="14" s="1"/>
  <c r="A120" i="14" a="1"/>
  <c r="A120" i="14" s="1"/>
  <c r="A114" i="14" a="1"/>
  <c r="A114" i="14" s="1"/>
  <c r="A108" i="14" a="1"/>
  <c r="A108" i="14" s="1"/>
  <c r="A102" i="14" a="1"/>
  <c r="A102" i="14" s="1"/>
  <c r="A96" i="14" a="1"/>
  <c r="A96" i="14" s="1"/>
  <c r="A90" i="14" a="1"/>
  <c r="A90" i="14" s="1"/>
  <c r="A84" i="14" a="1"/>
  <c r="A84" i="14" s="1"/>
  <c r="A78" i="14" a="1"/>
  <c r="A78" i="14" s="1"/>
  <c r="A72" i="14" a="1"/>
  <c r="A72" i="14" s="1"/>
  <c r="A66" i="14" a="1"/>
  <c r="A66" i="14" s="1"/>
  <c r="A60" i="14" a="1"/>
  <c r="A60" i="14" s="1"/>
  <c r="A54" i="14" a="1"/>
  <c r="A54" i="14" s="1"/>
  <c r="A48" i="14" a="1"/>
  <c r="A48" i="14" s="1"/>
  <c r="A42" i="14" a="1"/>
  <c r="A42" i="14" s="1"/>
  <c r="A36" i="14" a="1"/>
  <c r="A36" i="14" s="1"/>
  <c r="A30" i="14" a="1"/>
  <c r="A30" i="14" s="1"/>
  <c r="A24" i="14" a="1"/>
  <c r="A24" i="14" s="1"/>
  <c r="A12" i="14" a="1"/>
  <c r="A12" i="14" s="1"/>
  <c r="A6" i="14" a="1"/>
  <c r="A6" i="14" s="1"/>
  <c r="A137" i="14" a="1"/>
  <c r="A137" i="14" s="1"/>
  <c r="A125" i="14" a="1"/>
  <c r="A125" i="14" s="1"/>
  <c r="A113" i="14" a="1"/>
  <c r="A113" i="14" s="1"/>
  <c r="A107" i="14" a="1"/>
  <c r="A107" i="14" s="1"/>
  <c r="A95" i="14" a="1"/>
  <c r="A95" i="14" s="1"/>
  <c r="A83" i="14" a="1"/>
  <c r="A83" i="14" s="1"/>
  <c r="A71" i="14" a="1"/>
  <c r="A71" i="14" s="1"/>
  <c r="A59" i="14" a="1"/>
  <c r="A59" i="14" s="1"/>
  <c r="A47" i="14" a="1"/>
  <c r="A47" i="14" s="1"/>
  <c r="A35" i="14" a="1"/>
  <c r="A35" i="14" s="1"/>
  <c r="A23" i="14" a="1"/>
  <c r="A23" i="14" s="1"/>
  <c r="A11" i="14" a="1"/>
  <c r="A11" i="14" s="1"/>
  <c r="A16" i="14" a="1"/>
  <c r="A16" i="14" s="1"/>
  <c r="A143" i="14" a="1"/>
  <c r="A143" i="14" s="1"/>
  <c r="A119" i="14" a="1"/>
  <c r="A119" i="14" s="1"/>
  <c r="A9" i="14" a="1"/>
  <c r="A9" i="14" s="1"/>
  <c r="A122" i="14" a="1"/>
  <c r="A122" i="14" s="1"/>
  <c r="A92" i="14" a="1"/>
  <c r="A92" i="14" s="1"/>
  <c r="A62" i="14" a="1"/>
  <c r="A62" i="14" s="1"/>
  <c r="A38" i="14" a="1"/>
  <c r="A38" i="14" s="1"/>
  <c r="A14" i="14" a="1"/>
  <c r="A14" i="14" s="1"/>
  <c r="A139" i="14" a="1"/>
  <c r="A139" i="14" s="1"/>
  <c r="A121" i="14" a="1"/>
  <c r="A121" i="14" s="1"/>
  <c r="A109" i="14" a="1"/>
  <c r="A109" i="14" s="1"/>
  <c r="A97" i="14" a="1"/>
  <c r="A97" i="14" s="1"/>
  <c r="A79" i="14" a="1"/>
  <c r="A79" i="14" s="1"/>
  <c r="A61" i="14" a="1"/>
  <c r="A61" i="14" s="1"/>
  <c r="A49" i="14" a="1"/>
  <c r="A49" i="14" s="1"/>
  <c r="A31" i="14" a="1"/>
  <c r="A31" i="14" s="1"/>
  <c r="A19" i="14" a="1"/>
  <c r="A19" i="14" s="1"/>
  <c r="A149" i="14" a="1"/>
  <c r="A149" i="14" s="1"/>
  <c r="A2" i="14" a="1"/>
  <c r="A2" i="14" s="1"/>
  <c r="A148" i="14" a="1"/>
  <c r="A148" i="14" s="1"/>
  <c r="A142" i="14" a="1"/>
  <c r="A142" i="14" s="1"/>
  <c r="A136" i="14" a="1"/>
  <c r="A136" i="14" s="1"/>
  <c r="A130" i="14" a="1"/>
  <c r="A130" i="14" s="1"/>
  <c r="A124" i="14" a="1"/>
  <c r="A124" i="14" s="1"/>
  <c r="A118" i="14" a="1"/>
  <c r="A118" i="14" s="1"/>
  <c r="A112" i="14" a="1"/>
  <c r="A112" i="14" s="1"/>
  <c r="A106" i="14" a="1"/>
  <c r="A106" i="14" s="1"/>
  <c r="A100" i="14" a="1"/>
  <c r="A100" i="14" s="1"/>
  <c r="A94" i="14" a="1"/>
  <c r="A94" i="14" s="1"/>
  <c r="A88" i="14" a="1"/>
  <c r="A88" i="14" s="1"/>
  <c r="A82" i="14" a="1"/>
  <c r="A82" i="14" s="1"/>
  <c r="A76" i="14" a="1"/>
  <c r="A76" i="14" s="1"/>
  <c r="A70" i="14" a="1"/>
  <c r="A70" i="14" s="1"/>
  <c r="A64" i="14" a="1"/>
  <c r="A64" i="14" s="1"/>
  <c r="A58" i="14" a="1"/>
  <c r="A58" i="14" s="1"/>
  <c r="A52" i="14" a="1"/>
  <c r="A52" i="14" s="1"/>
  <c r="A46" i="14" a="1"/>
  <c r="A46" i="14" s="1"/>
  <c r="A40" i="14" a="1"/>
  <c r="A40" i="14" s="1"/>
  <c r="A34" i="14" a="1"/>
  <c r="A34" i="14" s="1"/>
  <c r="A22" i="14" a="1"/>
  <c r="A22" i="14" s="1"/>
  <c r="A10" i="14" a="1"/>
  <c r="A10" i="14" s="1"/>
  <c r="A147" i="14" a="1"/>
  <c r="A147" i="14" s="1"/>
  <c r="A135" i="14" a="1"/>
  <c r="A135" i="14" s="1"/>
  <c r="A129" i="14" a="1"/>
  <c r="A129" i="14" s="1"/>
  <c r="A117" i="14" a="1"/>
  <c r="A117" i="14" s="1"/>
  <c r="A105" i="14" a="1"/>
  <c r="A105" i="14" s="1"/>
  <c r="A93" i="14" a="1"/>
  <c r="A93" i="14" s="1"/>
  <c r="A87" i="14" a="1"/>
  <c r="A87" i="14" s="1"/>
  <c r="A75" i="14" a="1"/>
  <c r="A75" i="14" s="1"/>
  <c r="A69" i="14" a="1"/>
  <c r="A69" i="14" s="1"/>
  <c r="A57" i="14" a="1"/>
  <c r="A57" i="14" s="1"/>
  <c r="A45" i="14" a="1"/>
  <c r="A45" i="14" s="1"/>
  <c r="A33" i="14" a="1"/>
  <c r="A33" i="14" s="1"/>
  <c r="A21" i="14" a="1"/>
  <c r="A21" i="14" s="1"/>
  <c r="A3" i="14" a="1"/>
  <c r="A3" i="14" s="1"/>
  <c r="A116" i="14" a="1"/>
  <c r="A116" i="14" s="1"/>
  <c r="A80" i="14" a="1"/>
  <c r="A80" i="14" s="1"/>
  <c r="A56" i="14" a="1"/>
  <c r="A56" i="14" s="1"/>
  <c r="A32" i="14" a="1"/>
  <c r="A32" i="14" s="1"/>
  <c r="A1" i="14" a="1"/>
  <c r="A1" i="14" s="1"/>
  <c r="A146" i="14" a="1"/>
  <c r="A146" i="14" s="1"/>
  <c r="A140" i="14" a="1"/>
  <c r="A140" i="14" s="1"/>
  <c r="A134" i="14" a="1"/>
  <c r="A134" i="14" s="1"/>
  <c r="A128" i="14" a="1"/>
  <c r="A128" i="14" s="1"/>
  <c r="A104" i="14" a="1"/>
  <c r="A104" i="14" s="1"/>
  <c r="A98" i="14" a="1"/>
  <c r="A98" i="14" s="1"/>
  <c r="A86" i="14" a="1"/>
  <c r="A86" i="14" s="1"/>
  <c r="A68" i="14" a="1"/>
  <c r="A68" i="14" s="1"/>
  <c r="A44" i="14" a="1"/>
  <c r="A44" i="14" s="1"/>
  <c r="A26" i="14" a="1"/>
  <c r="A26" i="14" s="1"/>
  <c r="A145" i="14" a="1"/>
  <c r="A145" i="14" s="1"/>
  <c r="A127" i="14" a="1"/>
  <c r="A127" i="14" s="1"/>
  <c r="A103" i="14" a="1"/>
  <c r="A103" i="14" s="1"/>
  <c r="A85" i="14" a="1"/>
  <c r="A85" i="14" s="1"/>
  <c r="A73" i="14" a="1"/>
  <c r="A73" i="14" s="1"/>
  <c r="A55" i="14" a="1"/>
  <c r="A55" i="14" s="1"/>
  <c r="A37" i="14" a="1"/>
  <c r="A37" i="14" s="1"/>
  <c r="A25" i="14" a="1"/>
  <c r="A25" i="14" s="1"/>
  <c r="A13" i="14" a="1"/>
  <c r="A13" i="14" s="1"/>
  <c r="A77" i="16" l="1" a="1"/>
  <c r="A77" i="16" s="1"/>
  <c r="A19" i="16" a="1"/>
  <c r="A19" i="16" s="1"/>
  <c r="A6" i="16" a="1"/>
  <c r="A6" i="16" s="1"/>
  <c r="A58" i="16" a="1"/>
  <c r="A58" i="16" s="1"/>
  <c r="A30" i="16" a="1"/>
  <c r="A30" i="16" s="1"/>
  <c r="A89" i="16" a="1"/>
  <c r="A89" i="16" s="1"/>
  <c r="A52" i="16" a="1"/>
  <c r="A52" i="16" s="1"/>
  <c r="A49" i="16" a="1"/>
  <c r="A49" i="16" s="1"/>
  <c r="A66" i="16" a="1"/>
  <c r="A66" i="16" s="1"/>
  <c r="A46" i="16" a="1"/>
  <c r="A46" i="16" s="1"/>
  <c r="A32" i="16" a="1"/>
  <c r="A32" i="16" s="1"/>
  <c r="A64" i="16" a="1"/>
  <c r="A64" i="16" s="1"/>
  <c r="A79" i="16" a="1"/>
  <c r="A79" i="16" s="1"/>
  <c r="A43" i="16" a="1"/>
  <c r="A43" i="16" s="1"/>
  <c r="A37" i="16" a="1"/>
  <c r="A37" i="16" s="1"/>
  <c r="A73" i="16" a="1"/>
  <c r="A73" i="16" s="1"/>
  <c r="A2" i="16" a="1"/>
  <c r="A2" i="16" s="1"/>
  <c r="A15" i="16" a="1"/>
  <c r="A15" i="16" s="1"/>
  <c r="A7" i="16" a="1"/>
  <c r="A7" i="16" s="1"/>
  <c r="A85" i="16" a="1"/>
  <c r="A85" i="16" s="1"/>
  <c r="A13" i="16" a="1"/>
  <c r="A13" i="16" s="1"/>
  <c r="A87" i="16" a="1"/>
  <c r="A87" i="16" s="1"/>
  <c r="A48" i="16" a="1"/>
  <c r="A48" i="16" s="1"/>
  <c r="A26" i="16" a="1"/>
  <c r="A26" i="16" s="1"/>
  <c r="A44" i="16" a="1"/>
  <c r="A44" i="16" s="1"/>
  <c r="A18" i="16" a="1"/>
  <c r="A18" i="16" s="1"/>
  <c r="A84" i="16" a="1"/>
  <c r="A84" i="16" s="1"/>
  <c r="A70" i="16" a="1"/>
  <c r="A70" i="16" s="1"/>
  <c r="A42" i="16" a="1"/>
  <c r="A42" i="16" s="1"/>
  <c r="A72" i="16" a="1"/>
  <c r="A72" i="16" s="1"/>
  <c r="A50" i="16" a="1"/>
  <c r="A50" i="16" s="1"/>
  <c r="A36" i="16" a="1"/>
  <c r="A36" i="16" s="1"/>
  <c r="A57" i="16" a="1"/>
  <c r="A57" i="16" s="1"/>
  <c r="A59" i="16" a="1"/>
  <c r="A59" i="16" s="1"/>
  <c r="A71" i="16" a="1"/>
  <c r="A71" i="16" s="1"/>
  <c r="A40" i="16" a="1"/>
  <c r="A40" i="16" s="1"/>
  <c r="A20" i="16" a="1"/>
  <c r="A20" i="16" s="1"/>
  <c r="A92" i="16" a="1"/>
  <c r="A92" i="16" s="1"/>
  <c r="A25" i="16" a="1"/>
  <c r="A25" i="16" s="1"/>
  <c r="A65" i="16" a="1"/>
  <c r="A65" i="16" s="1"/>
  <c r="A8" i="16" a="1"/>
  <c r="A8" i="16" s="1"/>
  <c r="A51" i="16" a="1"/>
  <c r="A51" i="16" s="1"/>
  <c r="A67" i="16" a="1"/>
  <c r="A67" i="16" s="1"/>
  <c r="A21" i="16" a="1"/>
  <c r="A21" i="16" s="1"/>
  <c r="A91" i="16" a="1"/>
  <c r="A91" i="16" s="1"/>
  <c r="A10" i="16" a="1"/>
  <c r="A10" i="16" s="1"/>
  <c r="A76" i="16" a="1"/>
  <c r="A76" i="16" s="1"/>
  <c r="A47" i="16" a="1"/>
  <c r="A47" i="16" s="1"/>
  <c r="A82" i="16" a="1"/>
  <c r="A82" i="16" s="1"/>
  <c r="A90" i="16" a="1"/>
  <c r="A90" i="16" s="1"/>
  <c r="A68" i="16" a="1"/>
  <c r="A68" i="16" s="1"/>
  <c r="A45" i="16" a="1"/>
  <c r="A45" i="16" s="1"/>
  <c r="A61" i="16" a="1"/>
  <c r="A61" i="16" s="1"/>
  <c r="A34" i="16" a="1"/>
  <c r="A34" i="16" s="1"/>
  <c r="A93" i="16" a="1"/>
  <c r="A93" i="16" s="1"/>
  <c r="A56" i="16" a="1"/>
  <c r="A56" i="16" s="1"/>
  <c r="A27" i="16" a="1"/>
  <c r="A27" i="16" s="1"/>
  <c r="A97" i="16" a="1"/>
  <c r="A97" i="16" s="1"/>
  <c r="A33" i="16" a="1"/>
  <c r="A33" i="16" s="1"/>
  <c r="A88" i="16" a="1"/>
  <c r="A88" i="16" s="1"/>
  <c r="A5" i="16" a="1"/>
  <c r="A5" i="16" s="1"/>
  <c r="A24" i="16" a="1"/>
  <c r="A24" i="16" s="1"/>
  <c r="A86" i="16" a="1"/>
  <c r="A86" i="16" s="1"/>
  <c r="A4" i="16" a="1"/>
  <c r="A4" i="16" s="1"/>
  <c r="A78" i="16" a="1"/>
  <c r="A78" i="16" s="1"/>
  <c r="A23" i="16" a="1"/>
  <c r="A23" i="16" s="1"/>
  <c r="A31" i="16" a="1"/>
  <c r="A31" i="16" s="1"/>
  <c r="A12" i="16" a="1"/>
  <c r="A12" i="16" s="1"/>
  <c r="A80" i="16" a="1"/>
  <c r="A80" i="16" s="1"/>
  <c r="A53" i="16" a="1"/>
  <c r="A53" i="16" s="1"/>
  <c r="A11" i="16" a="1"/>
  <c r="A11" i="16" s="1"/>
  <c r="A60" i="16" a="1"/>
  <c r="A60" i="16" s="1"/>
  <c r="A17" i="16" a="1"/>
  <c r="A17" i="16" s="1"/>
  <c r="A62" i="16" a="1"/>
  <c r="A62" i="16" s="1"/>
  <c r="A16" i="16" a="1"/>
  <c r="A16" i="16" s="1"/>
  <c r="A28" i="16" a="1"/>
  <c r="A28" i="16" s="1"/>
  <c r="A14" i="16" a="1"/>
  <c r="A14" i="16" s="1"/>
  <c r="A83" i="16" a="1"/>
  <c r="A83" i="16" s="1"/>
  <c r="A39" i="16" a="1"/>
  <c r="A39" i="16" s="1"/>
  <c r="A29" i="16" a="1"/>
  <c r="A29" i="16" s="1"/>
  <c r="A9" i="16" a="1"/>
  <c r="A9" i="16" s="1"/>
  <c r="A22" i="16" a="1"/>
  <c r="A22" i="16" s="1"/>
  <c r="A94" i="16" a="1"/>
  <c r="A94" i="16" s="1"/>
  <c r="A74" i="16" a="1"/>
  <c r="A74" i="16" s="1"/>
  <c r="A55" i="16" a="1"/>
  <c r="A55" i="16" s="1"/>
  <c r="A35" i="16" a="1"/>
  <c r="A35" i="16" s="1"/>
  <c r="A41" i="16" a="1"/>
  <c r="A41" i="16" s="1"/>
  <c r="A38" i="16" a="1"/>
  <c r="A38" i="16" s="1"/>
  <c r="A69" i="16" a="1"/>
  <c r="A69" i="16" s="1"/>
  <c r="A3" i="16" a="1"/>
  <c r="A3" i="16" s="1"/>
  <c r="A96" i="16" a="1"/>
  <c r="A96" i="16" s="1"/>
  <c r="A63" i="16" a="1"/>
  <c r="A63" i="16" s="1"/>
  <c r="A1" i="16" a="1"/>
  <c r="A1" i="16" s="1"/>
  <c r="A95" i="16" a="1"/>
  <c r="A95" i="16" s="1"/>
  <c r="A75" i="16" a="1"/>
  <c r="A75" i="16" s="1"/>
  <c r="A81" i="16" a="1"/>
  <c r="A81" i="16" s="1"/>
  <c r="A54" i="16" a="1"/>
  <c r="A54" i="16" s="1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1" i="7"/>
  <c r="B2" i="5"/>
  <c r="A2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3" i="5"/>
  <c r="AX2" i="1" a="1"/>
  <c r="AX2" i="1" s="1"/>
  <c r="AW2" i="1" a="1"/>
  <c r="AW2" i="1" s="1"/>
  <c r="AV2" i="1" a="1"/>
  <c r="AV2" i="1" s="1"/>
  <c r="AU2" i="1" a="1"/>
  <c r="AU2" i="1" s="1"/>
  <c r="AT2" i="1" a="1"/>
  <c r="AT2" i="1" s="1"/>
  <c r="AS2" i="1" a="1"/>
  <c r="AS2" i="1" s="1"/>
  <c r="AR2" i="1" a="1"/>
  <c r="AR2" i="1" s="1"/>
  <c r="AQ2" i="1" a="1"/>
  <c r="AQ2" i="1" s="1"/>
  <c r="AP2" i="1" a="1"/>
  <c r="AP2" i="1" s="1"/>
  <c r="AO2" i="1" a="1"/>
  <c r="AO2" i="1" s="1"/>
  <c r="AN2" i="1" a="1"/>
  <c r="AN2" i="1" s="1"/>
  <c r="AM2" i="1" a="1"/>
  <c r="AM2" i="1" s="1"/>
  <c r="AL2" i="1" a="1"/>
  <c r="AL2" i="1" s="1"/>
  <c r="AK2" i="1" a="1"/>
  <c r="AK2" i="1" s="1"/>
  <c r="AJ2" i="1" a="1"/>
  <c r="AJ2" i="1" s="1"/>
  <c r="AI2" i="1" a="1"/>
  <c r="AI2" i="1" s="1"/>
  <c r="AH2" i="1" a="1"/>
  <c r="AH2" i="1" s="1"/>
  <c r="AG2" i="1" a="1"/>
  <c r="AG2" i="1" s="1"/>
  <c r="AF2" i="1" a="1"/>
  <c r="AF2" i="1" s="1"/>
  <c r="AE2" i="1" a="1"/>
  <c r="AE2" i="1" s="1"/>
  <c r="A2" i="1"/>
  <c r="V2" i="1" a="1"/>
  <c r="V2" i="1" s="1"/>
  <c r="U2" i="1" a="1"/>
  <c r="U2" i="1" s="1"/>
  <c r="T2" i="1" a="1"/>
  <c r="T2" i="1" s="1"/>
  <c r="S2" i="1" a="1"/>
  <c r="S2" i="1" s="1"/>
  <c r="R2" i="1" a="1"/>
  <c r="R2" i="1" s="1"/>
  <c r="Q2" i="1" a="1"/>
  <c r="Q2" i="1" s="1"/>
  <c r="P2" i="1" a="1"/>
  <c r="P2" i="1" s="1"/>
  <c r="O2" i="1" a="1"/>
  <c r="O2" i="1" s="1"/>
  <c r="N2" i="1" a="1"/>
  <c r="N2" i="1" s="1"/>
  <c r="M2" i="1" a="1"/>
  <c r="M2" i="1" s="1"/>
  <c r="L2" i="1" a="1"/>
  <c r="L2" i="1" s="1"/>
  <c r="K2" i="1" a="1"/>
  <c r="K2" i="1" s="1"/>
  <c r="J2" i="1" a="1"/>
  <c r="J2" i="1" s="1"/>
  <c r="I2" i="1" a="1"/>
  <c r="I2" i="1" s="1"/>
  <c r="H2" i="1" a="1"/>
  <c r="H2" i="1" s="1"/>
  <c r="G2" i="1" a="1"/>
  <c r="G2" i="1" s="1"/>
  <c r="F2" i="1" a="1"/>
  <c r="F2" i="1" s="1"/>
  <c r="E2" i="1" a="1"/>
  <c r="E2" i="1" s="1"/>
  <c r="D2" i="1" a="1"/>
  <c r="D2" i="1" s="1"/>
  <c r="C2" i="1" a="1"/>
  <c r="C2" i="1" s="1"/>
  <c r="H6" i="8"/>
  <c r="I6" i="8" s="1"/>
  <c r="H5" i="8"/>
  <c r="I5" i="8" s="1"/>
  <c r="H4" i="8"/>
  <c r="E1" i="15" s="1"/>
  <c r="H3" i="8"/>
  <c r="C1" i="9"/>
  <c r="D1" i="9" s="1"/>
  <c r="I3" i="8" l="1"/>
  <c r="F1" i="13" s="1"/>
  <c r="E1" i="13"/>
  <c r="J4" i="8"/>
  <c r="Q8" i="7"/>
  <c r="I4" i="8"/>
  <c r="F1" i="15" s="1"/>
  <c r="Q4" i="7"/>
  <c r="Q5" i="7"/>
  <c r="Q7" i="7"/>
  <c r="Q6" i="7"/>
  <c r="Q3" i="7"/>
  <c r="J3" i="8"/>
  <c r="G1" i="13" s="1"/>
  <c r="J6" i="8"/>
  <c r="J5" i="8"/>
  <c r="G1" i="15" l="1"/>
  <c r="K4" i="8"/>
  <c r="H1" i="15" s="1"/>
  <c r="L4" i="8"/>
  <c r="L3" i="8"/>
  <c r="I1" i="13" s="1"/>
  <c r="K3" i="8"/>
  <c r="H1" i="13" s="1"/>
  <c r="L6" i="8"/>
  <c r="K6" i="8"/>
  <c r="L5" i="8"/>
  <c r="K5" i="8"/>
  <c r="I1" i="15" l="1"/>
  <c r="M4" i="8"/>
  <c r="J1" i="15" s="1"/>
  <c r="N4" i="8"/>
  <c r="K1" i="15" s="1"/>
  <c r="M3" i="8"/>
  <c r="J1" i="13" s="1"/>
  <c r="N3" i="8"/>
  <c r="K1" i="13" s="1"/>
  <c r="M6" i="8"/>
  <c r="N6" i="8"/>
  <c r="M5" i="8"/>
  <c r="N5" i="8"/>
  <c r="A137" i="15" l="1" a="1"/>
  <c r="A137" i="15" s="1"/>
  <c r="A134" i="13" a="1"/>
  <c r="A134" i="13" s="1"/>
  <c r="A25" i="15" a="1"/>
  <c r="A25" i="15" s="1"/>
  <c r="A49" i="15" a="1"/>
  <c r="A49" i="15" s="1"/>
  <c r="A50" i="15" a="1"/>
  <c r="A50" i="15" s="1"/>
  <c r="A45" i="15" a="1"/>
  <c r="A45" i="15" s="1"/>
  <c r="A56" i="15" a="1"/>
  <c r="A56" i="15" s="1"/>
  <c r="A85" i="13" a="1"/>
  <c r="A85" i="13" s="1"/>
  <c r="A55" i="15" a="1"/>
  <c r="A55" i="15" s="1"/>
  <c r="A17" i="13" a="1"/>
  <c r="A17" i="13" s="1"/>
  <c r="A11" i="13" a="1"/>
  <c r="A11" i="13" s="1"/>
  <c r="A76" i="13" a="1"/>
  <c r="A76" i="13" s="1"/>
  <c r="A27" i="13" a="1"/>
  <c r="A27" i="13" s="1"/>
  <c r="A51" i="13" a="1"/>
  <c r="A51" i="13" s="1"/>
  <c r="A66" i="13" a="1"/>
  <c r="A66" i="13" s="1"/>
  <c r="A18" i="15" a="1"/>
  <c r="A18" i="15" s="1"/>
  <c r="A52" i="15" a="1"/>
  <c r="A52" i="15" s="1"/>
  <c r="A81" i="15" a="1"/>
  <c r="A81" i="15" s="1"/>
  <c r="A42" i="15" a="1"/>
  <c r="A42" i="15" s="1"/>
  <c r="A107" i="15" a="1"/>
  <c r="A107" i="15" s="1"/>
  <c r="A15" i="13" a="1"/>
  <c r="A15" i="13" s="1"/>
  <c r="A89" i="13" a="1"/>
  <c r="A89" i="13" s="1"/>
  <c r="A109" i="13" a="1"/>
  <c r="A109" i="13" s="1"/>
  <c r="A28" i="13" a="1"/>
  <c r="A28" i="13" s="1"/>
  <c r="A130" i="15" a="1"/>
  <c r="A130" i="15" s="1"/>
  <c r="A39" i="13" a="1"/>
  <c r="A39" i="13" s="1"/>
  <c r="A2" i="13" a="1"/>
  <c r="A2" i="13" s="1"/>
  <c r="A17" i="15" a="1"/>
  <c r="A17" i="15" s="1"/>
  <c r="A24" i="15" a="1"/>
  <c r="A24" i="15" s="1"/>
  <c r="A119" i="15" a="1"/>
  <c r="A119" i="15" s="1"/>
  <c r="A86" i="15" a="1"/>
  <c r="A86" i="15" s="1"/>
  <c r="A35" i="13" a="1"/>
  <c r="A35" i="13" s="1"/>
  <c r="A5" i="13" a="1"/>
  <c r="A5" i="13" s="1"/>
  <c r="A142" i="13" a="1"/>
  <c r="A142" i="13" s="1"/>
  <c r="A93" i="15" a="1"/>
  <c r="A93" i="15" s="1"/>
  <c r="A149" i="15" a="1"/>
  <c r="A149" i="15" s="1"/>
  <c r="A37" i="15" a="1"/>
  <c r="A37" i="15" s="1"/>
  <c r="A147" i="15" a="1"/>
  <c r="A147" i="15" s="1"/>
  <c r="A87" i="15" a="1"/>
  <c r="A87" i="15" s="1"/>
  <c r="A68" i="13" a="1"/>
  <c r="A68" i="13" s="1"/>
  <c r="A88" i="13" a="1"/>
  <c r="A88" i="13" s="1"/>
  <c r="A48" i="13" a="1"/>
  <c r="A48" i="13" s="1"/>
  <c r="A107" i="13" a="1"/>
  <c r="A107" i="13" s="1"/>
  <c r="A19" i="15" a="1"/>
  <c r="A19" i="15" s="1"/>
  <c r="A118" i="15" a="1"/>
  <c r="A118" i="15" s="1"/>
  <c r="A43" i="15" a="1"/>
  <c r="A43" i="15" s="1"/>
  <c r="A94" i="13" a="1"/>
  <c r="A94" i="13" s="1"/>
  <c r="A58" i="15" a="1"/>
  <c r="A58" i="15" s="1"/>
  <c r="A113" i="13" a="1"/>
  <c r="A113" i="13" s="1"/>
  <c r="A92" i="15" a="1"/>
  <c r="A92" i="15" s="1"/>
  <c r="A26" i="15" a="1"/>
  <c r="A26" i="15" s="1"/>
  <c r="A13" i="13" a="1"/>
  <c r="A13" i="13" s="1"/>
  <c r="A31" i="13" a="1"/>
  <c r="A31" i="13" s="1"/>
  <c r="A71" i="15" a="1"/>
  <c r="A71" i="15" s="1"/>
  <c r="A103" i="13" a="1"/>
  <c r="A103" i="13" s="1"/>
  <c r="A60" i="13" a="1"/>
  <c r="A60" i="13" s="1"/>
  <c r="A148" i="13" a="1"/>
  <c r="A148" i="13" s="1"/>
  <c r="A34" i="13" a="1"/>
  <c r="A34" i="13" s="1"/>
  <c r="A95" i="15" a="1"/>
  <c r="A95" i="15" s="1"/>
  <c r="A44" i="15" a="1"/>
  <c r="A44" i="15" s="1"/>
  <c r="A10" i="15" a="1"/>
  <c r="A10" i="15" s="1"/>
  <c r="A129" i="15" a="1"/>
  <c r="A129" i="15" s="1"/>
  <c r="A7" i="15" a="1"/>
  <c r="A7" i="15" s="1"/>
  <c r="A72" i="15" a="1"/>
  <c r="A72" i="15" s="1"/>
  <c r="A103" i="15" a="1"/>
  <c r="A103" i="15" s="1"/>
  <c r="A109" i="15" a="1"/>
  <c r="A109" i="15" s="1"/>
  <c r="A69" i="15" a="1"/>
  <c r="A69" i="15" s="1"/>
  <c r="A122" i="15" a="1"/>
  <c r="A122" i="15" s="1"/>
  <c r="A59" i="15" a="1"/>
  <c r="A59" i="15" s="1"/>
  <c r="A85" i="15" a="1"/>
  <c r="A85" i="15" s="1"/>
  <c r="A11" i="15" a="1"/>
  <c r="A11" i="15" s="1"/>
  <c r="A96" i="15" a="1"/>
  <c r="A96" i="15" s="1"/>
  <c r="A90" i="15" a="1"/>
  <c r="A90" i="15" s="1"/>
  <c r="A141" i="15" a="1"/>
  <c r="A141" i="15" s="1"/>
  <c r="A5" i="15" a="1"/>
  <c r="A5" i="15" s="1"/>
  <c r="A62" i="15" a="1"/>
  <c r="A62" i="15" s="1"/>
  <c r="A94" i="15" a="1"/>
  <c r="A94" i="15" s="1"/>
  <c r="A116" i="15" a="1"/>
  <c r="A116" i="15" s="1"/>
  <c r="A53" i="15" a="1"/>
  <c r="A53" i="15" s="1"/>
  <c r="A142" i="15" a="1"/>
  <c r="A142" i="15" s="1"/>
  <c r="A88" i="15" a="1"/>
  <c r="A88" i="15" s="1"/>
  <c r="A40" i="15" a="1"/>
  <c r="A40" i="15" s="1"/>
  <c r="A78" i="15" a="1"/>
  <c r="A78" i="15" s="1"/>
  <c r="A120" i="15" a="1"/>
  <c r="A120" i="15" s="1"/>
  <c r="A84" i="15" a="1"/>
  <c r="A84" i="15" s="1"/>
  <c r="A57" i="15" a="1"/>
  <c r="A57" i="15" s="1"/>
  <c r="A38" i="15" a="1"/>
  <c r="A38" i="15" s="1"/>
  <c r="A145" i="15" a="1"/>
  <c r="A145" i="15" s="1"/>
  <c r="A34" i="15" a="1"/>
  <c r="A34" i="15" s="1"/>
  <c r="A111" i="15" a="1"/>
  <c r="A111" i="15" s="1"/>
  <c r="A100" i="15" a="1"/>
  <c r="A100" i="15" s="1"/>
  <c r="A23" i="15" a="1"/>
  <c r="A23" i="15" s="1"/>
  <c r="A113" i="15" a="1"/>
  <c r="A113" i="15" s="1"/>
  <c r="A3" i="15" a="1"/>
  <c r="A3" i="15" s="1"/>
  <c r="A127" i="15" a="1"/>
  <c r="A127" i="15" s="1"/>
  <c r="A82" i="15" a="1"/>
  <c r="A82" i="15" s="1"/>
  <c r="A77" i="15" a="1"/>
  <c r="A77" i="15" s="1"/>
  <c r="A128" i="15" a="1"/>
  <c r="A128" i="15" s="1"/>
  <c r="A106" i="15" a="1"/>
  <c r="A106" i="15" s="1"/>
  <c r="A70" i="15" a="1"/>
  <c r="A70" i="15" s="1"/>
  <c r="A83" i="15" a="1"/>
  <c r="A83" i="15" s="1"/>
  <c r="A63" i="15" a="1"/>
  <c r="A63" i="15" s="1"/>
  <c r="A146" i="15" a="1"/>
  <c r="A146" i="15" s="1"/>
  <c r="A136" i="15" a="1"/>
  <c r="A136" i="15" s="1"/>
  <c r="A121" i="15" a="1"/>
  <c r="A121" i="15" s="1"/>
  <c r="A126" i="15" a="1"/>
  <c r="A126" i="15" s="1"/>
  <c r="A48" i="15" a="1"/>
  <c r="A48" i="15" s="1"/>
  <c r="A148" i="15" a="1"/>
  <c r="A148" i="15" s="1"/>
  <c r="A114" i="15" a="1"/>
  <c r="A114" i="15" s="1"/>
  <c r="A61" i="15" a="1"/>
  <c r="A61" i="15" s="1"/>
  <c r="A13" i="15" a="1"/>
  <c r="A13" i="15" s="1"/>
  <c r="A65" i="15" a="1"/>
  <c r="A65" i="15" s="1"/>
  <c r="A97" i="15" a="1"/>
  <c r="A97" i="15" s="1"/>
  <c r="A80" i="15" a="1"/>
  <c r="A80" i="15" s="1"/>
  <c r="A115" i="15" a="1"/>
  <c r="A115" i="15" s="1"/>
  <c r="A124" i="15" a="1"/>
  <c r="A124" i="15" s="1"/>
  <c r="A135" i="15" a="1"/>
  <c r="A135" i="15" s="1"/>
  <c r="A54" i="15" a="1"/>
  <c r="A54" i="15" s="1"/>
  <c r="A36" i="15" a="1"/>
  <c r="A36" i="15" s="1"/>
  <c r="A64" i="15" a="1"/>
  <c r="A64" i="15" s="1"/>
  <c r="A1" i="15" a="1"/>
  <c r="A1" i="15" s="1"/>
  <c r="A91" i="15" a="1"/>
  <c r="A91" i="15" s="1"/>
  <c r="A133" i="15" a="1"/>
  <c r="A133" i="15" s="1"/>
  <c r="A46" i="15" a="1"/>
  <c r="A46" i="15" s="1"/>
  <c r="A16" i="15" a="1"/>
  <c r="A16" i="15" s="1"/>
  <c r="A101" i="15" a="1"/>
  <c r="A101" i="15" s="1"/>
  <c r="A60" i="15" a="1"/>
  <c r="A60" i="15" s="1"/>
  <c r="A66" i="15" a="1"/>
  <c r="A66" i="15" s="1"/>
  <c r="A102" i="15" a="1"/>
  <c r="A102" i="15" s="1"/>
  <c r="A27" i="15" a="1"/>
  <c r="A27" i="15" s="1"/>
  <c r="A41" i="15" a="1"/>
  <c r="A41" i="15" s="1"/>
  <c r="A138" i="15" a="1"/>
  <c r="A138" i="15" s="1"/>
  <c r="A117" i="15" a="1"/>
  <c r="A117" i="15" s="1"/>
  <c r="A31" i="15" a="1"/>
  <c r="A31" i="15" s="1"/>
  <c r="A33" i="15" a="1"/>
  <c r="A33" i="15" s="1"/>
  <c r="A143" i="15" a="1"/>
  <c r="A143" i="15" s="1"/>
  <c r="A150" i="15" a="1"/>
  <c r="A150" i="15" s="1"/>
  <c r="A134" i="15" a="1"/>
  <c r="A134" i="15" s="1"/>
  <c r="A15" i="15" a="1"/>
  <c r="A15" i="15" s="1"/>
  <c r="A29" i="15" a="1"/>
  <c r="A29" i="15" s="1"/>
  <c r="A9" i="15" a="1"/>
  <c r="A9" i="15" s="1"/>
  <c r="A21" i="15" a="1"/>
  <c r="A21" i="15" s="1"/>
  <c r="A28" i="15" a="1"/>
  <c r="A28" i="15" s="1"/>
  <c r="A104" i="15" a="1"/>
  <c r="A104" i="15" s="1"/>
  <c r="A74" i="15" a="1"/>
  <c r="A74" i="15" s="1"/>
  <c r="A132" i="15" a="1"/>
  <c r="A132" i="15" s="1"/>
  <c r="A125" i="15" a="1"/>
  <c r="A125" i="15" s="1"/>
  <c r="A99" i="15" a="1"/>
  <c r="A99" i="15" s="1"/>
  <c r="A2" i="15" a="1"/>
  <c r="A2" i="15" s="1"/>
  <c r="A112" i="15" a="1"/>
  <c r="A112" i="15" s="1"/>
  <c r="A131" i="15" a="1"/>
  <c r="A131" i="15" s="1"/>
  <c r="A139" i="15" a="1"/>
  <c r="A139" i="15" s="1"/>
  <c r="A32" i="15" a="1"/>
  <c r="A32" i="15" s="1"/>
  <c r="A51" i="15" a="1"/>
  <c r="A51" i="15" s="1"/>
  <c r="A73" i="15" a="1"/>
  <c r="A73" i="15" s="1"/>
  <c r="A144" i="15" a="1"/>
  <c r="A144" i="15" s="1"/>
  <c r="A12" i="15" a="1"/>
  <c r="A12" i="15" s="1"/>
  <c r="A108" i="15" a="1"/>
  <c r="A108" i="15" s="1"/>
  <c r="A47" i="15" a="1"/>
  <c r="A47" i="15" s="1"/>
  <c r="A30" i="15" a="1"/>
  <c r="A30" i="15" s="1"/>
  <c r="A55" i="13" a="1"/>
  <c r="A55" i="13" s="1"/>
  <c r="A20" i="15" a="1"/>
  <c r="A20" i="15" s="1"/>
  <c r="A1" i="13" a="1"/>
  <c r="A1" i="13" s="1"/>
  <c r="A22" i="15" a="1"/>
  <c r="A22" i="15" s="1"/>
  <c r="A120" i="13" a="1"/>
  <c r="A120" i="13" s="1"/>
  <c r="A105" i="15" a="1"/>
  <c r="A105" i="15" s="1"/>
  <c r="A136" i="13" a="1"/>
  <c r="A136" i="13" s="1"/>
  <c r="A140" i="15" a="1"/>
  <c r="A140" i="15" s="1"/>
  <c r="A80" i="13" a="1"/>
  <c r="A80" i="13" s="1"/>
  <c r="A137" i="13" a="1"/>
  <c r="A137" i="13" s="1"/>
  <c r="A110" i="15" a="1"/>
  <c r="A110" i="15" s="1"/>
  <c r="A108" i="13" a="1"/>
  <c r="A108" i="13" s="1"/>
  <c r="A98" i="15" a="1"/>
  <c r="A98" i="15" s="1"/>
  <c r="A75" i="15" a="1"/>
  <c r="A75" i="15" s="1"/>
  <c r="A67" i="13" a="1"/>
  <c r="A67" i="13" s="1"/>
  <c r="A6" i="13" a="1"/>
  <c r="A6" i="13" s="1"/>
  <c r="A62" i="13" a="1"/>
  <c r="A62" i="13" s="1"/>
  <c r="A69" i="13" a="1"/>
  <c r="A69" i="13" s="1"/>
  <c r="A128" i="13" a="1"/>
  <c r="A128" i="13" s="1"/>
  <c r="A57" i="13" a="1"/>
  <c r="A57" i="13" s="1"/>
  <c r="A114" i="13" a="1"/>
  <c r="A114" i="13" s="1"/>
  <c r="A102" i="13" a="1"/>
  <c r="A102" i="13" s="1"/>
  <c r="A23" i="13" a="1"/>
  <c r="A23" i="13" s="1"/>
  <c r="A73" i="13" a="1"/>
  <c r="A73" i="13" s="1"/>
  <c r="A16" i="13" a="1"/>
  <c r="A16" i="13" s="1"/>
  <c r="A125" i="13" a="1"/>
  <c r="A125" i="13" s="1"/>
  <c r="A10" i="13" a="1"/>
  <c r="A10" i="13" s="1"/>
  <c r="A26" i="13" a="1"/>
  <c r="A26" i="13" s="1"/>
  <c r="A79" i="13" a="1"/>
  <c r="A79" i="13" s="1"/>
  <c r="A38" i="13" a="1"/>
  <c r="A38" i="13" s="1"/>
  <c r="A32" i="13" a="1"/>
  <c r="A32" i="13" s="1"/>
  <c r="A44" i="13" a="1"/>
  <c r="A44" i="13" s="1"/>
  <c r="A36" i="13" a="1"/>
  <c r="A36" i="13" s="1"/>
  <c r="A58" i="13" a="1"/>
  <c r="A58" i="13" s="1"/>
  <c r="A70" i="13" a="1"/>
  <c r="A70" i="13" s="1"/>
  <c r="A47" i="13" a="1"/>
  <c r="A47" i="13" s="1"/>
  <c r="A45" i="13" a="1"/>
  <c r="A45" i="13" s="1"/>
  <c r="A106" i="13" a="1"/>
  <c r="A106" i="13" s="1"/>
  <c r="A83" i="13" a="1"/>
  <c r="A83" i="13" s="1"/>
  <c r="A19" i="13" a="1"/>
  <c r="A19" i="13" s="1"/>
  <c r="A75" i="13" a="1"/>
  <c r="A75" i="13" s="1"/>
  <c r="A41" i="13" a="1"/>
  <c r="A41" i="13" s="1"/>
  <c r="A50" i="13" a="1"/>
  <c r="A50" i="13" s="1"/>
  <c r="A90" i="13" a="1"/>
  <c r="A90" i="13" s="1"/>
  <c r="A95" i="13" a="1"/>
  <c r="A95" i="13" s="1"/>
  <c r="A81" i="13" a="1"/>
  <c r="A81" i="13" s="1"/>
  <c r="A12" i="13" a="1"/>
  <c r="A12" i="13" s="1"/>
  <c r="A126" i="13" a="1"/>
  <c r="A126" i="13" s="1"/>
  <c r="A127" i="13" a="1"/>
  <c r="A127" i="13" s="1"/>
  <c r="A37" i="13" a="1"/>
  <c r="A37" i="13" s="1"/>
  <c r="A87" i="13" a="1"/>
  <c r="A87" i="13" s="1"/>
  <c r="A147" i="13" a="1"/>
  <c r="A147" i="13" s="1"/>
  <c r="A56" i="13" a="1"/>
  <c r="A56" i="13" s="1"/>
  <c r="A123" i="13" a="1"/>
  <c r="A123" i="13" s="1"/>
  <c r="A9" i="13" a="1"/>
  <c r="A9" i="13" s="1"/>
  <c r="A143" i="13" a="1"/>
  <c r="A143" i="13" s="1"/>
  <c r="A110" i="13" a="1"/>
  <c r="A110" i="13" s="1"/>
  <c r="A65" i="13" a="1"/>
  <c r="A65" i="13" s="1"/>
  <c r="A25" i="13" a="1"/>
  <c r="A25" i="13" s="1"/>
  <c r="A138" i="13" a="1"/>
  <c r="A138" i="13" s="1"/>
  <c r="A77" i="13" a="1"/>
  <c r="A77" i="13" s="1"/>
  <c r="A40" i="13" a="1"/>
  <c r="A40" i="13" s="1"/>
  <c r="A30" i="13" a="1"/>
  <c r="A30" i="13" s="1"/>
  <c r="A150" i="13" a="1"/>
  <c r="A150" i="13" s="1"/>
  <c r="A119" i="13" a="1"/>
  <c r="A119" i="13" s="1"/>
  <c r="A97" i="13" a="1"/>
  <c r="A97" i="13" s="1"/>
  <c r="A64" i="13" a="1"/>
  <c r="A64" i="13" s="1"/>
  <c r="A72" i="13" a="1"/>
  <c r="A72" i="13" s="1"/>
  <c r="A132" i="13" a="1"/>
  <c r="A132" i="13" s="1"/>
  <c r="A7" i="13" a="1"/>
  <c r="A7" i="13" s="1"/>
  <c r="A115" i="13" a="1"/>
  <c r="A115" i="13" s="1"/>
  <c r="A3" i="13" a="1"/>
  <c r="A3" i="13" s="1"/>
  <c r="A124" i="13" a="1"/>
  <c r="A124" i="13" s="1"/>
  <c r="A129" i="13" a="1"/>
  <c r="A129" i="13" s="1"/>
  <c r="A149" i="13" a="1"/>
  <c r="A149" i="13" s="1"/>
  <c r="A21" i="13" a="1"/>
  <c r="A21" i="13" s="1"/>
  <c r="A112" i="13" a="1"/>
  <c r="A112" i="13" s="1"/>
  <c r="A116" i="13" a="1"/>
  <c r="A116" i="13" s="1"/>
  <c r="A20" i="13" a="1"/>
  <c r="A20" i="13" s="1"/>
  <c r="A98" i="13" a="1"/>
  <c r="A98" i="13" s="1"/>
  <c r="A54" i="13" a="1"/>
  <c r="A54" i="13" s="1"/>
  <c r="A121" i="13" a="1"/>
  <c r="A121" i="13" s="1"/>
  <c r="A135" i="13" a="1"/>
  <c r="A135" i="13" s="1"/>
  <c r="A53" i="13" a="1"/>
  <c r="A53" i="13" s="1"/>
  <c r="A105" i="13" a="1"/>
  <c r="A105" i="13" s="1"/>
  <c r="A96" i="13" a="1"/>
  <c r="A96" i="13" s="1"/>
  <c r="A140" i="13" a="1"/>
  <c r="A140" i="13" s="1"/>
  <c r="A24" i="13" a="1"/>
  <c r="A24" i="13" s="1"/>
  <c r="A43" i="13" a="1"/>
  <c r="A43" i="13" s="1"/>
  <c r="A74" i="13" a="1"/>
  <c r="A74" i="13" s="1"/>
  <c r="A42" i="13" a="1"/>
  <c r="A42" i="13" s="1"/>
  <c r="A61" i="13" a="1"/>
  <c r="A61" i="13" s="1"/>
  <c r="A18" i="13" a="1"/>
  <c r="A18" i="13" s="1"/>
  <c r="A99" i="13" a="1"/>
  <c r="A99" i="13" s="1"/>
  <c r="A86" i="13" a="1"/>
  <c r="A86" i="13" s="1"/>
  <c r="A49" i="13" a="1"/>
  <c r="A49" i="13" s="1"/>
  <c r="A93" i="13" a="1"/>
  <c r="A93" i="13" s="1"/>
  <c r="A59" i="13" a="1"/>
  <c r="A59" i="13" s="1"/>
  <c r="A146" i="13" a="1"/>
  <c r="A146" i="13" s="1"/>
  <c r="A14" i="13" a="1"/>
  <c r="A14" i="13" s="1"/>
  <c r="A82" i="13" a="1"/>
  <c r="A82" i="13" s="1"/>
  <c r="A101" i="13" a="1"/>
  <c r="A101" i="13" s="1"/>
  <c r="A46" i="13" a="1"/>
  <c r="A46" i="13" s="1"/>
  <c r="A118" i="13" a="1"/>
  <c r="A118" i="13" s="1"/>
  <c r="A8" i="13" a="1"/>
  <c r="A8" i="13" s="1"/>
  <c r="A122" i="13" a="1"/>
  <c r="A122" i="13" s="1"/>
  <c r="A100" i="13" a="1"/>
  <c r="A100" i="13" s="1"/>
  <c r="A4" i="13" a="1"/>
  <c r="A4" i="13" s="1"/>
  <c r="A63" i="13" a="1"/>
  <c r="A63" i="13" s="1"/>
  <c r="A111" i="13" a="1"/>
  <c r="A111" i="13" s="1"/>
  <c r="A145" i="13" a="1"/>
  <c r="A145" i="13" s="1"/>
  <c r="A104" i="13" a="1"/>
  <c r="A104" i="13" s="1"/>
  <c r="A84" i="13" a="1"/>
  <c r="A84" i="13" s="1"/>
  <c r="A79" i="15" a="1"/>
  <c r="A79" i="15" s="1"/>
  <c r="A139" i="13" a="1"/>
  <c r="A139" i="13" s="1"/>
  <c r="A52" i="13" a="1"/>
  <c r="A52" i="13" s="1"/>
  <c r="A76" i="15" a="1"/>
  <c r="A76" i="15" s="1"/>
  <c r="A68" i="15" a="1"/>
  <c r="A68" i="15" s="1"/>
  <c r="A35" i="15" a="1"/>
  <c r="A35" i="15" s="1"/>
  <c r="A33" i="13" a="1"/>
  <c r="A33" i="13" s="1"/>
  <c r="A6" i="15" a="1"/>
  <c r="A6" i="15" s="1"/>
  <c r="A29" i="13" a="1"/>
  <c r="A29" i="13" s="1"/>
  <c r="A78" i="13" a="1"/>
  <c r="A78" i="13" s="1"/>
  <c r="A39" i="15" a="1"/>
  <c r="A39" i="15" s="1"/>
  <c r="A22" i="13" a="1"/>
  <c r="A22" i="13" s="1"/>
  <c r="A67" i="15" a="1"/>
  <c r="A67" i="15" s="1"/>
  <c r="A91" i="13" a="1"/>
  <c r="A91" i="13" s="1"/>
  <c r="A8" i="15" a="1"/>
  <c r="A8" i="15" s="1"/>
  <c r="A117" i="13" a="1"/>
  <c r="A117" i="13" s="1"/>
  <c r="A4" i="15" a="1"/>
  <c r="A4" i="15" s="1"/>
  <c r="A131" i="13" a="1"/>
  <c r="A131" i="13" s="1"/>
  <c r="A14" i="15" a="1"/>
  <c r="A14" i="15" s="1"/>
  <c r="A144" i="13" a="1"/>
  <c r="A144" i="13" s="1"/>
  <c r="A133" i="13" a="1"/>
  <c r="A133" i="13" s="1"/>
  <c r="A89" i="15" a="1"/>
  <c r="A89" i="15" s="1"/>
  <c r="A130" i="13" a="1"/>
  <c r="A130" i="13" s="1"/>
  <c r="A123" i="15" a="1"/>
  <c r="A123" i="15" s="1"/>
  <c r="A71" i="13" a="1"/>
  <c r="A71" i="13" s="1"/>
  <c r="A141" i="13" a="1"/>
  <c r="A141" i="13" s="1"/>
  <c r="A92" i="13" a="1"/>
  <c r="A92" i="13" s="1"/>
  <c r="A90" i="1" a="1"/>
  <c r="A50" i="1" a="1"/>
  <c r="A109" i="1" a="1"/>
  <c r="A111" i="1" a="1"/>
  <c r="A87" i="1" a="1"/>
  <c r="A37" i="1" a="1"/>
  <c r="A17" i="1" a="1"/>
  <c r="A7" i="1" a="1"/>
  <c r="A13" i="1" a="1"/>
  <c r="A19" i="1" a="1"/>
  <c r="A91" i="1" a="1"/>
  <c r="A78" i="1" a="1"/>
  <c r="A30" i="1" a="1"/>
  <c r="A41" i="1" a="1"/>
  <c r="A29" i="1" a="1"/>
  <c r="A53" i="1" a="1"/>
  <c r="A70" i="1" a="1"/>
  <c r="A68" i="1" a="1"/>
  <c r="A4" i="1" a="1"/>
  <c r="A15" i="1" a="1"/>
  <c r="A110" i="1" a="1"/>
  <c r="A75" i="1" a="1"/>
  <c r="A49" i="1" a="1"/>
  <c r="A5" i="1" a="1"/>
  <c r="A55" i="1" a="1"/>
  <c r="A51" i="1" a="1"/>
  <c r="A6" i="1" a="1"/>
  <c r="A35" i="1" a="1"/>
  <c r="A25" i="1" a="1"/>
  <c r="A33" i="1" a="1"/>
  <c r="A57" i="1" a="1"/>
  <c r="A18" i="1" a="1"/>
  <c r="A47" i="1" a="1"/>
  <c r="A79" i="1" a="1"/>
  <c r="A107" i="1" a="1"/>
  <c r="A95" i="1" a="1"/>
  <c r="A65" i="1" a="1"/>
  <c r="A99" i="1" a="1"/>
  <c r="A100" i="1" a="1"/>
  <c r="A10" i="1" a="1"/>
  <c r="A88" i="1" a="1"/>
  <c r="A108" i="1" a="1"/>
  <c r="A39" i="1" a="1"/>
  <c r="A42" i="1" a="1"/>
  <c r="A98" i="1" a="1"/>
  <c r="A61" i="1" a="1"/>
  <c r="A113" i="1" a="1"/>
  <c r="A31" i="1" a="1"/>
  <c r="A43" i="1" a="1"/>
  <c r="A103" i="1" a="1"/>
  <c r="A46" i="1" a="1"/>
  <c r="A82" i="1" a="1"/>
  <c r="A97" i="1" a="1"/>
  <c r="A101" i="1" a="1"/>
  <c r="A117" i="1" a="1"/>
  <c r="A105" i="1" a="1"/>
  <c r="A3" i="1" a="1"/>
  <c r="A69" i="1" a="1"/>
  <c r="A12" i="1" a="1"/>
  <c r="A85" i="1" a="1"/>
  <c r="A89" i="1" a="1"/>
  <c r="A32" i="1" a="1"/>
  <c r="A80" i="1" a="1"/>
  <c r="A73" i="1" a="1"/>
  <c r="A74" i="1" a="1"/>
  <c r="A67" i="1" a="1"/>
  <c r="A62" i="1" a="1"/>
  <c r="A8" i="1" a="1"/>
  <c r="A28" i="1" a="1"/>
  <c r="A21" i="1" a="1"/>
  <c r="A23" i="1" a="1"/>
  <c r="A26" i="1" a="1"/>
  <c r="A16" i="1" a="1"/>
  <c r="A106" i="1" a="1"/>
  <c r="A40" i="1" a="1"/>
  <c r="A63" i="1" a="1"/>
  <c r="A56" i="1" a="1"/>
  <c r="A9" i="1" a="1"/>
  <c r="A64" i="1" a="1"/>
  <c r="A81" i="1" a="1"/>
  <c r="A77" i="1" a="1"/>
  <c r="A58" i="1" a="1"/>
  <c r="A114" i="1" a="1"/>
  <c r="A45" i="1" a="1"/>
  <c r="A84" i="1" a="1"/>
  <c r="A86" i="1" a="1"/>
  <c r="A24" i="1" a="1"/>
  <c r="A71" i="1" a="1"/>
  <c r="A76" i="1" a="1"/>
  <c r="A59" i="1" a="1"/>
  <c r="A83" i="1" a="1"/>
  <c r="A102" i="1" a="1"/>
  <c r="A36" i="1" a="1"/>
  <c r="A94" i="1" a="1"/>
  <c r="A38" i="1" a="1"/>
  <c r="A20" i="1" a="1"/>
  <c r="A104" i="1" a="1"/>
  <c r="A27" i="1" a="1"/>
  <c r="A96" i="1" a="1"/>
  <c r="A34" i="1" a="1"/>
  <c r="A52" i="1" a="1"/>
  <c r="A11" i="1" a="1"/>
  <c r="A66" i="1" a="1"/>
  <c r="A22" i="1" a="1"/>
  <c r="A44" i="1" a="1"/>
  <c r="A48" i="1" a="1"/>
  <c r="A93" i="1" a="1"/>
  <c r="A92" i="1" a="1"/>
  <c r="A54" i="1" a="1"/>
  <c r="A72" i="1" a="1"/>
  <c r="A115" i="1" a="1"/>
  <c r="A116" i="1" a="1"/>
  <c r="A112" i="1" a="1"/>
  <c r="A60" i="1" a="1"/>
  <c r="A14" i="1" a="1"/>
  <c r="A4" i="1" l="1"/>
  <c r="A68" i="1"/>
  <c r="A70" i="1"/>
  <c r="A53" i="1"/>
  <c r="A29" i="1"/>
  <c r="A41" i="1"/>
  <c r="A30" i="1"/>
  <c r="A78" i="1"/>
  <c r="A91" i="1"/>
  <c r="A19" i="1"/>
  <c r="A13" i="1"/>
  <c r="A7" i="1"/>
  <c r="A17" i="1"/>
  <c r="A37" i="1"/>
  <c r="A87" i="1"/>
  <c r="A111" i="1"/>
  <c r="A109" i="1"/>
  <c r="A50" i="1"/>
  <c r="A90" i="1"/>
  <c r="A14" i="1"/>
  <c r="A60" i="1"/>
  <c r="A112" i="1"/>
  <c r="A116" i="1"/>
  <c r="A115" i="1"/>
  <c r="A72" i="1"/>
  <c r="A54" i="1"/>
  <c r="A92" i="1"/>
  <c r="A93" i="1"/>
  <c r="A48" i="1"/>
  <c r="A44" i="1"/>
  <c r="A22" i="1"/>
  <c r="A66" i="1"/>
  <c r="A11" i="1"/>
  <c r="A52" i="1"/>
  <c r="A34" i="1"/>
  <c r="A96" i="1"/>
  <c r="A27" i="1"/>
  <c r="A104" i="1"/>
  <c r="A20" i="1"/>
  <c r="A38" i="1"/>
  <c r="A94" i="1"/>
  <c r="A36" i="1"/>
  <c r="A102" i="1"/>
  <c r="A83" i="1"/>
  <c r="A59" i="1"/>
  <c r="A76" i="1"/>
  <c r="A71" i="1"/>
  <c r="A24" i="1"/>
  <c r="A86" i="1"/>
  <c r="A84" i="1"/>
  <c r="A45" i="1"/>
  <c r="A114" i="1"/>
  <c r="A58" i="1"/>
  <c r="A77" i="1"/>
  <c r="A81" i="1"/>
  <c r="A64" i="1"/>
  <c r="A9" i="1"/>
  <c r="A56" i="1"/>
  <c r="A63" i="1"/>
  <c r="A40" i="1"/>
  <c r="A106" i="1"/>
  <c r="A16" i="1"/>
  <c r="A26" i="1"/>
  <c r="A23" i="1"/>
  <c r="A21" i="1"/>
  <c r="A28" i="1"/>
  <c r="A8" i="1"/>
  <c r="A62" i="1"/>
  <c r="A67" i="1"/>
  <c r="A74" i="1"/>
  <c r="A73" i="1"/>
  <c r="A80" i="1"/>
  <c r="A32" i="1"/>
  <c r="A89" i="1"/>
  <c r="A85" i="1"/>
  <c r="A12" i="1"/>
  <c r="A69" i="1"/>
  <c r="A3" i="1"/>
  <c r="A105" i="1"/>
  <c r="A117" i="1"/>
  <c r="A101" i="1"/>
  <c r="A97" i="1"/>
  <c r="A82" i="1"/>
  <c r="A46" i="1"/>
  <c r="A103" i="1"/>
  <c r="A43" i="1"/>
  <c r="A31" i="1"/>
  <c r="A113" i="1"/>
  <c r="A61" i="1"/>
  <c r="A98" i="1"/>
  <c r="A42" i="1"/>
  <c r="A39" i="1"/>
  <c r="A108" i="1"/>
  <c r="A88" i="1"/>
  <c r="A10" i="1"/>
  <c r="A100" i="1"/>
  <c r="A99" i="1"/>
  <c r="A65" i="1"/>
  <c r="A95" i="1"/>
  <c r="A107" i="1"/>
  <c r="A79" i="1"/>
  <c r="A47" i="1"/>
  <c r="A18" i="1"/>
  <c r="A57" i="1"/>
  <c r="A33" i="1"/>
  <c r="A25" i="1"/>
  <c r="A35" i="1"/>
  <c r="A6" i="1"/>
  <c r="A51" i="1"/>
  <c r="A55" i="1"/>
  <c r="A5" i="1"/>
  <c r="A49" i="1"/>
  <c r="A75" i="1"/>
  <c r="A110" i="1"/>
  <c r="A15" i="1"/>
  <c r="B3" i="1" l="1"/>
  <c r="W3" i="1" s="1"/>
  <c r="AC3" i="1" a="1"/>
  <c r="AC3" i="1" l="1"/>
  <c r="AM3" i="1" s="1"/>
  <c r="B4" i="1"/>
  <c r="Y3" i="1"/>
  <c r="X3" i="1"/>
  <c r="AB3" i="1"/>
  <c r="Z3" i="1"/>
  <c r="AA3" i="1"/>
  <c r="AP3" i="1" l="1"/>
  <c r="AN3" i="1"/>
  <c r="AL3" i="1"/>
  <c r="AO3" i="1"/>
  <c r="AS3" i="1"/>
  <c r="AX3" i="1"/>
  <c r="AW3" i="1"/>
  <c r="AU3" i="1"/>
  <c r="AK3" i="1"/>
  <c r="AR3" i="1"/>
  <c r="AV3" i="1"/>
  <c r="AE3" i="1"/>
  <c r="AQ3" i="1"/>
  <c r="AG3" i="1"/>
  <c r="AI3" i="1"/>
  <c r="AJ3" i="1"/>
  <c r="B5" i="1"/>
  <c r="W4" i="1"/>
  <c r="AH3" i="1"/>
  <c r="AF3" i="1"/>
  <c r="AT3" i="1"/>
  <c r="AC4" i="1" a="1"/>
  <c r="AD3" i="1" l="1"/>
  <c r="AC4" i="1"/>
  <c r="AX4" i="1" s="1"/>
  <c r="X4" i="1"/>
  <c r="AB4" i="1"/>
  <c r="Y4" i="1"/>
  <c r="Z4" i="1"/>
  <c r="AA4" i="1"/>
  <c r="W5" i="1"/>
  <c r="B6" i="1"/>
  <c r="AC5" i="1" a="1"/>
  <c r="AN4" i="1" l="1"/>
  <c r="AK4" i="1"/>
  <c r="AC5" i="1"/>
  <c r="AT5" i="1" s="1"/>
  <c r="Y5" i="1"/>
  <c r="X5" i="1"/>
  <c r="AA5" i="1"/>
  <c r="Z5" i="1"/>
  <c r="AB5" i="1"/>
  <c r="B7" i="1"/>
  <c r="W6" i="1"/>
  <c r="AM4" i="1"/>
  <c r="AU4" i="1"/>
  <c r="AQ4" i="1"/>
  <c r="AJ4" i="1"/>
  <c r="AI4" i="1"/>
  <c r="AO4" i="1"/>
  <c r="AP4" i="1"/>
  <c r="AS4" i="1"/>
  <c r="AW4" i="1"/>
  <c r="AL4" i="1"/>
  <c r="AH4" i="1"/>
  <c r="AF4" i="1"/>
  <c r="AV4" i="1"/>
  <c r="AR4" i="1"/>
  <c r="AG4" i="1"/>
  <c r="AE4" i="1"/>
  <c r="AT4" i="1"/>
  <c r="AC6" i="1" a="1"/>
  <c r="AG5" i="1" l="1"/>
  <c r="AR5" i="1"/>
  <c r="AE5" i="1"/>
  <c r="AD4" i="1"/>
  <c r="AC6" i="1"/>
  <c r="AL6" i="1" s="1"/>
  <c r="W7" i="1"/>
  <c r="B8" i="1"/>
  <c r="Z6" i="1"/>
  <c r="AA6" i="1"/>
  <c r="Y6" i="1"/>
  <c r="AB6" i="1"/>
  <c r="X6" i="1"/>
  <c r="AQ5" i="1"/>
  <c r="AH5" i="1"/>
  <c r="AO5" i="1"/>
  <c r="AW5" i="1"/>
  <c r="AI5" i="1"/>
  <c r="AP5" i="1"/>
  <c r="AF5" i="1"/>
  <c r="AS5" i="1"/>
  <c r="AM5" i="1"/>
  <c r="AJ5" i="1"/>
  <c r="AK5" i="1"/>
  <c r="AX5" i="1"/>
  <c r="AN5" i="1"/>
  <c r="AU5" i="1"/>
  <c r="AL5" i="1"/>
  <c r="AV5" i="1"/>
  <c r="AC7" i="1" a="1"/>
  <c r="AU6" i="1" l="1"/>
  <c r="AV6" i="1"/>
  <c r="AS6" i="1"/>
  <c r="AT6" i="1"/>
  <c r="AK6" i="1"/>
  <c r="AQ6" i="1"/>
  <c r="AH6" i="1"/>
  <c r="AI6" i="1"/>
  <c r="AG6" i="1"/>
  <c r="AE6" i="1"/>
  <c r="AW6" i="1"/>
  <c r="AO6" i="1"/>
  <c r="AN6" i="1"/>
  <c r="AC7" i="1"/>
  <c r="AD5" i="1"/>
  <c r="B9" i="1"/>
  <c r="W8" i="1"/>
  <c r="AA7" i="1"/>
  <c r="Z7" i="1"/>
  <c r="Y7" i="1"/>
  <c r="AB7" i="1"/>
  <c r="X7" i="1"/>
  <c r="AP6" i="1"/>
  <c r="AX6" i="1"/>
  <c r="AF6" i="1"/>
  <c r="AR6" i="1"/>
  <c r="AM6" i="1"/>
  <c r="AJ6" i="1"/>
  <c r="AC8" i="1" a="1"/>
  <c r="AD6" i="1" l="1"/>
  <c r="AC8" i="1"/>
  <c r="Y8" i="1"/>
  <c r="X8" i="1"/>
  <c r="Z8" i="1"/>
  <c r="AA8" i="1"/>
  <c r="AB8" i="1"/>
  <c r="W9" i="1"/>
  <c r="B10" i="1"/>
  <c r="AT7" i="1"/>
  <c r="AX7" i="1"/>
  <c r="AE7" i="1"/>
  <c r="AS7" i="1"/>
  <c r="AN7" i="1"/>
  <c r="AH7" i="1"/>
  <c r="AI7" i="1"/>
  <c r="AM7" i="1"/>
  <c r="AU7" i="1"/>
  <c r="AR7" i="1"/>
  <c r="AO7" i="1"/>
  <c r="AV7" i="1"/>
  <c r="AW7" i="1"/>
  <c r="AG7" i="1"/>
  <c r="AK7" i="1"/>
  <c r="AL7" i="1"/>
  <c r="AJ7" i="1"/>
  <c r="AQ7" i="1"/>
  <c r="AP7" i="1"/>
  <c r="AF7" i="1"/>
  <c r="AC9" i="1" a="1"/>
  <c r="AD7" i="1" l="1"/>
  <c r="AC9" i="1"/>
  <c r="AQ9" i="1" s="1"/>
  <c r="W10" i="1"/>
  <c r="B11" i="1"/>
  <c r="AB9" i="1"/>
  <c r="AA9" i="1"/>
  <c r="Y9" i="1"/>
  <c r="X9" i="1"/>
  <c r="Z9" i="1"/>
  <c r="AT8" i="1"/>
  <c r="AI8" i="1"/>
  <c r="AX8" i="1"/>
  <c r="AJ8" i="1"/>
  <c r="AF8" i="1"/>
  <c r="AE8" i="1"/>
  <c r="AW8" i="1"/>
  <c r="AS8" i="1"/>
  <c r="AP8" i="1"/>
  <c r="AO8" i="1"/>
  <c r="AL8" i="1"/>
  <c r="AU8" i="1"/>
  <c r="AN8" i="1"/>
  <c r="AM8" i="1"/>
  <c r="AQ8" i="1"/>
  <c r="AG8" i="1"/>
  <c r="AR8" i="1"/>
  <c r="AK8" i="1"/>
  <c r="AH8" i="1"/>
  <c r="AV8" i="1"/>
  <c r="AC10" i="1" a="1"/>
  <c r="AV9" i="1" l="1"/>
  <c r="AS9" i="1"/>
  <c r="AO9" i="1"/>
  <c r="AF9" i="1"/>
  <c r="AP9" i="1"/>
  <c r="AD8" i="1"/>
  <c r="AC10" i="1"/>
  <c r="B12" i="1"/>
  <c r="W11" i="1"/>
  <c r="X10" i="1"/>
  <c r="Y10" i="1"/>
  <c r="AB10" i="1"/>
  <c r="AA10" i="1"/>
  <c r="Z10" i="1"/>
  <c r="AI9" i="1"/>
  <c r="AL9" i="1"/>
  <c r="AT9" i="1"/>
  <c r="AH9" i="1"/>
  <c r="AE9" i="1"/>
  <c r="AM9" i="1"/>
  <c r="AG9" i="1"/>
  <c r="AR9" i="1"/>
  <c r="AX9" i="1"/>
  <c r="AU9" i="1"/>
  <c r="AJ9" i="1"/>
  <c r="AW9" i="1"/>
  <c r="AK9" i="1"/>
  <c r="AN9" i="1"/>
  <c r="AC11" i="1" a="1"/>
  <c r="AC11" i="1" l="1"/>
  <c r="X11" i="1"/>
  <c r="Y11" i="1"/>
  <c r="Z11" i="1"/>
  <c r="AB11" i="1"/>
  <c r="AA11" i="1"/>
  <c r="B13" i="1"/>
  <c r="W12" i="1"/>
  <c r="AD9" i="1"/>
  <c r="AV10" i="1"/>
  <c r="AF10" i="1"/>
  <c r="AX10" i="1"/>
  <c r="AG10" i="1"/>
  <c r="AM10" i="1"/>
  <c r="AT10" i="1"/>
  <c r="AU10" i="1"/>
  <c r="AW10" i="1"/>
  <c r="AO10" i="1"/>
  <c r="AI10" i="1"/>
  <c r="AN10" i="1"/>
  <c r="AJ10" i="1"/>
  <c r="AL10" i="1"/>
  <c r="AQ10" i="1"/>
  <c r="AR10" i="1"/>
  <c r="AS10" i="1"/>
  <c r="AE10" i="1"/>
  <c r="AP10" i="1"/>
  <c r="AH10" i="1"/>
  <c r="AK10" i="1"/>
  <c r="AC12" i="1" a="1"/>
  <c r="AC12" i="1" l="1"/>
  <c r="AJ12" i="1" s="1"/>
  <c r="Y12" i="1"/>
  <c r="AA12" i="1"/>
  <c r="Z12" i="1"/>
  <c r="X12" i="1"/>
  <c r="AB12" i="1"/>
  <c r="B14" i="1"/>
  <c r="W13" i="1"/>
  <c r="AD10" i="1"/>
  <c r="AS11" i="1"/>
  <c r="AN11" i="1"/>
  <c r="AU11" i="1"/>
  <c r="AT11" i="1"/>
  <c r="AV11" i="1"/>
  <c r="AG11" i="1"/>
  <c r="AR11" i="1"/>
  <c r="AF11" i="1"/>
  <c r="AO11" i="1"/>
  <c r="AQ11" i="1"/>
  <c r="AK11" i="1"/>
  <c r="AE11" i="1"/>
  <c r="AJ11" i="1"/>
  <c r="AH11" i="1"/>
  <c r="AL11" i="1"/>
  <c r="AI11" i="1"/>
  <c r="AW11" i="1"/>
  <c r="AX11" i="1"/>
  <c r="AP11" i="1"/>
  <c r="AM11" i="1"/>
  <c r="AC13" i="1" a="1"/>
  <c r="AO12" i="1" l="1"/>
  <c r="AF12" i="1"/>
  <c r="AN12" i="1"/>
  <c r="AI12" i="1"/>
  <c r="AW12" i="1"/>
  <c r="AH12" i="1"/>
  <c r="AR12" i="1"/>
  <c r="AG12" i="1"/>
  <c r="AP12" i="1"/>
  <c r="AL12" i="1"/>
  <c r="AC13" i="1"/>
  <c r="AP13" i="1" s="1"/>
  <c r="B15" i="1"/>
  <c r="W14" i="1"/>
  <c r="AB13" i="1"/>
  <c r="Y13" i="1"/>
  <c r="AA13" i="1"/>
  <c r="Z13" i="1"/>
  <c r="X13" i="1"/>
  <c r="AD11" i="1"/>
  <c r="AX12" i="1"/>
  <c r="AU12" i="1"/>
  <c r="AT12" i="1"/>
  <c r="AK12" i="1"/>
  <c r="AM12" i="1"/>
  <c r="AS12" i="1"/>
  <c r="AQ12" i="1"/>
  <c r="AV12" i="1"/>
  <c r="AE12" i="1"/>
  <c r="AC14" i="1" a="1"/>
  <c r="AU13" i="1" l="1"/>
  <c r="AT13" i="1"/>
  <c r="AG13" i="1"/>
  <c r="AF13" i="1"/>
  <c r="AO13" i="1"/>
  <c r="AW13" i="1"/>
  <c r="AN13" i="1"/>
  <c r="AS13" i="1"/>
  <c r="AH13" i="1"/>
  <c r="AI13" i="1"/>
  <c r="AX13" i="1"/>
  <c r="AR13" i="1"/>
  <c r="AC14" i="1"/>
  <c r="AD12" i="1"/>
  <c r="AA14" i="1"/>
  <c r="X14" i="1"/>
  <c r="Z14" i="1"/>
  <c r="Y14" i="1"/>
  <c r="AB14" i="1"/>
  <c r="W15" i="1"/>
  <c r="B16" i="1"/>
  <c r="AL13" i="1"/>
  <c r="AV13" i="1"/>
  <c r="AE13" i="1"/>
  <c r="AJ13" i="1"/>
  <c r="AK13" i="1"/>
  <c r="AQ13" i="1"/>
  <c r="AM13" i="1"/>
  <c r="AC15" i="1" a="1"/>
  <c r="AD13" i="1" l="1"/>
  <c r="AC15" i="1"/>
  <c r="AX15" i="1" s="1"/>
  <c r="Y15" i="1"/>
  <c r="Z15" i="1"/>
  <c r="X15" i="1"/>
  <c r="AB15" i="1"/>
  <c r="AA15" i="1"/>
  <c r="W16" i="1"/>
  <c r="B17" i="1"/>
  <c r="AG14" i="1"/>
  <c r="AT14" i="1"/>
  <c r="AU14" i="1"/>
  <c r="AR14" i="1"/>
  <c r="AS14" i="1"/>
  <c r="AL14" i="1"/>
  <c r="AX14" i="1"/>
  <c r="AH14" i="1"/>
  <c r="AO14" i="1"/>
  <c r="AQ14" i="1"/>
  <c r="AM14" i="1"/>
  <c r="AW14" i="1"/>
  <c r="AK14" i="1"/>
  <c r="AJ14" i="1"/>
  <c r="AV14" i="1"/>
  <c r="AE14" i="1"/>
  <c r="AF14" i="1"/>
  <c r="AI14" i="1"/>
  <c r="AN14" i="1"/>
  <c r="AP14" i="1"/>
  <c r="AC16" i="1" a="1"/>
  <c r="AJ15" i="1" l="1"/>
  <c r="AN15" i="1"/>
  <c r="AG15" i="1"/>
  <c r="AT15" i="1"/>
  <c r="AM15" i="1"/>
  <c r="AR15" i="1"/>
  <c r="AO15" i="1"/>
  <c r="AL15" i="1"/>
  <c r="AI15" i="1"/>
  <c r="AU15" i="1"/>
  <c r="AW15" i="1"/>
  <c r="AP15" i="1"/>
  <c r="AC16" i="1"/>
  <c r="AJ16" i="1" s="1"/>
  <c r="B18" i="1"/>
  <c r="W17" i="1"/>
  <c r="Y16" i="1"/>
  <c r="X16" i="1"/>
  <c r="AB16" i="1"/>
  <c r="AA16" i="1"/>
  <c r="Z16" i="1"/>
  <c r="AD14" i="1"/>
  <c r="AQ15" i="1"/>
  <c r="AV15" i="1"/>
  <c r="AF15" i="1"/>
  <c r="AK15" i="1"/>
  <c r="AE15" i="1"/>
  <c r="AH15" i="1"/>
  <c r="AS15" i="1"/>
  <c r="AC17" i="1" a="1"/>
  <c r="AC17" i="1" l="1"/>
  <c r="AI17" i="1" s="1"/>
  <c r="AD15" i="1"/>
  <c r="X17" i="1"/>
  <c r="AA17" i="1"/>
  <c r="Z17" i="1"/>
  <c r="AB17" i="1"/>
  <c r="Y17" i="1"/>
  <c r="B19" i="1"/>
  <c r="W18" i="1"/>
  <c r="AI16" i="1"/>
  <c r="AX16" i="1"/>
  <c r="AO16" i="1"/>
  <c r="AF16" i="1"/>
  <c r="AL16" i="1"/>
  <c r="AW16" i="1"/>
  <c r="AQ16" i="1"/>
  <c r="AK16" i="1"/>
  <c r="AH16" i="1"/>
  <c r="AU16" i="1"/>
  <c r="AM16" i="1"/>
  <c r="AT16" i="1"/>
  <c r="AG16" i="1"/>
  <c r="AR16" i="1"/>
  <c r="AN16" i="1"/>
  <c r="AE16" i="1"/>
  <c r="AV16" i="1"/>
  <c r="AP16" i="1"/>
  <c r="AS16" i="1"/>
  <c r="AC18" i="1" a="1"/>
  <c r="AC18" i="1" l="1"/>
  <c r="AI18" i="1" s="1"/>
  <c r="B20" i="1"/>
  <c r="W19" i="1"/>
  <c r="Z18" i="1"/>
  <c r="Y18" i="1"/>
  <c r="AB18" i="1"/>
  <c r="X18" i="1"/>
  <c r="AA18" i="1"/>
  <c r="AD16" i="1"/>
  <c r="AS17" i="1"/>
  <c r="AF17" i="1"/>
  <c r="AJ17" i="1"/>
  <c r="AQ17" i="1"/>
  <c r="AN17" i="1"/>
  <c r="AO17" i="1"/>
  <c r="AK17" i="1"/>
  <c r="AV17" i="1"/>
  <c r="AX17" i="1"/>
  <c r="AE17" i="1"/>
  <c r="AL17" i="1"/>
  <c r="AM17" i="1"/>
  <c r="AR17" i="1"/>
  <c r="AH17" i="1"/>
  <c r="AG17" i="1"/>
  <c r="AU17" i="1"/>
  <c r="AT17" i="1"/>
  <c r="AP17" i="1"/>
  <c r="AW17" i="1"/>
  <c r="AC19" i="1" a="1"/>
  <c r="AP18" i="1" l="1"/>
  <c r="AU18" i="1"/>
  <c r="AR18" i="1"/>
  <c r="AF18" i="1"/>
  <c r="AL18" i="1"/>
  <c r="AN18" i="1"/>
  <c r="AH18" i="1"/>
  <c r="AV18" i="1"/>
  <c r="AO18" i="1"/>
  <c r="AX18" i="1"/>
  <c r="AJ18" i="1"/>
  <c r="AE18" i="1"/>
  <c r="AD17" i="1"/>
  <c r="AC19" i="1"/>
  <c r="AI19" i="1" s="1"/>
  <c r="AB19" i="1"/>
  <c r="Y19" i="1"/>
  <c r="X19" i="1"/>
  <c r="AA19" i="1"/>
  <c r="Z19" i="1"/>
  <c r="W20" i="1"/>
  <c r="B21" i="1"/>
  <c r="AW18" i="1"/>
  <c r="AG18" i="1"/>
  <c r="AS18" i="1"/>
  <c r="AM18" i="1"/>
  <c r="AQ18" i="1"/>
  <c r="AK18" i="1"/>
  <c r="AT18" i="1"/>
  <c r="AC20" i="1" a="1"/>
  <c r="AD18" i="1" l="1"/>
  <c r="AC20" i="1"/>
  <c r="AQ20" i="1" s="1"/>
  <c r="AB20" i="1"/>
  <c r="Y20" i="1"/>
  <c r="AA20" i="1"/>
  <c r="Z20" i="1"/>
  <c r="X20" i="1"/>
  <c r="W21" i="1"/>
  <c r="B22" i="1"/>
  <c r="AL19" i="1"/>
  <c r="AJ19" i="1"/>
  <c r="AU19" i="1"/>
  <c r="AP19" i="1"/>
  <c r="AV19" i="1"/>
  <c r="AR19" i="1"/>
  <c r="AH19" i="1"/>
  <c r="AX19" i="1"/>
  <c r="AM19" i="1"/>
  <c r="AT19" i="1"/>
  <c r="AK19" i="1"/>
  <c r="AG19" i="1"/>
  <c r="AW19" i="1"/>
  <c r="AS19" i="1"/>
  <c r="AN19" i="1"/>
  <c r="AO19" i="1"/>
  <c r="AQ19" i="1"/>
  <c r="AF19" i="1"/>
  <c r="AE19" i="1"/>
  <c r="AC21" i="1" a="1"/>
  <c r="AI20" i="1" l="1"/>
  <c r="AS20" i="1"/>
  <c r="AH20" i="1"/>
  <c r="AL20" i="1"/>
  <c r="AU20" i="1"/>
  <c r="AD19" i="1"/>
  <c r="AC21" i="1"/>
  <c r="AF21" i="1" s="1"/>
  <c r="B23" i="1"/>
  <c r="W22" i="1"/>
  <c r="AB21" i="1"/>
  <c r="AA21" i="1"/>
  <c r="Z21" i="1"/>
  <c r="Y21" i="1"/>
  <c r="X21" i="1"/>
  <c r="AG20" i="1"/>
  <c r="AX20" i="1"/>
  <c r="AN20" i="1"/>
  <c r="AP20" i="1"/>
  <c r="AE20" i="1"/>
  <c r="AM20" i="1"/>
  <c r="AV20" i="1"/>
  <c r="AR20" i="1"/>
  <c r="AO20" i="1"/>
  <c r="AK20" i="1"/>
  <c r="AJ20" i="1"/>
  <c r="AT20" i="1"/>
  <c r="AW20" i="1"/>
  <c r="AF20" i="1"/>
  <c r="AC22" i="1" a="1"/>
  <c r="AP21" i="1" l="1"/>
  <c r="AM21" i="1"/>
  <c r="AS21" i="1"/>
  <c r="AT21" i="1"/>
  <c r="AK21" i="1"/>
  <c r="AO21" i="1"/>
  <c r="AJ21" i="1"/>
  <c r="AL21" i="1"/>
  <c r="AE21" i="1"/>
  <c r="AV21" i="1"/>
  <c r="AX21" i="1"/>
  <c r="AH21" i="1"/>
  <c r="AR21" i="1"/>
  <c r="AU21" i="1"/>
  <c r="AC22" i="1"/>
  <c r="AD20" i="1"/>
  <c r="AA22" i="1"/>
  <c r="Y22" i="1"/>
  <c r="X22" i="1"/>
  <c r="AB22" i="1"/>
  <c r="Z22" i="1"/>
  <c r="B24" i="1"/>
  <c r="W23" i="1"/>
  <c r="AN21" i="1"/>
  <c r="AQ21" i="1"/>
  <c r="AG21" i="1"/>
  <c r="AW21" i="1"/>
  <c r="AI21" i="1"/>
  <c r="AC23" i="1" a="1"/>
  <c r="AD21" i="1" l="1"/>
  <c r="AC23" i="1"/>
  <c r="AT23" i="1" s="1"/>
  <c r="W24" i="1"/>
  <c r="B25" i="1"/>
  <c r="Y23" i="1"/>
  <c r="AB23" i="1"/>
  <c r="X23" i="1"/>
  <c r="AA23" i="1"/>
  <c r="Z23" i="1"/>
  <c r="AL22" i="1"/>
  <c r="AM22" i="1"/>
  <c r="AK22" i="1"/>
  <c r="AU22" i="1"/>
  <c r="AE22" i="1"/>
  <c r="AP22" i="1"/>
  <c r="AJ22" i="1"/>
  <c r="AQ22" i="1"/>
  <c r="AG22" i="1"/>
  <c r="AW22" i="1"/>
  <c r="AN22" i="1"/>
  <c r="AX22" i="1"/>
  <c r="AV22" i="1"/>
  <c r="AR22" i="1"/>
  <c r="AO22" i="1"/>
  <c r="AS22" i="1"/>
  <c r="AH22" i="1"/>
  <c r="AI22" i="1"/>
  <c r="AF22" i="1"/>
  <c r="AT22" i="1"/>
  <c r="AC24" i="1" a="1"/>
  <c r="AL23" i="1" l="1"/>
  <c r="AX23" i="1"/>
  <c r="AN23" i="1"/>
  <c r="AH23" i="1"/>
  <c r="AG23" i="1"/>
  <c r="AW23" i="1"/>
  <c r="AF23" i="1"/>
  <c r="AQ23" i="1"/>
  <c r="AR23" i="1"/>
  <c r="AO23" i="1"/>
  <c r="AP23" i="1"/>
  <c r="AE23" i="1"/>
  <c r="AK23" i="1"/>
  <c r="AM23" i="1"/>
  <c r="AI23" i="1"/>
  <c r="AS23" i="1"/>
  <c r="AU23" i="1"/>
  <c r="AC24" i="1"/>
  <c r="AD22" i="1"/>
  <c r="B26" i="1"/>
  <c r="W25" i="1"/>
  <c r="Y24" i="1"/>
  <c r="AA24" i="1"/>
  <c r="AB24" i="1"/>
  <c r="X24" i="1"/>
  <c r="Z24" i="1"/>
  <c r="AJ23" i="1"/>
  <c r="AV23" i="1"/>
  <c r="AC25" i="1" a="1"/>
  <c r="AD23" i="1" l="1"/>
  <c r="AC25" i="1"/>
  <c r="AI25" i="1" s="1"/>
  <c r="AB25" i="1"/>
  <c r="Z25" i="1"/>
  <c r="AA25" i="1"/>
  <c r="X25" i="1"/>
  <c r="Y25" i="1"/>
  <c r="B27" i="1"/>
  <c r="W26" i="1"/>
  <c r="AV24" i="1"/>
  <c r="AM24" i="1"/>
  <c r="AU24" i="1"/>
  <c r="AR24" i="1"/>
  <c r="AL24" i="1"/>
  <c r="AX24" i="1"/>
  <c r="AN24" i="1"/>
  <c r="AF24" i="1"/>
  <c r="AT24" i="1"/>
  <c r="AO24" i="1"/>
  <c r="AH24" i="1"/>
  <c r="AQ24" i="1"/>
  <c r="AI24" i="1"/>
  <c r="AS24" i="1"/>
  <c r="AJ24" i="1"/>
  <c r="AE24" i="1"/>
  <c r="AG24" i="1"/>
  <c r="AP24" i="1"/>
  <c r="AK24" i="1"/>
  <c r="AW24" i="1"/>
  <c r="AC26" i="1" a="1"/>
  <c r="AC26" i="1" l="1"/>
  <c r="AL26" i="1" s="1"/>
  <c r="B28" i="1"/>
  <c r="W27" i="1"/>
  <c r="AA26" i="1"/>
  <c r="Z26" i="1"/>
  <c r="Y26" i="1"/>
  <c r="AB26" i="1"/>
  <c r="X26" i="1"/>
  <c r="AD24" i="1"/>
  <c r="AP25" i="1"/>
  <c r="AG25" i="1"/>
  <c r="AL25" i="1"/>
  <c r="AF25" i="1"/>
  <c r="AR25" i="1"/>
  <c r="AU25" i="1"/>
  <c r="AW25" i="1"/>
  <c r="AQ25" i="1"/>
  <c r="AJ25" i="1"/>
  <c r="AH25" i="1"/>
  <c r="AM25" i="1"/>
  <c r="AS25" i="1"/>
  <c r="AV25" i="1"/>
  <c r="AX25" i="1"/>
  <c r="AT25" i="1"/>
  <c r="AN25" i="1"/>
  <c r="AE25" i="1"/>
  <c r="AO25" i="1"/>
  <c r="AK25" i="1"/>
  <c r="AC27" i="1" a="1"/>
  <c r="AS26" i="1" l="1"/>
  <c r="AE26" i="1"/>
  <c r="AO26" i="1"/>
  <c r="AU26" i="1"/>
  <c r="AP26" i="1"/>
  <c r="AW26" i="1"/>
  <c r="AR26" i="1"/>
  <c r="AG26" i="1"/>
  <c r="AT26" i="1"/>
  <c r="AQ26" i="1"/>
  <c r="AN26" i="1"/>
  <c r="AM26" i="1"/>
  <c r="AH26" i="1"/>
  <c r="AC27" i="1"/>
  <c r="AO27" i="1" s="1"/>
  <c r="AA27" i="1"/>
  <c r="AB27" i="1"/>
  <c r="X27" i="1"/>
  <c r="Z27" i="1"/>
  <c r="Y27" i="1"/>
  <c r="AD25" i="1"/>
  <c r="W28" i="1"/>
  <c r="B29" i="1"/>
  <c r="AF26" i="1"/>
  <c r="AK26" i="1"/>
  <c r="AI26" i="1"/>
  <c r="AJ26" i="1"/>
  <c r="AV26" i="1"/>
  <c r="AX26" i="1"/>
  <c r="AC28" i="1" a="1"/>
  <c r="AR27" i="1" l="1"/>
  <c r="AD26" i="1"/>
  <c r="AC28" i="1"/>
  <c r="AW28" i="1" s="1"/>
  <c r="B30" i="1"/>
  <c r="W29" i="1"/>
  <c r="Y28" i="1"/>
  <c r="X28" i="1"/>
  <c r="AA28" i="1"/>
  <c r="AB28" i="1"/>
  <c r="Z28" i="1"/>
  <c r="AG27" i="1"/>
  <c r="AQ27" i="1"/>
  <c r="AJ27" i="1"/>
  <c r="AS27" i="1"/>
  <c r="AL27" i="1"/>
  <c r="AK27" i="1"/>
  <c r="AX27" i="1"/>
  <c r="AP27" i="1"/>
  <c r="AE27" i="1"/>
  <c r="AV27" i="1"/>
  <c r="AN27" i="1"/>
  <c r="AH27" i="1"/>
  <c r="AW27" i="1"/>
  <c r="AU27" i="1"/>
  <c r="AI27" i="1"/>
  <c r="AT27" i="1"/>
  <c r="AF27" i="1"/>
  <c r="AM27" i="1"/>
  <c r="AC29" i="1" a="1"/>
  <c r="AL28" i="1" l="1"/>
  <c r="AX28" i="1"/>
  <c r="AV28" i="1"/>
  <c r="AR28" i="1"/>
  <c r="AM28" i="1"/>
  <c r="AU28" i="1"/>
  <c r="AH28" i="1"/>
  <c r="AK28" i="1"/>
  <c r="AT28" i="1"/>
  <c r="AO28" i="1"/>
  <c r="AG28" i="1"/>
  <c r="AS28" i="1"/>
  <c r="AC29" i="1"/>
  <c r="AE29" i="1" s="1"/>
  <c r="AD27" i="1"/>
  <c r="Z29" i="1"/>
  <c r="X29" i="1"/>
  <c r="AA29" i="1"/>
  <c r="Y29" i="1"/>
  <c r="AB29" i="1"/>
  <c r="W30" i="1"/>
  <c r="B31" i="1"/>
  <c r="AN28" i="1"/>
  <c r="AE28" i="1"/>
  <c r="AQ28" i="1"/>
  <c r="AF28" i="1"/>
  <c r="AJ28" i="1"/>
  <c r="AP28" i="1"/>
  <c r="AI28" i="1"/>
  <c r="AC30" i="1" a="1"/>
  <c r="AH29" i="1" l="1"/>
  <c r="AX29" i="1"/>
  <c r="AL29" i="1"/>
  <c r="AC30" i="1"/>
  <c r="AF30" i="1" s="1"/>
  <c r="B32" i="1"/>
  <c r="W31" i="1"/>
  <c r="AA30" i="1"/>
  <c r="X30" i="1"/>
  <c r="AB30" i="1"/>
  <c r="Y30" i="1"/>
  <c r="Z30" i="1"/>
  <c r="AD28" i="1"/>
  <c r="AP29" i="1"/>
  <c r="AV29" i="1"/>
  <c r="AT29" i="1"/>
  <c r="AR29" i="1"/>
  <c r="AN29" i="1"/>
  <c r="AK29" i="1"/>
  <c r="AO29" i="1"/>
  <c r="AQ29" i="1"/>
  <c r="AU29" i="1"/>
  <c r="AW29" i="1"/>
  <c r="AG29" i="1"/>
  <c r="AF29" i="1"/>
  <c r="AJ29" i="1"/>
  <c r="AM29" i="1"/>
  <c r="AI29" i="1"/>
  <c r="AS29" i="1"/>
  <c r="AC31" i="1" a="1"/>
  <c r="AQ30" i="1" l="1"/>
  <c r="AG30" i="1"/>
  <c r="AR30" i="1"/>
  <c r="AL30" i="1"/>
  <c r="AS30" i="1"/>
  <c r="AV30" i="1"/>
  <c r="AX30" i="1"/>
  <c r="AD29" i="1"/>
  <c r="AC31" i="1"/>
  <c r="Z31" i="1"/>
  <c r="Y31" i="1"/>
  <c r="X31" i="1"/>
  <c r="AB31" i="1"/>
  <c r="AA31" i="1"/>
  <c r="W32" i="1"/>
  <c r="B33" i="1"/>
  <c r="AJ30" i="1"/>
  <c r="AM30" i="1"/>
  <c r="AU30" i="1"/>
  <c r="AI30" i="1"/>
  <c r="AE30" i="1"/>
  <c r="AW30" i="1"/>
  <c r="AO30" i="1"/>
  <c r="AN30" i="1"/>
  <c r="AT30" i="1"/>
  <c r="AP30" i="1"/>
  <c r="AH30" i="1"/>
  <c r="AK30" i="1"/>
  <c r="AC32" i="1" a="1"/>
  <c r="AC32" i="1" l="1"/>
  <c r="AM32" i="1" s="1"/>
  <c r="X32" i="1"/>
  <c r="AA32" i="1"/>
  <c r="AB32" i="1"/>
  <c r="Y32" i="1"/>
  <c r="Z32" i="1"/>
  <c r="B34" i="1"/>
  <c r="W33" i="1"/>
  <c r="AD30" i="1"/>
  <c r="AF31" i="1"/>
  <c r="AV31" i="1"/>
  <c r="AT31" i="1"/>
  <c r="AL31" i="1"/>
  <c r="AX31" i="1"/>
  <c r="AM31" i="1"/>
  <c r="AQ31" i="1"/>
  <c r="AU31" i="1"/>
  <c r="AG31" i="1"/>
  <c r="AI31" i="1"/>
  <c r="AK31" i="1"/>
  <c r="AJ31" i="1"/>
  <c r="AH31" i="1"/>
  <c r="AO31" i="1"/>
  <c r="AR31" i="1"/>
  <c r="AP31" i="1"/>
  <c r="AN31" i="1"/>
  <c r="AW31" i="1"/>
  <c r="AS31" i="1"/>
  <c r="AE31" i="1"/>
  <c r="AC33" i="1" a="1"/>
  <c r="AP32" i="1" l="1"/>
  <c r="AK32" i="1"/>
  <c r="AO32" i="1"/>
  <c r="AQ32" i="1"/>
  <c r="AR32" i="1"/>
  <c r="AD31" i="1"/>
  <c r="AC33" i="1"/>
  <c r="AS33" i="1" s="1"/>
  <c r="X33" i="1"/>
  <c r="AB33" i="1"/>
  <c r="Y33" i="1"/>
  <c r="Z33" i="1"/>
  <c r="AA33" i="1"/>
  <c r="W34" i="1"/>
  <c r="B35" i="1"/>
  <c r="AH32" i="1"/>
  <c r="AT32" i="1"/>
  <c r="AI32" i="1"/>
  <c r="AN32" i="1"/>
  <c r="AL32" i="1"/>
  <c r="AW32" i="1"/>
  <c r="AS32" i="1"/>
  <c r="AG32" i="1"/>
  <c r="AJ32" i="1"/>
  <c r="AV32" i="1"/>
  <c r="AE32" i="1"/>
  <c r="AF32" i="1"/>
  <c r="AX32" i="1"/>
  <c r="AU32" i="1"/>
  <c r="AC34" i="1" a="1"/>
  <c r="AU33" i="1" l="1"/>
  <c r="AI33" i="1"/>
  <c r="AJ33" i="1"/>
  <c r="AN33" i="1"/>
  <c r="AO33" i="1"/>
  <c r="AK33" i="1"/>
  <c r="AV33" i="1"/>
  <c r="AC34" i="1"/>
  <c r="AV34" i="1" s="1"/>
  <c r="W35" i="1"/>
  <c r="B36" i="1"/>
  <c r="AD32" i="1"/>
  <c r="Z34" i="1"/>
  <c r="AA34" i="1"/>
  <c r="Y34" i="1"/>
  <c r="X34" i="1"/>
  <c r="AB34" i="1"/>
  <c r="AQ33" i="1"/>
  <c r="AT33" i="1"/>
  <c r="AP33" i="1"/>
  <c r="AX33" i="1"/>
  <c r="AE33" i="1"/>
  <c r="AM33" i="1"/>
  <c r="AW33" i="1"/>
  <c r="AR33" i="1"/>
  <c r="AH33" i="1"/>
  <c r="AL33" i="1"/>
  <c r="AF33" i="1"/>
  <c r="AG33" i="1"/>
  <c r="B100" i="1"/>
  <c r="AC35" i="1" a="1"/>
  <c r="AH34" i="1" l="1"/>
  <c r="AU34" i="1"/>
  <c r="W100" i="1"/>
  <c r="Y100" i="1" s="1"/>
  <c r="B101" i="1"/>
  <c r="AL34" i="1"/>
  <c r="AT34" i="1"/>
  <c r="AR34" i="1"/>
  <c r="AG34" i="1"/>
  <c r="AP34" i="1"/>
  <c r="AK34" i="1"/>
  <c r="AI34" i="1"/>
  <c r="AW34" i="1"/>
  <c r="AQ34" i="1"/>
  <c r="AD33" i="1"/>
  <c r="AJ34" i="1"/>
  <c r="AF34" i="1"/>
  <c r="AN34" i="1"/>
  <c r="AS34" i="1"/>
  <c r="AM34" i="1"/>
  <c r="AX34" i="1"/>
  <c r="AC35" i="1"/>
  <c r="B37" i="1"/>
  <c r="W36" i="1"/>
  <c r="X35" i="1"/>
  <c r="Y35" i="1"/>
  <c r="AB35" i="1"/>
  <c r="AA35" i="1"/>
  <c r="Z35" i="1"/>
  <c r="AO34" i="1"/>
  <c r="AE34" i="1"/>
  <c r="AC100" i="1" a="1"/>
  <c r="AC36" i="1" a="1"/>
  <c r="X100" i="1" l="1"/>
  <c r="Z100" i="1"/>
  <c r="AB100" i="1"/>
  <c r="AA100" i="1"/>
  <c r="AC100" i="1"/>
  <c r="AO100" i="1" s="1"/>
  <c r="W101" i="1"/>
  <c r="B102" i="1"/>
  <c r="W37" i="1"/>
  <c r="Y37" i="1" s="1"/>
  <c r="B38" i="1"/>
  <c r="AD34" i="1"/>
  <c r="AC36" i="1"/>
  <c r="AB36" i="1"/>
  <c r="Z36" i="1"/>
  <c r="Y36" i="1"/>
  <c r="X36" i="1"/>
  <c r="AA36" i="1"/>
  <c r="AI35" i="1"/>
  <c r="AG35" i="1"/>
  <c r="AN35" i="1"/>
  <c r="AR35" i="1"/>
  <c r="AX35" i="1"/>
  <c r="AL35" i="1"/>
  <c r="AU35" i="1"/>
  <c r="AQ35" i="1"/>
  <c r="AV35" i="1"/>
  <c r="AM35" i="1"/>
  <c r="AW35" i="1"/>
  <c r="AE35" i="1"/>
  <c r="AH35" i="1"/>
  <c r="AT35" i="1"/>
  <c r="AK35" i="1"/>
  <c r="AJ35" i="1"/>
  <c r="AS35" i="1"/>
  <c r="AO35" i="1"/>
  <c r="AF35" i="1"/>
  <c r="AP35" i="1"/>
  <c r="AC37" i="1" a="1"/>
  <c r="AH100" i="1" l="1"/>
  <c r="AM100" i="1"/>
  <c r="AQ100" i="1"/>
  <c r="AK100" i="1"/>
  <c r="AF100" i="1"/>
  <c r="AV100" i="1"/>
  <c r="AJ100" i="1"/>
  <c r="AU100" i="1"/>
  <c r="AG100" i="1"/>
  <c r="AI100" i="1"/>
  <c r="AS100" i="1"/>
  <c r="AW100" i="1"/>
  <c r="AX100" i="1"/>
  <c r="AR100" i="1"/>
  <c r="AE100" i="1"/>
  <c r="AN100" i="1"/>
  <c r="AP100" i="1"/>
  <c r="AL100" i="1"/>
  <c r="AT100" i="1"/>
  <c r="X37" i="1"/>
  <c r="AA37" i="1"/>
  <c r="Z37" i="1"/>
  <c r="AC37" i="1"/>
  <c r="AW37" i="1" s="1"/>
  <c r="AB37" i="1"/>
  <c r="W102" i="1"/>
  <c r="B103" i="1"/>
  <c r="Y101" i="1"/>
  <c r="X101" i="1"/>
  <c r="AB101" i="1"/>
  <c r="AA101" i="1"/>
  <c r="Z101" i="1"/>
  <c r="W38" i="1"/>
  <c r="B39" i="1"/>
  <c r="AD35" i="1"/>
  <c r="AM36" i="1"/>
  <c r="AU36" i="1"/>
  <c r="AL36" i="1"/>
  <c r="AV36" i="1"/>
  <c r="AN36" i="1"/>
  <c r="AF36" i="1"/>
  <c r="AG36" i="1"/>
  <c r="AT36" i="1"/>
  <c r="AO36" i="1"/>
  <c r="AE36" i="1"/>
  <c r="AR36" i="1"/>
  <c r="AK36" i="1"/>
  <c r="AX36" i="1"/>
  <c r="AS36" i="1"/>
  <c r="AI36" i="1"/>
  <c r="AQ36" i="1"/>
  <c r="AH36" i="1"/>
  <c r="AP36" i="1"/>
  <c r="AW36" i="1"/>
  <c r="AJ36" i="1"/>
  <c r="AC38" i="1" a="1"/>
  <c r="AC101" i="1" a="1"/>
  <c r="AS37" i="1" l="1"/>
  <c r="AJ37" i="1"/>
  <c r="AM37" i="1"/>
  <c r="AG37" i="1"/>
  <c r="AD100" i="1"/>
  <c r="AK37" i="1"/>
  <c r="AF37" i="1"/>
  <c r="AO37" i="1"/>
  <c r="AV37" i="1"/>
  <c r="AH37" i="1"/>
  <c r="AQ37" i="1"/>
  <c r="AU37" i="1"/>
  <c r="AI37" i="1"/>
  <c r="AX37" i="1"/>
  <c r="AL37" i="1"/>
  <c r="AP37" i="1"/>
  <c r="AT37" i="1"/>
  <c r="AE37" i="1"/>
  <c r="AR37" i="1"/>
  <c r="AN37" i="1"/>
  <c r="AC101" i="1"/>
  <c r="AC38" i="1"/>
  <c r="AI38" i="1" s="1"/>
  <c r="B40" i="1"/>
  <c r="W39" i="1"/>
  <c r="W103" i="1"/>
  <c r="B104" i="1"/>
  <c r="X102" i="1"/>
  <c r="Y102" i="1"/>
  <c r="AB102" i="1"/>
  <c r="AA102" i="1"/>
  <c r="Z102" i="1"/>
  <c r="AA38" i="1"/>
  <c r="AB38" i="1"/>
  <c r="X38" i="1"/>
  <c r="Y38" i="1"/>
  <c r="Z38" i="1"/>
  <c r="AD36" i="1"/>
  <c r="AC39" i="1" a="1"/>
  <c r="AC102" i="1" a="1"/>
  <c r="AJ38" i="1" l="1"/>
  <c r="AD37" i="1"/>
  <c r="AE38" i="1"/>
  <c r="AS38" i="1"/>
  <c r="AX38" i="1"/>
  <c r="AK38" i="1"/>
  <c r="AF38" i="1"/>
  <c r="AM38" i="1"/>
  <c r="AW38" i="1"/>
  <c r="AV38" i="1"/>
  <c r="AU38" i="1"/>
  <c r="AQ38" i="1"/>
  <c r="AT38" i="1"/>
  <c r="AN38" i="1"/>
  <c r="AO38" i="1"/>
  <c r="AL38" i="1"/>
  <c r="AR38" i="1"/>
  <c r="AH38" i="1"/>
  <c r="AP38" i="1"/>
  <c r="AG38" i="1"/>
  <c r="AC102" i="1"/>
  <c r="AC39" i="1"/>
  <c r="AJ39" i="1" s="1"/>
  <c r="W104" i="1"/>
  <c r="B105" i="1"/>
  <c r="Y103" i="1"/>
  <c r="AB103" i="1"/>
  <c r="Z103" i="1"/>
  <c r="AA103" i="1"/>
  <c r="X103" i="1"/>
  <c r="W40" i="1"/>
  <c r="B41" i="1"/>
  <c r="AB39" i="1"/>
  <c r="Z39" i="1"/>
  <c r="Y39" i="1"/>
  <c r="X39" i="1"/>
  <c r="AA39" i="1"/>
  <c r="AN101" i="1"/>
  <c r="AM101" i="1"/>
  <c r="AE101" i="1"/>
  <c r="AU101" i="1"/>
  <c r="AP101" i="1"/>
  <c r="AQ101" i="1"/>
  <c r="AT101" i="1"/>
  <c r="AK101" i="1"/>
  <c r="AJ101" i="1"/>
  <c r="AF101" i="1"/>
  <c r="AO101" i="1"/>
  <c r="AR101" i="1"/>
  <c r="AH101" i="1"/>
  <c r="AW101" i="1"/>
  <c r="AX101" i="1"/>
  <c r="AI101" i="1"/>
  <c r="AV101" i="1"/>
  <c r="AL101" i="1"/>
  <c r="AG101" i="1"/>
  <c r="AS101" i="1"/>
  <c r="AC103" i="1" a="1"/>
  <c r="AC40" i="1" a="1"/>
  <c r="AW39" i="1" l="1"/>
  <c r="AS39" i="1"/>
  <c r="AF39" i="1"/>
  <c r="AE39" i="1"/>
  <c r="AQ39" i="1"/>
  <c r="AN39" i="1"/>
  <c r="AR39" i="1"/>
  <c r="AD38" i="1"/>
  <c r="AI39" i="1"/>
  <c r="AL39" i="1"/>
  <c r="AP39" i="1"/>
  <c r="AM39" i="1"/>
  <c r="AT39" i="1"/>
  <c r="AK39" i="1"/>
  <c r="AU39" i="1"/>
  <c r="AH39" i="1"/>
  <c r="AO39" i="1"/>
  <c r="AV39" i="1"/>
  <c r="AX39" i="1"/>
  <c r="AC40" i="1"/>
  <c r="AN40" i="1" s="1"/>
  <c r="AC103" i="1"/>
  <c r="AB40" i="1"/>
  <c r="AA40" i="1"/>
  <c r="Y40" i="1"/>
  <c r="Z40" i="1"/>
  <c r="X40" i="1"/>
  <c r="B42" i="1"/>
  <c r="W41" i="1"/>
  <c r="B106" i="1"/>
  <c r="W105" i="1"/>
  <c r="AB104" i="1"/>
  <c r="AA104" i="1"/>
  <c r="X104" i="1"/>
  <c r="Y104" i="1"/>
  <c r="Z104" i="1"/>
  <c r="AD101" i="1"/>
  <c r="AG39" i="1"/>
  <c r="AX102" i="1"/>
  <c r="AV102" i="1"/>
  <c r="AG102" i="1"/>
  <c r="AH102" i="1"/>
  <c r="AT102" i="1"/>
  <c r="AI102" i="1"/>
  <c r="AS102" i="1"/>
  <c r="AK102" i="1"/>
  <c r="AM102" i="1"/>
  <c r="AF102" i="1"/>
  <c r="AQ102" i="1"/>
  <c r="AJ102" i="1"/>
  <c r="AW102" i="1"/>
  <c r="AP102" i="1"/>
  <c r="AU102" i="1"/>
  <c r="AR102" i="1"/>
  <c r="AO102" i="1"/>
  <c r="AE102" i="1"/>
  <c r="AL102" i="1"/>
  <c r="AN102" i="1"/>
  <c r="AC41" i="1" a="1"/>
  <c r="AC104" i="1" a="1"/>
  <c r="AD39" i="1" l="1"/>
  <c r="AR40" i="1"/>
  <c r="AM40" i="1"/>
  <c r="AX40" i="1"/>
  <c r="AV40" i="1"/>
  <c r="AP40" i="1"/>
  <c r="AU40" i="1"/>
  <c r="AT40" i="1"/>
  <c r="AJ40" i="1"/>
  <c r="AW40" i="1"/>
  <c r="AE40" i="1"/>
  <c r="AI40" i="1"/>
  <c r="AF40" i="1"/>
  <c r="AS40" i="1"/>
  <c r="AK40" i="1"/>
  <c r="AH40" i="1"/>
  <c r="AG40" i="1"/>
  <c r="AQ40" i="1"/>
  <c r="AO40" i="1"/>
  <c r="AL40" i="1"/>
  <c r="AC104" i="1"/>
  <c r="AC41" i="1"/>
  <c r="AT41" i="1" s="1"/>
  <c r="AB105" i="1"/>
  <c r="X105" i="1"/>
  <c r="AA105" i="1"/>
  <c r="Y105" i="1"/>
  <c r="Z105" i="1"/>
  <c r="B43" i="1"/>
  <c r="W42" i="1"/>
  <c r="AD102" i="1"/>
  <c r="W106" i="1"/>
  <c r="B107" i="1"/>
  <c r="X41" i="1"/>
  <c r="AA41" i="1"/>
  <c r="Z41" i="1"/>
  <c r="AB41" i="1"/>
  <c r="Y41" i="1"/>
  <c r="AM103" i="1"/>
  <c r="AQ103" i="1"/>
  <c r="AL103" i="1"/>
  <c r="AH103" i="1"/>
  <c r="AX103" i="1"/>
  <c r="AP103" i="1"/>
  <c r="AV103" i="1"/>
  <c r="AT103" i="1"/>
  <c r="AI103" i="1"/>
  <c r="AS103" i="1"/>
  <c r="AF103" i="1"/>
  <c r="AR103" i="1"/>
  <c r="AJ103" i="1"/>
  <c r="AU103" i="1"/>
  <c r="AN103" i="1"/>
  <c r="AK103" i="1"/>
  <c r="AW103" i="1"/>
  <c r="AG103" i="1"/>
  <c r="AO103" i="1"/>
  <c r="AE103" i="1"/>
  <c r="AC105" i="1" a="1"/>
  <c r="AC42" i="1" a="1"/>
  <c r="AH41" i="1" l="1"/>
  <c r="AR41" i="1"/>
  <c r="AW41" i="1"/>
  <c r="AI41" i="1"/>
  <c r="AN41" i="1"/>
  <c r="AK41" i="1"/>
  <c r="AO41" i="1"/>
  <c r="AQ41" i="1"/>
  <c r="AP41" i="1"/>
  <c r="AU41" i="1"/>
  <c r="AS41" i="1"/>
  <c r="AF41" i="1"/>
  <c r="AE41" i="1"/>
  <c r="AG41" i="1"/>
  <c r="AJ41" i="1"/>
  <c r="AM41" i="1"/>
  <c r="AX41" i="1"/>
  <c r="AD40" i="1"/>
  <c r="AC42" i="1"/>
  <c r="AL42" i="1" s="1"/>
  <c r="AC105" i="1"/>
  <c r="W107" i="1"/>
  <c r="B108" i="1"/>
  <c r="X42" i="1"/>
  <c r="AA42" i="1"/>
  <c r="Y42" i="1"/>
  <c r="AB42" i="1"/>
  <c r="Z42" i="1"/>
  <c r="AD103" i="1"/>
  <c r="AV41" i="1"/>
  <c r="B44" i="1"/>
  <c r="W43" i="1"/>
  <c r="Y106" i="1"/>
  <c r="AA106" i="1"/>
  <c r="AB106" i="1"/>
  <c r="X106" i="1"/>
  <c r="Z106" i="1"/>
  <c r="AL41" i="1"/>
  <c r="AX104" i="1"/>
  <c r="AO104" i="1"/>
  <c r="AW104" i="1"/>
  <c r="AR104" i="1"/>
  <c r="AM104" i="1"/>
  <c r="AF104" i="1"/>
  <c r="AE104" i="1"/>
  <c r="AN104" i="1"/>
  <c r="AH104" i="1"/>
  <c r="AL104" i="1"/>
  <c r="AK104" i="1"/>
  <c r="AT104" i="1"/>
  <c r="AS104" i="1"/>
  <c r="AQ104" i="1"/>
  <c r="AP104" i="1"/>
  <c r="AG104" i="1"/>
  <c r="AV104" i="1"/>
  <c r="AI104" i="1"/>
  <c r="AJ104" i="1"/>
  <c r="AU104" i="1"/>
  <c r="AC43" i="1" a="1"/>
  <c r="AC106" i="1" a="1"/>
  <c r="AP42" i="1" l="1"/>
  <c r="AX42" i="1"/>
  <c r="AD41" i="1"/>
  <c r="AN42" i="1"/>
  <c r="AW42" i="1"/>
  <c r="AG42" i="1"/>
  <c r="AH42" i="1"/>
  <c r="AK42" i="1"/>
  <c r="AQ42" i="1"/>
  <c r="AF42" i="1"/>
  <c r="AU42" i="1"/>
  <c r="AT42" i="1"/>
  <c r="AI42" i="1"/>
  <c r="AS42" i="1"/>
  <c r="AR42" i="1"/>
  <c r="AM42" i="1"/>
  <c r="AO42" i="1"/>
  <c r="AE42" i="1"/>
  <c r="AV42" i="1"/>
  <c r="AJ42" i="1"/>
  <c r="AC106" i="1"/>
  <c r="AC43" i="1"/>
  <c r="AT43" i="1" s="1"/>
  <c r="B45" i="1"/>
  <c r="W44" i="1"/>
  <c r="AD104" i="1"/>
  <c r="AB43" i="1"/>
  <c r="AA43" i="1"/>
  <c r="X43" i="1"/>
  <c r="Z43" i="1"/>
  <c r="Y43" i="1"/>
  <c r="W108" i="1"/>
  <c r="B109" i="1"/>
  <c r="AB107" i="1"/>
  <c r="X107" i="1"/>
  <c r="AA107" i="1"/>
  <c r="Z107" i="1"/>
  <c r="Y107" i="1"/>
  <c r="AM105" i="1"/>
  <c r="AQ105" i="1"/>
  <c r="AV105" i="1"/>
  <c r="AP105" i="1"/>
  <c r="AJ105" i="1"/>
  <c r="AI105" i="1"/>
  <c r="AS105" i="1"/>
  <c r="AR105" i="1"/>
  <c r="AK105" i="1"/>
  <c r="AN105" i="1"/>
  <c r="AW105" i="1"/>
  <c r="AU105" i="1"/>
  <c r="AH105" i="1"/>
  <c r="AG105" i="1"/>
  <c r="AE105" i="1"/>
  <c r="AF105" i="1"/>
  <c r="AL105" i="1"/>
  <c r="AO105" i="1"/>
  <c r="AT105" i="1"/>
  <c r="AX105" i="1"/>
  <c r="AC44" i="1" a="1"/>
  <c r="AC107" i="1" a="1"/>
  <c r="AK43" i="1" l="1"/>
  <c r="AJ43" i="1"/>
  <c r="AF43" i="1"/>
  <c r="AQ43" i="1"/>
  <c r="AD42" i="1"/>
  <c r="AG43" i="1"/>
  <c r="AS43" i="1"/>
  <c r="AI43" i="1"/>
  <c r="AR43" i="1"/>
  <c r="AN43" i="1"/>
  <c r="AE43" i="1"/>
  <c r="AW43" i="1"/>
  <c r="AX43" i="1"/>
  <c r="AU43" i="1"/>
  <c r="AV43" i="1"/>
  <c r="AO43" i="1"/>
  <c r="AL43" i="1"/>
  <c r="AM43" i="1"/>
  <c r="AC107" i="1"/>
  <c r="AC44" i="1"/>
  <c r="AN44" i="1" s="1"/>
  <c r="AD105" i="1"/>
  <c r="Y44" i="1"/>
  <c r="AB44" i="1"/>
  <c r="AA44" i="1"/>
  <c r="Z44" i="1"/>
  <c r="X44" i="1"/>
  <c r="B110" i="1"/>
  <c r="W109" i="1"/>
  <c r="W45" i="1"/>
  <c r="B46" i="1"/>
  <c r="Z108" i="1"/>
  <c r="AA108" i="1"/>
  <c r="X108" i="1"/>
  <c r="Y108" i="1"/>
  <c r="AB108" i="1"/>
  <c r="AH43" i="1"/>
  <c r="AP43" i="1"/>
  <c r="AK106" i="1"/>
  <c r="AX106" i="1"/>
  <c r="AT106" i="1"/>
  <c r="AR106" i="1"/>
  <c r="AI106" i="1"/>
  <c r="AW106" i="1"/>
  <c r="AO106" i="1"/>
  <c r="AV106" i="1"/>
  <c r="AG106" i="1"/>
  <c r="AU106" i="1"/>
  <c r="AM106" i="1"/>
  <c r="AP106" i="1"/>
  <c r="AJ106" i="1"/>
  <c r="AQ106" i="1"/>
  <c r="AL106" i="1"/>
  <c r="AN106" i="1"/>
  <c r="AS106" i="1"/>
  <c r="AH106" i="1"/>
  <c r="AF106" i="1"/>
  <c r="AE106" i="1"/>
  <c r="AC108" i="1" a="1"/>
  <c r="AC45" i="1" a="1"/>
  <c r="AX44" i="1" l="1"/>
  <c r="AJ44" i="1"/>
  <c r="AD43" i="1"/>
  <c r="AP44" i="1"/>
  <c r="AI44" i="1"/>
  <c r="AU44" i="1"/>
  <c r="AE44" i="1"/>
  <c r="AO44" i="1"/>
  <c r="AR44" i="1"/>
  <c r="AT44" i="1"/>
  <c r="AF44" i="1"/>
  <c r="AV44" i="1"/>
  <c r="AS44" i="1"/>
  <c r="AG44" i="1"/>
  <c r="AW44" i="1"/>
  <c r="AK44" i="1"/>
  <c r="AL44" i="1"/>
  <c r="AM44" i="1"/>
  <c r="AC45" i="1"/>
  <c r="AV45" i="1" s="1"/>
  <c r="AC108" i="1"/>
  <c r="AD106" i="1"/>
  <c r="Z45" i="1"/>
  <c r="AA45" i="1"/>
  <c r="AB45" i="1"/>
  <c r="Y45" i="1"/>
  <c r="X45" i="1"/>
  <c r="Y109" i="1"/>
  <c r="AA109" i="1"/>
  <c r="X109" i="1"/>
  <c r="Z109" i="1"/>
  <c r="AB109" i="1"/>
  <c r="B47" i="1"/>
  <c r="W46" i="1"/>
  <c r="W110" i="1"/>
  <c r="B111" i="1"/>
  <c r="AH44" i="1"/>
  <c r="AQ44" i="1"/>
  <c r="AU107" i="1"/>
  <c r="AE107" i="1"/>
  <c r="AK107" i="1"/>
  <c r="AI107" i="1"/>
  <c r="AG107" i="1"/>
  <c r="AQ107" i="1"/>
  <c r="AJ107" i="1"/>
  <c r="AH107" i="1"/>
  <c r="AP107" i="1"/>
  <c r="AW107" i="1"/>
  <c r="AV107" i="1"/>
  <c r="AM107" i="1"/>
  <c r="AO107" i="1"/>
  <c r="AS107" i="1"/>
  <c r="AT107" i="1"/>
  <c r="AN107" i="1"/>
  <c r="AX107" i="1"/>
  <c r="AL107" i="1"/>
  <c r="AR107" i="1"/>
  <c r="AF107" i="1"/>
  <c r="AC46" i="1" a="1"/>
  <c r="AC109" i="1" a="1"/>
  <c r="AQ45" i="1" l="1"/>
  <c r="AD44" i="1"/>
  <c r="AR45" i="1"/>
  <c r="AU45" i="1"/>
  <c r="AP45" i="1"/>
  <c r="AH45" i="1"/>
  <c r="AG45" i="1"/>
  <c r="AN45" i="1"/>
  <c r="AT45" i="1"/>
  <c r="AK45" i="1"/>
  <c r="AO45" i="1"/>
  <c r="AM45" i="1"/>
  <c r="AW45" i="1"/>
  <c r="AI45" i="1"/>
  <c r="AX45" i="1"/>
  <c r="AJ45" i="1"/>
  <c r="AS45" i="1"/>
  <c r="AC109" i="1"/>
  <c r="AC46" i="1"/>
  <c r="AT46" i="1" s="1"/>
  <c r="AL45" i="1"/>
  <c r="W111" i="1"/>
  <c r="B112" i="1"/>
  <c r="W47" i="1"/>
  <c r="B48" i="1"/>
  <c r="AD107" i="1"/>
  <c r="AF45" i="1"/>
  <c r="AE45" i="1"/>
  <c r="AG108" i="1"/>
  <c r="AH108" i="1"/>
  <c r="AQ108" i="1"/>
  <c r="AL108" i="1"/>
  <c r="AI108" i="1"/>
  <c r="AX108" i="1"/>
  <c r="AM108" i="1"/>
  <c r="AE108" i="1"/>
  <c r="AO108" i="1"/>
  <c r="AN108" i="1"/>
  <c r="AT108" i="1"/>
  <c r="AR108" i="1"/>
  <c r="AP108" i="1"/>
  <c r="AJ108" i="1"/>
  <c r="AF108" i="1"/>
  <c r="AV108" i="1"/>
  <c r="AU108" i="1"/>
  <c r="AK108" i="1"/>
  <c r="AW108" i="1"/>
  <c r="AS108" i="1"/>
  <c r="AA110" i="1"/>
  <c r="Y110" i="1"/>
  <c r="X110" i="1"/>
  <c r="AB110" i="1"/>
  <c r="Z110" i="1"/>
  <c r="AB46" i="1"/>
  <c r="Z46" i="1"/>
  <c r="X46" i="1"/>
  <c r="AA46" i="1"/>
  <c r="Y46" i="1"/>
  <c r="AC47" i="1" a="1"/>
  <c r="AC110" i="1" a="1"/>
  <c r="AE46" i="1" l="1"/>
  <c r="AV46" i="1"/>
  <c r="AK46" i="1"/>
  <c r="AQ46" i="1"/>
  <c r="AP46" i="1"/>
  <c r="AS46" i="1"/>
  <c r="AW46" i="1"/>
  <c r="AU46" i="1"/>
  <c r="AL46" i="1"/>
  <c r="AG46" i="1"/>
  <c r="AO46" i="1"/>
  <c r="AR46" i="1"/>
  <c r="AI46" i="1"/>
  <c r="AH46" i="1"/>
  <c r="AN46" i="1"/>
  <c r="AD45" i="1"/>
  <c r="AX46" i="1"/>
  <c r="AJ46" i="1"/>
  <c r="AM46" i="1"/>
  <c r="AF46" i="1"/>
  <c r="AC110" i="1"/>
  <c r="AC47" i="1"/>
  <c r="AS47" i="1" s="1"/>
  <c r="AD108" i="1"/>
  <c r="B49" i="1"/>
  <c r="W48" i="1"/>
  <c r="AB47" i="1"/>
  <c r="AA47" i="1"/>
  <c r="X47" i="1"/>
  <c r="Y47" i="1"/>
  <c r="Z47" i="1"/>
  <c r="W112" i="1"/>
  <c r="B113" i="1"/>
  <c r="AB111" i="1"/>
  <c r="Y111" i="1"/>
  <c r="AA111" i="1"/>
  <c r="X111" i="1"/>
  <c r="Z111" i="1"/>
  <c r="AK109" i="1"/>
  <c r="AW109" i="1"/>
  <c r="AS109" i="1"/>
  <c r="AR109" i="1"/>
  <c r="AV109" i="1"/>
  <c r="AP109" i="1"/>
  <c r="AQ109" i="1"/>
  <c r="AJ109" i="1"/>
  <c r="AL109" i="1"/>
  <c r="AN109" i="1"/>
  <c r="AO109" i="1"/>
  <c r="AH109" i="1"/>
  <c r="AI109" i="1"/>
  <c r="AT109" i="1"/>
  <c r="AM109" i="1"/>
  <c r="AE109" i="1"/>
  <c r="AU109" i="1"/>
  <c r="AX109" i="1"/>
  <c r="AF109" i="1"/>
  <c r="AG109" i="1"/>
  <c r="AC48" i="1" a="1"/>
  <c r="AC111" i="1" a="1"/>
  <c r="AF47" i="1" l="1"/>
  <c r="AM47" i="1"/>
  <c r="AN47" i="1"/>
  <c r="AU47" i="1"/>
  <c r="AD46" i="1"/>
  <c r="AK47" i="1"/>
  <c r="AH47" i="1"/>
  <c r="AG47" i="1"/>
  <c r="AR47" i="1"/>
  <c r="AV47" i="1"/>
  <c r="AL47" i="1"/>
  <c r="AT47" i="1"/>
  <c r="AE47" i="1"/>
  <c r="AW47" i="1"/>
  <c r="AO47" i="1"/>
  <c r="AJ47" i="1"/>
  <c r="AI47" i="1"/>
  <c r="AP47" i="1"/>
  <c r="AX47" i="1"/>
  <c r="AQ47" i="1"/>
  <c r="AC111" i="1"/>
  <c r="AC48" i="1"/>
  <c r="AF48" i="1" s="1"/>
  <c r="B114" i="1"/>
  <c r="W113" i="1"/>
  <c r="AQ110" i="1"/>
  <c r="AE110" i="1"/>
  <c r="AX110" i="1"/>
  <c r="AO110" i="1"/>
  <c r="AM110" i="1"/>
  <c r="AS110" i="1"/>
  <c r="AW110" i="1"/>
  <c r="AR110" i="1"/>
  <c r="AH110" i="1"/>
  <c r="AP110" i="1"/>
  <c r="AG110" i="1"/>
  <c r="AF110" i="1"/>
  <c r="AK110" i="1"/>
  <c r="AI110" i="1"/>
  <c r="AN110" i="1"/>
  <c r="AL110" i="1"/>
  <c r="AJ110" i="1"/>
  <c r="AT110" i="1"/>
  <c r="AV110" i="1"/>
  <c r="AU110" i="1"/>
  <c r="Z112" i="1"/>
  <c r="Y112" i="1"/>
  <c r="X112" i="1"/>
  <c r="AA112" i="1"/>
  <c r="AB112" i="1"/>
  <c r="AB48" i="1"/>
  <c r="X48" i="1"/>
  <c r="AA48" i="1"/>
  <c r="Z48" i="1"/>
  <c r="Y48" i="1"/>
  <c r="B50" i="1"/>
  <c r="W49" i="1"/>
  <c r="AD109" i="1"/>
  <c r="AC112" i="1" a="1"/>
  <c r="AC49" i="1" a="1"/>
  <c r="AJ48" i="1" l="1"/>
  <c r="AE48" i="1"/>
  <c r="AI48" i="1"/>
  <c r="AL48" i="1"/>
  <c r="AD47" i="1"/>
  <c r="AX48" i="1"/>
  <c r="AP48" i="1"/>
  <c r="AK48" i="1"/>
  <c r="AR48" i="1"/>
  <c r="AU48" i="1"/>
  <c r="AS48" i="1"/>
  <c r="AH48" i="1"/>
  <c r="AO48" i="1"/>
  <c r="AW48" i="1"/>
  <c r="AQ48" i="1"/>
  <c r="AM48" i="1"/>
  <c r="AT48" i="1"/>
  <c r="AN48" i="1"/>
  <c r="AV48" i="1"/>
  <c r="AG48" i="1"/>
  <c r="AC49" i="1"/>
  <c r="AL49" i="1" s="1"/>
  <c r="AC112" i="1"/>
  <c r="AD110" i="1"/>
  <c r="Y49" i="1"/>
  <c r="AA49" i="1"/>
  <c r="X49" i="1"/>
  <c r="AB49" i="1"/>
  <c r="Z49" i="1"/>
  <c r="W50" i="1"/>
  <c r="B51" i="1"/>
  <c r="AA113" i="1"/>
  <c r="X113" i="1"/>
  <c r="AB113" i="1"/>
  <c r="Z113" i="1"/>
  <c r="Y113" i="1"/>
  <c r="W114" i="1"/>
  <c r="B115" i="1"/>
  <c r="AL111" i="1"/>
  <c r="AM111" i="1"/>
  <c r="AJ111" i="1"/>
  <c r="AX111" i="1"/>
  <c r="AE111" i="1"/>
  <c r="AQ111" i="1"/>
  <c r="AW111" i="1"/>
  <c r="AF111" i="1"/>
  <c r="AS111" i="1"/>
  <c r="AP111" i="1"/>
  <c r="AH111" i="1"/>
  <c r="AT111" i="1"/>
  <c r="AV111" i="1"/>
  <c r="AR111" i="1"/>
  <c r="AG111" i="1"/>
  <c r="AK111" i="1"/>
  <c r="AO111" i="1"/>
  <c r="AN111" i="1"/>
  <c r="AI111" i="1"/>
  <c r="AU111" i="1"/>
  <c r="AC50" i="1" a="1"/>
  <c r="AC113" i="1" a="1"/>
  <c r="AD48" i="1" l="1"/>
  <c r="AX49" i="1"/>
  <c r="AJ49" i="1"/>
  <c r="AW49" i="1"/>
  <c r="AR49" i="1"/>
  <c r="AM49" i="1"/>
  <c r="AF49" i="1"/>
  <c r="AE49" i="1"/>
  <c r="AO49" i="1"/>
  <c r="AV49" i="1"/>
  <c r="AQ49" i="1"/>
  <c r="AP49" i="1"/>
  <c r="AG49" i="1"/>
  <c r="AI49" i="1"/>
  <c r="AT49" i="1"/>
  <c r="AS49" i="1"/>
  <c r="AN49" i="1"/>
  <c r="AU49" i="1"/>
  <c r="AK49" i="1"/>
  <c r="AH49" i="1"/>
  <c r="AC113" i="1"/>
  <c r="AC50" i="1"/>
  <c r="AI50" i="1" s="1"/>
  <c r="W51" i="1"/>
  <c r="B52" i="1"/>
  <c r="Z50" i="1"/>
  <c r="AA50" i="1"/>
  <c r="Y50" i="1"/>
  <c r="AB50" i="1"/>
  <c r="X50" i="1"/>
  <c r="B116" i="1"/>
  <c r="W115" i="1"/>
  <c r="X114" i="1"/>
  <c r="AB114" i="1"/>
  <c r="Z114" i="1"/>
  <c r="Y114" i="1"/>
  <c r="AA114" i="1"/>
  <c r="AK112" i="1"/>
  <c r="AV112" i="1"/>
  <c r="AW112" i="1"/>
  <c r="AT112" i="1"/>
  <c r="AR112" i="1"/>
  <c r="AM112" i="1"/>
  <c r="AS112" i="1"/>
  <c r="AO112" i="1"/>
  <c r="AP112" i="1"/>
  <c r="AE112" i="1"/>
  <c r="AL112" i="1"/>
  <c r="AJ112" i="1"/>
  <c r="AH112" i="1"/>
  <c r="AQ112" i="1"/>
  <c r="AX112" i="1"/>
  <c r="AF112" i="1"/>
  <c r="AG112" i="1"/>
  <c r="AN112" i="1"/>
  <c r="AI112" i="1"/>
  <c r="AU112" i="1"/>
  <c r="AD111" i="1"/>
  <c r="AC51" i="1" a="1"/>
  <c r="AC114" i="1" a="1"/>
  <c r="AM50" i="1" l="1"/>
  <c r="AR50" i="1"/>
  <c r="AO50" i="1"/>
  <c r="AJ50" i="1"/>
  <c r="AX50" i="1"/>
  <c r="AS50" i="1"/>
  <c r="AU50" i="1"/>
  <c r="AN50" i="1"/>
  <c r="AD49" i="1"/>
  <c r="AV50" i="1"/>
  <c r="AE50" i="1"/>
  <c r="AP50" i="1"/>
  <c r="AG50" i="1"/>
  <c r="AL50" i="1"/>
  <c r="AK50" i="1"/>
  <c r="AT50" i="1"/>
  <c r="AW50" i="1"/>
  <c r="AH50" i="1"/>
  <c r="AC114" i="1"/>
  <c r="AC51" i="1"/>
  <c r="AO51" i="1" s="1"/>
  <c r="AD112" i="1"/>
  <c r="AB115" i="1"/>
  <c r="X115" i="1"/>
  <c r="AA115" i="1"/>
  <c r="Z115" i="1"/>
  <c r="Y115" i="1"/>
  <c r="B117" i="1"/>
  <c r="W117" i="1" s="1"/>
  <c r="W116" i="1"/>
  <c r="B53" i="1"/>
  <c r="W52" i="1"/>
  <c r="AB51" i="1"/>
  <c r="AA51" i="1"/>
  <c r="Z51" i="1"/>
  <c r="Y51" i="1"/>
  <c r="X51" i="1"/>
  <c r="AN51" i="1"/>
  <c r="AQ50" i="1"/>
  <c r="AF50" i="1"/>
  <c r="AM113" i="1"/>
  <c r="AN113" i="1"/>
  <c r="AG113" i="1"/>
  <c r="AJ113" i="1"/>
  <c r="AR113" i="1"/>
  <c r="AE113" i="1"/>
  <c r="AK113" i="1"/>
  <c r="AT113" i="1"/>
  <c r="AI113" i="1"/>
  <c r="AS113" i="1"/>
  <c r="AW113" i="1"/>
  <c r="AU113" i="1"/>
  <c r="AO113" i="1"/>
  <c r="AQ113" i="1"/>
  <c r="AV113" i="1"/>
  <c r="AL113" i="1"/>
  <c r="AF113" i="1"/>
  <c r="AP113" i="1"/>
  <c r="AH113" i="1"/>
  <c r="AX113" i="1"/>
  <c r="AC52" i="1" a="1"/>
  <c r="AC115" i="1" a="1"/>
  <c r="AM51" i="1" l="1"/>
  <c r="AJ51" i="1"/>
  <c r="AF51" i="1"/>
  <c r="AT51" i="1"/>
  <c r="AL51" i="1"/>
  <c r="AK51" i="1"/>
  <c r="AV51" i="1"/>
  <c r="AI51" i="1"/>
  <c r="AU51" i="1"/>
  <c r="AS51" i="1"/>
  <c r="AP51" i="1"/>
  <c r="AE51" i="1"/>
  <c r="AD50" i="1"/>
  <c r="AH51" i="1"/>
  <c r="AW51" i="1"/>
  <c r="AX51" i="1"/>
  <c r="AG51" i="1"/>
  <c r="AR51" i="1"/>
  <c r="AC115" i="1"/>
  <c r="AC52" i="1"/>
  <c r="AJ52" i="1" s="1"/>
  <c r="AD113" i="1"/>
  <c r="Z52" i="1"/>
  <c r="X52" i="1"/>
  <c r="AB52" i="1"/>
  <c r="AA52" i="1"/>
  <c r="Y52" i="1"/>
  <c r="B54" i="1"/>
  <c r="W53" i="1"/>
  <c r="AA116" i="1"/>
  <c r="X116" i="1"/>
  <c r="AB116" i="1"/>
  <c r="Z116" i="1"/>
  <c r="Y116" i="1"/>
  <c r="Z117" i="1"/>
  <c r="AB117" i="1"/>
  <c r="X117" i="1"/>
  <c r="Y117" i="1"/>
  <c r="AA117" i="1"/>
  <c r="AQ51" i="1"/>
  <c r="AE114" i="1"/>
  <c r="AJ114" i="1"/>
  <c r="AI114" i="1"/>
  <c r="AP114" i="1"/>
  <c r="AV114" i="1"/>
  <c r="AL114" i="1"/>
  <c r="AT114" i="1"/>
  <c r="AW114" i="1"/>
  <c r="AO114" i="1"/>
  <c r="AG114" i="1"/>
  <c r="AF114" i="1"/>
  <c r="AR114" i="1"/>
  <c r="AM114" i="1"/>
  <c r="AH114" i="1"/>
  <c r="AX114" i="1"/>
  <c r="AN114" i="1"/>
  <c r="AS114" i="1"/>
  <c r="AU114" i="1"/>
  <c r="AQ114" i="1"/>
  <c r="AK114" i="1"/>
  <c r="AC53" i="1" a="1"/>
  <c r="AC116" i="1" a="1"/>
  <c r="AC117" i="1" a="1"/>
  <c r="AX52" i="1" l="1"/>
  <c r="AH52" i="1"/>
  <c r="AM52" i="1"/>
  <c r="AR52" i="1"/>
  <c r="AK52" i="1"/>
  <c r="AG52" i="1"/>
  <c r="AD51" i="1"/>
  <c r="AE52" i="1"/>
  <c r="AV52" i="1"/>
  <c r="AQ52" i="1"/>
  <c r="AW52" i="1"/>
  <c r="AT52" i="1"/>
  <c r="AS52" i="1"/>
  <c r="AP52" i="1"/>
  <c r="AI52" i="1"/>
  <c r="AF52" i="1"/>
  <c r="AD114" i="1"/>
  <c r="AN52" i="1"/>
  <c r="AO52" i="1"/>
  <c r="AC117" i="1"/>
  <c r="AC116" i="1"/>
  <c r="AC53" i="1"/>
  <c r="AE53" i="1" s="1"/>
  <c r="AB53" i="1"/>
  <c r="Y53" i="1"/>
  <c r="AA53" i="1"/>
  <c r="X53" i="1"/>
  <c r="Z53" i="1"/>
  <c r="B55" i="1"/>
  <c r="W54" i="1"/>
  <c r="AU52" i="1"/>
  <c r="AL52" i="1"/>
  <c r="AH115" i="1"/>
  <c r="AF115" i="1"/>
  <c r="AE115" i="1"/>
  <c r="AW115" i="1"/>
  <c r="AN115" i="1"/>
  <c r="AI115" i="1"/>
  <c r="AG115" i="1"/>
  <c r="AS115" i="1"/>
  <c r="AX115" i="1"/>
  <c r="AP115" i="1"/>
  <c r="AU115" i="1"/>
  <c r="AR115" i="1"/>
  <c r="AV115" i="1"/>
  <c r="AO115" i="1"/>
  <c r="AT115" i="1"/>
  <c r="AL115" i="1"/>
  <c r="AQ115" i="1"/>
  <c r="AJ115" i="1"/>
  <c r="AM115" i="1"/>
  <c r="AK115" i="1"/>
  <c r="AC54" i="1" a="1"/>
  <c r="AR53" i="1" l="1"/>
  <c r="AT53" i="1"/>
  <c r="AG53" i="1"/>
  <c r="AQ53" i="1"/>
  <c r="AW53" i="1"/>
  <c r="AP53" i="1"/>
  <c r="AV53" i="1"/>
  <c r="AL53" i="1"/>
  <c r="AD52" i="1"/>
  <c r="AO53" i="1"/>
  <c r="AI53" i="1"/>
  <c r="AD115" i="1"/>
  <c r="AX53" i="1"/>
  <c r="AM53" i="1"/>
  <c r="AH53" i="1"/>
  <c r="AF53" i="1"/>
  <c r="AN53" i="1"/>
  <c r="AC54" i="1"/>
  <c r="AR54" i="1" s="1"/>
  <c r="Y54" i="1"/>
  <c r="Z54" i="1"/>
  <c r="AB54" i="1"/>
  <c r="X54" i="1"/>
  <c r="AA54" i="1"/>
  <c r="AJ54" i="1"/>
  <c r="B56" i="1"/>
  <c r="W55" i="1"/>
  <c r="AS53" i="1"/>
  <c r="AX116" i="1"/>
  <c r="AW116" i="1"/>
  <c r="AM116" i="1"/>
  <c r="AS116" i="1"/>
  <c r="AP116" i="1"/>
  <c r="AO116" i="1"/>
  <c r="AH116" i="1"/>
  <c r="AQ116" i="1"/>
  <c r="AL116" i="1"/>
  <c r="AJ116" i="1"/>
  <c r="AG116" i="1"/>
  <c r="AN116" i="1"/>
  <c r="AI116" i="1"/>
  <c r="AU116" i="1"/>
  <c r="AV116" i="1"/>
  <c r="AE116" i="1"/>
  <c r="AF116" i="1"/>
  <c r="AK116" i="1"/>
  <c r="AT116" i="1"/>
  <c r="AR116" i="1"/>
  <c r="AK53" i="1"/>
  <c r="AJ53" i="1"/>
  <c r="AU53" i="1"/>
  <c r="AN117" i="1"/>
  <c r="AK117" i="1"/>
  <c r="AF117" i="1"/>
  <c r="AI117" i="1"/>
  <c r="AE117" i="1"/>
  <c r="AR117" i="1"/>
  <c r="AO117" i="1"/>
  <c r="AV117" i="1"/>
  <c r="AJ117" i="1"/>
  <c r="AP117" i="1"/>
  <c r="AL117" i="1"/>
  <c r="AM117" i="1"/>
  <c r="AS117" i="1"/>
  <c r="AG117" i="1"/>
  <c r="AH117" i="1"/>
  <c r="AX117" i="1"/>
  <c r="AT117" i="1"/>
  <c r="AW117" i="1"/>
  <c r="AU117" i="1"/>
  <c r="AQ117" i="1"/>
  <c r="AC55" i="1" a="1"/>
  <c r="AF54" i="1" l="1"/>
  <c r="AH54" i="1"/>
  <c r="AM54" i="1"/>
  <c r="AX54" i="1"/>
  <c r="AU54" i="1"/>
  <c r="AN54" i="1"/>
  <c r="AP54" i="1"/>
  <c r="AS54" i="1"/>
  <c r="AL54" i="1"/>
  <c r="AV54" i="1"/>
  <c r="AO54" i="1"/>
  <c r="AK54" i="1"/>
  <c r="AD53" i="1"/>
  <c r="AG54" i="1"/>
  <c r="AW54" i="1"/>
  <c r="AI54" i="1"/>
  <c r="AT54" i="1"/>
  <c r="AE54" i="1"/>
  <c r="AQ54" i="1"/>
  <c r="AC55" i="1"/>
  <c r="AP55" i="1" s="1"/>
  <c r="AD117" i="1"/>
  <c r="AD116" i="1"/>
  <c r="X55" i="1"/>
  <c r="Z55" i="1"/>
  <c r="AB55" i="1"/>
  <c r="AA55" i="1"/>
  <c r="Y55" i="1"/>
  <c r="W56" i="1"/>
  <c r="B57" i="1"/>
  <c r="AC56" i="1" a="1"/>
  <c r="AW55" i="1" l="1"/>
  <c r="AR55" i="1"/>
  <c r="AQ55" i="1"/>
  <c r="AL55" i="1"/>
  <c r="AK55" i="1"/>
  <c r="AE55" i="1"/>
  <c r="AD54" i="1"/>
  <c r="AI55" i="1"/>
  <c r="AF55" i="1"/>
  <c r="AH55" i="1"/>
  <c r="AV55" i="1"/>
  <c r="AJ55" i="1"/>
  <c r="AS55" i="1"/>
  <c r="AT55" i="1"/>
  <c r="AX55" i="1"/>
  <c r="AU55" i="1"/>
  <c r="AN55" i="1"/>
  <c r="AG55" i="1"/>
  <c r="AO55" i="1"/>
  <c r="AM55" i="1"/>
  <c r="AC56" i="1"/>
  <c r="AK56" i="1" s="1"/>
  <c r="B58" i="1"/>
  <c r="W57" i="1"/>
  <c r="X56" i="1"/>
  <c r="Z56" i="1"/>
  <c r="AB56" i="1"/>
  <c r="AA56" i="1"/>
  <c r="Y56" i="1"/>
  <c r="AC57" i="1" a="1"/>
  <c r="AD55" i="1" l="1"/>
  <c r="AU56" i="1"/>
  <c r="AQ56" i="1"/>
  <c r="AL56" i="1"/>
  <c r="AG56" i="1"/>
  <c r="AJ56" i="1"/>
  <c r="AE56" i="1"/>
  <c r="AI56" i="1"/>
  <c r="AT56" i="1"/>
  <c r="AS56" i="1"/>
  <c r="AP56" i="1"/>
  <c r="AM56" i="1"/>
  <c r="AO56" i="1"/>
  <c r="AF56" i="1"/>
  <c r="AR56" i="1"/>
  <c r="AW56" i="1"/>
  <c r="AH56" i="1"/>
  <c r="AN56" i="1"/>
  <c r="AX56" i="1"/>
  <c r="AV56" i="1"/>
  <c r="AC57" i="1"/>
  <c r="AP57" i="1" s="1"/>
  <c r="Z57" i="1"/>
  <c r="AA57" i="1"/>
  <c r="X57" i="1"/>
  <c r="AB57" i="1"/>
  <c r="Y57" i="1"/>
  <c r="W58" i="1"/>
  <c r="B59" i="1"/>
  <c r="B62" i="1"/>
  <c r="AC58" i="1" a="1"/>
  <c r="AD56" i="1" l="1"/>
  <c r="AJ57" i="1"/>
  <c r="AL57" i="1"/>
  <c r="AW57" i="1"/>
  <c r="AG57" i="1"/>
  <c r="AT57" i="1"/>
  <c r="AV57" i="1"/>
  <c r="AF57" i="1"/>
  <c r="AU57" i="1"/>
  <c r="AX57" i="1"/>
  <c r="AR57" i="1"/>
  <c r="AM57" i="1"/>
  <c r="AE57" i="1"/>
  <c r="AO57" i="1"/>
  <c r="AI57" i="1"/>
  <c r="AK57" i="1"/>
  <c r="AQ57" i="1"/>
  <c r="AS57" i="1"/>
  <c r="AN57" i="1"/>
  <c r="AH57" i="1"/>
  <c r="AC58" i="1"/>
  <c r="AS58" i="1" s="1"/>
  <c r="W59" i="1"/>
  <c r="B60" i="1"/>
  <c r="Z58" i="1"/>
  <c r="X58" i="1"/>
  <c r="AB58" i="1"/>
  <c r="AA58" i="1"/>
  <c r="Y58" i="1"/>
  <c r="W62" i="1"/>
  <c r="B63" i="1"/>
  <c r="AC59" i="1" a="1"/>
  <c r="AC62" i="1" a="1"/>
  <c r="AO58" i="1" l="1"/>
  <c r="AX58" i="1"/>
  <c r="AT58" i="1"/>
  <c r="AR58" i="1"/>
  <c r="AN58" i="1"/>
  <c r="AV58" i="1"/>
  <c r="AH58" i="1"/>
  <c r="AD57" i="1"/>
  <c r="AW58" i="1"/>
  <c r="AG58" i="1"/>
  <c r="AF58" i="1"/>
  <c r="AJ58" i="1"/>
  <c r="AI58" i="1"/>
  <c r="AU58" i="1"/>
  <c r="AM58" i="1"/>
  <c r="AE58" i="1"/>
  <c r="AQ58" i="1"/>
  <c r="AL58" i="1"/>
  <c r="AK58" i="1"/>
  <c r="AP58" i="1"/>
  <c r="AC59" i="1"/>
  <c r="AW59" i="1" s="1"/>
  <c r="B61" i="1"/>
  <c r="W61" i="1" s="1"/>
  <c r="W60" i="1"/>
  <c r="Y59" i="1"/>
  <c r="AB59" i="1"/>
  <c r="AA59" i="1"/>
  <c r="Z59" i="1"/>
  <c r="X59" i="1"/>
  <c r="W63" i="1"/>
  <c r="Y63" i="1" s="1"/>
  <c r="B64" i="1"/>
  <c r="X62" i="1"/>
  <c r="Z62" i="1"/>
  <c r="AA62" i="1"/>
  <c r="AB62" i="1"/>
  <c r="Y62" i="1"/>
  <c r="AC62" i="1"/>
  <c r="AX62" i="1" s="1"/>
  <c r="AC61" i="1" a="1"/>
  <c r="AC60" i="1" a="1"/>
  <c r="AC63" i="1" a="1"/>
  <c r="AQ59" i="1" l="1"/>
  <c r="AJ59" i="1"/>
  <c r="AI59" i="1"/>
  <c r="AX59" i="1"/>
  <c r="AM59" i="1"/>
  <c r="AE59" i="1"/>
  <c r="AH59" i="1"/>
  <c r="AF59" i="1"/>
  <c r="AL59" i="1"/>
  <c r="AD58" i="1"/>
  <c r="AS59" i="1"/>
  <c r="AG59" i="1"/>
  <c r="AP59" i="1"/>
  <c r="AT59" i="1"/>
  <c r="AV59" i="1"/>
  <c r="AK59" i="1"/>
  <c r="AN59" i="1"/>
  <c r="AO59" i="1"/>
  <c r="AR59" i="1"/>
  <c r="AU59" i="1"/>
  <c r="AC60" i="1"/>
  <c r="AS60" i="1" s="1"/>
  <c r="AC61" i="1"/>
  <c r="AL61" i="1" s="1"/>
  <c r="Y60" i="1"/>
  <c r="X60" i="1"/>
  <c r="Z60" i="1"/>
  <c r="AA60" i="1"/>
  <c r="AB60" i="1"/>
  <c r="Z61" i="1"/>
  <c r="Y61" i="1"/>
  <c r="AA61" i="1"/>
  <c r="X61" i="1"/>
  <c r="AB61" i="1"/>
  <c r="X63" i="1"/>
  <c r="AA63" i="1"/>
  <c r="AB63" i="1"/>
  <c r="Z63" i="1"/>
  <c r="AC63" i="1"/>
  <c r="AW63" i="1" s="1"/>
  <c r="B65" i="1"/>
  <c r="W64" i="1"/>
  <c r="AJ62" i="1"/>
  <c r="AI62" i="1"/>
  <c r="AR62" i="1"/>
  <c r="AN62" i="1"/>
  <c r="AW62" i="1"/>
  <c r="AF62" i="1"/>
  <c r="AM62" i="1"/>
  <c r="AK62" i="1"/>
  <c r="AQ62" i="1"/>
  <c r="AH62" i="1"/>
  <c r="AG62" i="1"/>
  <c r="AV62" i="1"/>
  <c r="AE62" i="1"/>
  <c r="AT62" i="1"/>
  <c r="AP62" i="1"/>
  <c r="AS62" i="1"/>
  <c r="AO62" i="1"/>
  <c r="AL62" i="1"/>
  <c r="AU62" i="1"/>
  <c r="AC64" i="1" a="1"/>
  <c r="AD59" i="1" l="1"/>
  <c r="AP60" i="1"/>
  <c r="AX60" i="1"/>
  <c r="AF60" i="1"/>
  <c r="AL60" i="1"/>
  <c r="AE60" i="1"/>
  <c r="AI60" i="1"/>
  <c r="AG60" i="1"/>
  <c r="AM60" i="1"/>
  <c r="AN60" i="1"/>
  <c r="AH60" i="1"/>
  <c r="AQ60" i="1"/>
  <c r="AK60" i="1"/>
  <c r="AR60" i="1"/>
  <c r="AW60" i="1"/>
  <c r="AT60" i="1"/>
  <c r="AO60" i="1"/>
  <c r="AV60" i="1"/>
  <c r="AU60" i="1"/>
  <c r="AJ60" i="1"/>
  <c r="AQ61" i="1"/>
  <c r="AE61" i="1"/>
  <c r="AX61" i="1"/>
  <c r="AV61" i="1"/>
  <c r="AS61" i="1"/>
  <c r="AK61" i="1"/>
  <c r="AR61" i="1"/>
  <c r="AU61" i="1"/>
  <c r="AI61" i="1"/>
  <c r="AW61" i="1"/>
  <c r="AP61" i="1"/>
  <c r="AJ61" i="1"/>
  <c r="AO61" i="1"/>
  <c r="AH61" i="1"/>
  <c r="AM61" i="1"/>
  <c r="AF61" i="1"/>
  <c r="AG61" i="1"/>
  <c r="AN61" i="1"/>
  <c r="AT61" i="1"/>
  <c r="AL63" i="1"/>
  <c r="AF63" i="1"/>
  <c r="AQ63" i="1"/>
  <c r="AX63" i="1"/>
  <c r="AP63" i="1"/>
  <c r="AI63" i="1"/>
  <c r="AN63" i="1"/>
  <c r="AG63" i="1"/>
  <c r="AM63" i="1"/>
  <c r="AS63" i="1"/>
  <c r="AR63" i="1"/>
  <c r="AK63" i="1"/>
  <c r="AO63" i="1"/>
  <c r="AJ63" i="1"/>
  <c r="AV63" i="1"/>
  <c r="AE63" i="1"/>
  <c r="AT63" i="1"/>
  <c r="AU63" i="1"/>
  <c r="AH63" i="1"/>
  <c r="AC64" i="1"/>
  <c r="AS64" i="1" s="1"/>
  <c r="AA64" i="1"/>
  <c r="Y64" i="1"/>
  <c r="Z64" i="1"/>
  <c r="AB64" i="1"/>
  <c r="X64" i="1"/>
  <c r="B66" i="1"/>
  <c r="W65" i="1"/>
  <c r="AD62" i="1"/>
  <c r="AC65" i="1" a="1"/>
  <c r="AD60" i="1" l="1"/>
  <c r="AD61" i="1"/>
  <c r="AD63" i="1"/>
  <c r="AU64" i="1"/>
  <c r="AO64" i="1"/>
  <c r="AN64" i="1"/>
  <c r="AP64" i="1"/>
  <c r="AM64" i="1"/>
  <c r="AE64" i="1"/>
  <c r="AI64" i="1"/>
  <c r="AX64" i="1"/>
  <c r="AH64" i="1"/>
  <c r="AQ64" i="1"/>
  <c r="AL64" i="1"/>
  <c r="AV64" i="1"/>
  <c r="AR64" i="1"/>
  <c r="AF64" i="1"/>
  <c r="AK64" i="1"/>
  <c r="AW64" i="1"/>
  <c r="AJ64" i="1"/>
  <c r="AG64" i="1"/>
  <c r="AT64" i="1"/>
  <c r="AC65" i="1"/>
  <c r="AH65" i="1" s="1"/>
  <c r="AA65" i="1"/>
  <c r="Y65" i="1"/>
  <c r="Z65" i="1"/>
  <c r="AB65" i="1"/>
  <c r="X65" i="1"/>
  <c r="W66" i="1"/>
  <c r="B67" i="1"/>
  <c r="H2" i="8"/>
  <c r="AC66" i="1" a="1"/>
  <c r="J2" i="8" l="1"/>
  <c r="G1" i="9" s="1"/>
  <c r="E1" i="9"/>
  <c r="AN65" i="1"/>
  <c r="AV65" i="1"/>
  <c r="AE65" i="1"/>
  <c r="AX65" i="1"/>
  <c r="AL65" i="1"/>
  <c r="AM65" i="1"/>
  <c r="AS65" i="1"/>
  <c r="AO65" i="1"/>
  <c r="AW65" i="1"/>
  <c r="AF65" i="1"/>
  <c r="AT65" i="1"/>
  <c r="AG65" i="1"/>
  <c r="AP65" i="1"/>
  <c r="AU65" i="1"/>
  <c r="AR65" i="1"/>
  <c r="AQ65" i="1"/>
  <c r="AK65" i="1"/>
  <c r="AJ65" i="1"/>
  <c r="AI65" i="1"/>
  <c r="AD64" i="1"/>
  <c r="AC66" i="1"/>
  <c r="AW66" i="1" s="1"/>
  <c r="B68" i="1"/>
  <c r="W67" i="1"/>
  <c r="X66" i="1"/>
  <c r="Z66" i="1"/>
  <c r="Y66" i="1"/>
  <c r="AA66" i="1"/>
  <c r="AB66" i="1"/>
  <c r="I2" i="8"/>
  <c r="F1" i="9" s="1"/>
  <c r="A2" i="7" a="1"/>
  <c r="A2" i="7" s="1"/>
  <c r="A3" i="7" a="1"/>
  <c r="G8" i="7"/>
  <c r="E8" i="7"/>
  <c r="G3" i="7"/>
  <c r="G6" i="7"/>
  <c r="G7" i="7"/>
  <c r="G4" i="7"/>
  <c r="G5" i="7"/>
  <c r="E5" i="7"/>
  <c r="E7" i="7"/>
  <c r="E4" i="7"/>
  <c r="E6" i="7"/>
  <c r="E3" i="7"/>
  <c r="AC67" i="1" a="1"/>
  <c r="F8" i="7" l="1"/>
  <c r="H8" i="7"/>
  <c r="F5" i="7"/>
  <c r="AX66" i="1"/>
  <c r="AF66" i="1"/>
  <c r="AJ66" i="1"/>
  <c r="AP66" i="1"/>
  <c r="AK66" i="1"/>
  <c r="AG66" i="1"/>
  <c r="AU66" i="1"/>
  <c r="AH66" i="1"/>
  <c r="AQ66" i="1"/>
  <c r="AM66" i="1"/>
  <c r="AT66" i="1"/>
  <c r="AR66" i="1"/>
  <c r="AI66" i="1"/>
  <c r="AL66" i="1"/>
  <c r="AS66" i="1"/>
  <c r="AO66" i="1"/>
  <c r="AN66" i="1"/>
  <c r="AV66" i="1"/>
  <c r="AE66" i="1"/>
  <c r="AD65" i="1"/>
  <c r="AC67" i="1"/>
  <c r="AT67" i="1" s="1"/>
  <c r="AA67" i="1"/>
  <c r="X67" i="1"/>
  <c r="AB67" i="1"/>
  <c r="Y67" i="1"/>
  <c r="Z67" i="1"/>
  <c r="B69" i="1"/>
  <c r="W68" i="1"/>
  <c r="F4" i="7"/>
  <c r="F7" i="7"/>
  <c r="F6" i="7"/>
  <c r="F3" i="7"/>
  <c r="G12" i="5"/>
  <c r="G14" i="5"/>
  <c r="H3" i="7"/>
  <c r="G13" i="5"/>
  <c r="H7" i="7"/>
  <c r="G9" i="5"/>
  <c r="G20" i="5"/>
  <c r="G10" i="5"/>
  <c r="G18" i="5"/>
  <c r="H4" i="7"/>
  <c r="G8" i="5"/>
  <c r="G17" i="5"/>
  <c r="G11" i="5"/>
  <c r="G21" i="5"/>
  <c r="H6" i="7"/>
  <c r="G19" i="5"/>
  <c r="G15" i="5"/>
  <c r="G16" i="5"/>
  <c r="H5" i="7"/>
  <c r="A3" i="7"/>
  <c r="L2" i="8"/>
  <c r="I1" i="9" s="1"/>
  <c r="K2" i="8"/>
  <c r="H1" i="9" s="1"/>
  <c r="AC68" i="1" a="1"/>
  <c r="G3" i="5" l="1"/>
  <c r="H3" i="5" s="1"/>
  <c r="G4" i="5"/>
  <c r="H4" i="5" s="1"/>
  <c r="G7" i="5"/>
  <c r="H7" i="5" s="1"/>
  <c r="G6" i="5"/>
  <c r="H6" i="5" s="1"/>
  <c r="G5" i="5"/>
  <c r="H5" i="5" s="1"/>
  <c r="AH67" i="1"/>
  <c r="AR67" i="1"/>
  <c r="AI67" i="1"/>
  <c r="AD66" i="1"/>
  <c r="AU67" i="1"/>
  <c r="AW67" i="1"/>
  <c r="AG67" i="1"/>
  <c r="AO67" i="1"/>
  <c r="AF67" i="1"/>
  <c r="AJ67" i="1"/>
  <c r="AN67" i="1"/>
  <c r="AQ67" i="1"/>
  <c r="AL67" i="1"/>
  <c r="AK67" i="1"/>
  <c r="AV67" i="1"/>
  <c r="AM67" i="1"/>
  <c r="AE67" i="1"/>
  <c r="AP67" i="1"/>
  <c r="AS67" i="1"/>
  <c r="AX67" i="1"/>
  <c r="AC68" i="1"/>
  <c r="AH68" i="1" s="1"/>
  <c r="Z68" i="1"/>
  <c r="AA68" i="1"/>
  <c r="AB68" i="1"/>
  <c r="Y68" i="1"/>
  <c r="X68" i="1"/>
  <c r="W69" i="1"/>
  <c r="B70" i="1"/>
  <c r="D3" i="5"/>
  <c r="E3" i="5" s="1"/>
  <c r="D9" i="5"/>
  <c r="E9" i="5" s="1"/>
  <c r="D21" i="5"/>
  <c r="E21" i="5" s="1"/>
  <c r="D14" i="5"/>
  <c r="E14" i="5" s="1"/>
  <c r="D5" i="5"/>
  <c r="E5" i="5" s="1"/>
  <c r="D12" i="5"/>
  <c r="E12" i="5" s="1"/>
  <c r="D15" i="5"/>
  <c r="E15" i="5" s="1"/>
  <c r="D19" i="5"/>
  <c r="E19" i="5" s="1"/>
  <c r="D6" i="5"/>
  <c r="E6" i="5" s="1"/>
  <c r="D4" i="5"/>
  <c r="E4" i="5" s="1"/>
  <c r="D16" i="5"/>
  <c r="E16" i="5" s="1"/>
  <c r="D7" i="5"/>
  <c r="E7" i="5" s="1"/>
  <c r="D18" i="5"/>
  <c r="E18" i="5" s="1"/>
  <c r="D20" i="5"/>
  <c r="E20" i="5" s="1"/>
  <c r="D10" i="5"/>
  <c r="E10" i="5" s="1"/>
  <c r="D11" i="5"/>
  <c r="E11" i="5" s="1"/>
  <c r="D13" i="5"/>
  <c r="E13" i="5" s="1"/>
  <c r="D8" i="5"/>
  <c r="E8" i="5" s="1"/>
  <c r="D17" i="5"/>
  <c r="E17" i="5" s="1"/>
  <c r="M16" i="5"/>
  <c r="N16" i="5" s="1"/>
  <c r="M21" i="5"/>
  <c r="N21" i="5" s="1"/>
  <c r="M12" i="5"/>
  <c r="N12" i="5" s="1"/>
  <c r="M10" i="5"/>
  <c r="N10" i="5" s="1"/>
  <c r="M8" i="5"/>
  <c r="N8" i="5" s="1"/>
  <c r="M13" i="5"/>
  <c r="N13" i="5" s="1"/>
  <c r="M11" i="5"/>
  <c r="N11" i="5" s="1"/>
  <c r="M19" i="5"/>
  <c r="N19" i="5" s="1"/>
  <c r="M7" i="5"/>
  <c r="N7" i="5" s="1"/>
  <c r="M20" i="5"/>
  <c r="N20" i="5" s="1"/>
  <c r="M14" i="5"/>
  <c r="N14" i="5" s="1"/>
  <c r="M18" i="5"/>
  <c r="N18" i="5" s="1"/>
  <c r="M17" i="5"/>
  <c r="N17" i="5" s="1"/>
  <c r="M9" i="5"/>
  <c r="N9" i="5" s="1"/>
  <c r="M15" i="5"/>
  <c r="N15" i="5" s="1"/>
  <c r="D2" i="5"/>
  <c r="E2" i="5" s="1"/>
  <c r="F9" i="7"/>
  <c r="G2" i="5"/>
  <c r="H8" i="5"/>
  <c r="H16" i="5"/>
  <c r="H13" i="5"/>
  <c r="H21" i="5"/>
  <c r="H14" i="5"/>
  <c r="H11" i="5"/>
  <c r="H17" i="5"/>
  <c r="H12" i="5"/>
  <c r="H10" i="5"/>
  <c r="H20" i="5"/>
  <c r="H18" i="5"/>
  <c r="H9" i="5"/>
  <c r="H15" i="5"/>
  <c r="H19" i="5"/>
  <c r="N2" i="8"/>
  <c r="K1" i="9" s="1"/>
  <c r="M2" i="8"/>
  <c r="J1" i="9" s="1"/>
  <c r="AC69" i="1" a="1"/>
  <c r="A129" i="9" l="1" a="1"/>
  <c r="A129" i="9" s="1"/>
  <c r="A111" i="9" a="1"/>
  <c r="A111" i="9" s="1"/>
  <c r="A128" i="9" a="1"/>
  <c r="A128" i="9" s="1"/>
  <c r="A70" i="9" a="1"/>
  <c r="A70" i="9" s="1"/>
  <c r="A13" i="9" a="1"/>
  <c r="A13" i="9" s="1"/>
  <c r="A37" i="9" a="1"/>
  <c r="A37" i="9" s="1"/>
  <c r="A132" i="9" a="1"/>
  <c r="A132" i="9" s="1"/>
  <c r="A7" i="9" a="1"/>
  <c r="A7" i="9" s="1"/>
  <c r="A137" i="9" a="1"/>
  <c r="A137" i="9" s="1"/>
  <c r="A91" i="9" a="1"/>
  <c r="A91" i="9" s="1"/>
  <c r="A101" i="9" a="1"/>
  <c r="A101" i="9" s="1"/>
  <c r="A71" i="9" a="1"/>
  <c r="A71" i="9" s="1"/>
  <c r="A102" i="9" a="1"/>
  <c r="A102" i="9" s="1"/>
  <c r="A66" i="9" a="1"/>
  <c r="A66" i="9" s="1"/>
  <c r="A100" i="9" a="1"/>
  <c r="A100" i="9" s="1"/>
  <c r="A1" i="9" a="1"/>
  <c r="A1" i="9" s="1"/>
  <c r="A150" i="9" a="1"/>
  <c r="A150" i="9" s="1"/>
  <c r="A125" i="9" a="1"/>
  <c r="A125" i="9" s="1"/>
  <c r="A6" i="9" a="1"/>
  <c r="A6" i="9" s="1"/>
  <c r="A29" i="9" a="1"/>
  <c r="A29" i="9" s="1"/>
  <c r="A103" i="9" a="1"/>
  <c r="A103" i="9" s="1"/>
  <c r="A49" i="9" a="1"/>
  <c r="A49" i="9" s="1"/>
  <c r="A45" i="9" a="1"/>
  <c r="A45" i="9" s="1"/>
  <c r="A110" i="9" a="1"/>
  <c r="A110" i="9" s="1"/>
  <c r="A41" i="9" a="1"/>
  <c r="A41" i="9" s="1"/>
  <c r="A138" i="9" a="1"/>
  <c r="A138" i="9" s="1"/>
  <c r="A120" i="9" a="1"/>
  <c r="A120" i="9" s="1"/>
  <c r="A135" i="9" a="1"/>
  <c r="A135" i="9" s="1"/>
  <c r="A4" i="9" a="1"/>
  <c r="A4" i="9" s="1"/>
  <c r="A57" i="9" a="1"/>
  <c r="A57" i="9" s="1"/>
  <c r="A131" i="9" a="1"/>
  <c r="A131" i="9" s="1"/>
  <c r="A82" i="9" a="1"/>
  <c r="A82" i="9" s="1"/>
  <c r="A67" i="9" a="1"/>
  <c r="A67" i="9" s="1"/>
  <c r="A63" i="9" a="1"/>
  <c r="A63" i="9" s="1"/>
  <c r="A40" i="9" a="1"/>
  <c r="A40" i="9" s="1"/>
  <c r="A79" i="9" a="1"/>
  <c r="A79" i="9" s="1"/>
  <c r="A68" i="9" a="1"/>
  <c r="A68" i="9" s="1"/>
  <c r="A25" i="9" a="1"/>
  <c r="A25" i="9" s="1"/>
  <c r="A116" i="9" a="1"/>
  <c r="A116" i="9" s="1"/>
  <c r="A97" i="9" a="1"/>
  <c r="A97" i="9" s="1"/>
  <c r="A104" i="9" a="1"/>
  <c r="A104" i="9" s="1"/>
  <c r="A141" i="9" a="1"/>
  <c r="A141" i="9" s="1"/>
  <c r="A38" i="9" a="1"/>
  <c r="A38" i="9" s="1"/>
  <c r="A58" i="9" a="1"/>
  <c r="A58" i="9" s="1"/>
  <c r="A15" i="9" a="1"/>
  <c r="A15" i="9" s="1"/>
  <c r="A123" i="9" a="1"/>
  <c r="A123" i="9" s="1"/>
  <c r="A73" i="9" a="1"/>
  <c r="A73" i="9" s="1"/>
  <c r="A122" i="9" a="1"/>
  <c r="A122" i="9" s="1"/>
  <c r="A5" i="9" a="1"/>
  <c r="A5" i="9" s="1"/>
  <c r="A44" i="9" a="1"/>
  <c r="A44" i="9" s="1"/>
  <c r="A119" i="9" a="1"/>
  <c r="A119" i="9" s="1"/>
  <c r="A56" i="9" a="1"/>
  <c r="A56" i="9" s="1"/>
  <c r="A149" i="9" a="1"/>
  <c r="A149" i="9" s="1"/>
  <c r="A147" i="9" a="1"/>
  <c r="A147" i="9" s="1"/>
  <c r="A92" i="9" a="1"/>
  <c r="A92" i="9" s="1"/>
  <c r="A108" i="9" a="1"/>
  <c r="A108" i="9" s="1"/>
  <c r="A126" i="9" a="1"/>
  <c r="A126" i="9" s="1"/>
  <c r="A83" i="9" a="1"/>
  <c r="A83" i="9" s="1"/>
  <c r="A61" i="9" a="1"/>
  <c r="A61" i="9" s="1"/>
  <c r="A117" i="9" a="1"/>
  <c r="A117" i="9" s="1"/>
  <c r="A142" i="9" a="1"/>
  <c r="A142" i="9" s="1"/>
  <c r="A115" i="9" a="1"/>
  <c r="A115" i="9" s="1"/>
  <c r="A51" i="9" a="1"/>
  <c r="A51" i="9" s="1"/>
  <c r="A65" i="9" a="1"/>
  <c r="A65" i="9" s="1"/>
  <c r="A76" i="9" a="1"/>
  <c r="A76" i="9" s="1"/>
  <c r="A30" i="9" a="1"/>
  <c r="A30" i="9" s="1"/>
  <c r="A148" i="9" a="1"/>
  <c r="A148" i="9" s="1"/>
  <c r="A89" i="9" a="1"/>
  <c r="A89" i="9" s="1"/>
  <c r="A22" i="9" a="1"/>
  <c r="A22" i="9" s="1"/>
  <c r="A43" i="9" a="1"/>
  <c r="A43" i="9" s="1"/>
  <c r="A24" i="9" a="1"/>
  <c r="A24" i="9" s="1"/>
  <c r="A112" i="9" a="1"/>
  <c r="A112" i="9" s="1"/>
  <c r="A34" i="9" a="1"/>
  <c r="A34" i="9" s="1"/>
  <c r="A98" i="9" a="1"/>
  <c r="A98" i="9" s="1"/>
  <c r="A64" i="9" a="1"/>
  <c r="A64" i="9" s="1"/>
  <c r="A42" i="9" a="1"/>
  <c r="A42" i="9" s="1"/>
  <c r="A136" i="9" a="1"/>
  <c r="A136" i="9" s="1"/>
  <c r="A130" i="9" a="1"/>
  <c r="A130" i="9" s="1"/>
  <c r="A80" i="9" a="1"/>
  <c r="A80" i="9" s="1"/>
  <c r="A10" i="9" a="1"/>
  <c r="A10" i="9" s="1"/>
  <c r="A78" i="9" a="1"/>
  <c r="A78" i="9" s="1"/>
  <c r="A69" i="9" a="1"/>
  <c r="A69" i="9" s="1"/>
  <c r="A75" i="9" a="1"/>
  <c r="A75" i="9" s="1"/>
  <c r="A18" i="9" a="1"/>
  <c r="A18" i="9" s="1"/>
  <c r="A133" i="9" a="1"/>
  <c r="A133" i="9" s="1"/>
  <c r="A86" i="9" a="1"/>
  <c r="A86" i="9" s="1"/>
  <c r="A118" i="9" a="1"/>
  <c r="A118" i="9" s="1"/>
  <c r="A144" i="9" a="1"/>
  <c r="A144" i="9" s="1"/>
  <c r="A127" i="9" a="1"/>
  <c r="A127" i="9" s="1"/>
  <c r="A139" i="9" a="1"/>
  <c r="A139" i="9" s="1"/>
  <c r="A23" i="9" a="1"/>
  <c r="A23" i="9" s="1"/>
  <c r="A81" i="9" a="1"/>
  <c r="A81" i="9" s="1"/>
  <c r="A46" i="9" a="1"/>
  <c r="A46" i="9" s="1"/>
  <c r="A53" i="9" a="1"/>
  <c r="A53" i="9" s="1"/>
  <c r="A52" i="9" a="1"/>
  <c r="A52" i="9" s="1"/>
  <c r="A8" i="9" a="1"/>
  <c r="A8" i="9" s="1"/>
  <c r="A85" i="9" a="1"/>
  <c r="A85" i="9" s="1"/>
  <c r="A50" i="9" a="1"/>
  <c r="A50" i="9" s="1"/>
  <c r="A26" i="9" a="1"/>
  <c r="A26" i="9" s="1"/>
  <c r="A145" i="9" a="1"/>
  <c r="A145" i="9" s="1"/>
  <c r="A146" i="9" a="1"/>
  <c r="A146" i="9" s="1"/>
  <c r="A93" i="9" a="1"/>
  <c r="A93" i="9" s="1"/>
  <c r="A16" i="9" a="1"/>
  <c r="A16" i="9" s="1"/>
  <c r="A47" i="9" a="1"/>
  <c r="A47" i="9" s="1"/>
  <c r="A19" i="9" a="1"/>
  <c r="A19" i="9" s="1"/>
  <c r="A20" i="9" a="1"/>
  <c r="A20" i="9" s="1"/>
  <c r="A9" i="9" a="1"/>
  <c r="A9" i="9" s="1"/>
  <c r="A59" i="9" a="1"/>
  <c r="A59" i="9" s="1"/>
  <c r="A99" i="9" a="1"/>
  <c r="A99" i="9" s="1"/>
  <c r="A105" i="9" a="1"/>
  <c r="A105" i="9" s="1"/>
  <c r="A60" i="9" a="1"/>
  <c r="A60" i="9" s="1"/>
  <c r="A14" i="9" a="1"/>
  <c r="A14" i="9" s="1"/>
  <c r="A124" i="9" a="1"/>
  <c r="A124" i="9" s="1"/>
  <c r="A35" i="9" a="1"/>
  <c r="A35" i="9" s="1"/>
  <c r="A107" i="9" a="1"/>
  <c r="A107" i="9" s="1"/>
  <c r="A90" i="9" a="1"/>
  <c r="A90" i="9" s="1"/>
  <c r="A109" i="9" a="1"/>
  <c r="A109" i="9" s="1"/>
  <c r="A11" i="9" a="1"/>
  <c r="A11" i="9" s="1"/>
  <c r="A88" i="9" a="1"/>
  <c r="A88" i="9" s="1"/>
  <c r="A48" i="9" a="1"/>
  <c r="A48" i="9" s="1"/>
  <c r="A21" i="9" a="1"/>
  <c r="A21" i="9" s="1"/>
  <c r="A134" i="9" a="1"/>
  <c r="A134" i="9" s="1"/>
  <c r="A55" i="9" a="1"/>
  <c r="A55" i="9" s="1"/>
  <c r="A121" i="9" a="1"/>
  <c r="A121" i="9" s="1"/>
  <c r="A39" i="9" a="1"/>
  <c r="A39" i="9" s="1"/>
  <c r="A12" i="9" a="1"/>
  <c r="A12" i="9" s="1"/>
  <c r="A33" i="9" a="1"/>
  <c r="A33" i="9" s="1"/>
  <c r="A32" i="9" a="1"/>
  <c r="A32" i="9" s="1"/>
  <c r="A77" i="9" a="1"/>
  <c r="A77" i="9" s="1"/>
  <c r="A17" i="9" a="1"/>
  <c r="A17" i="9" s="1"/>
  <c r="A140" i="9" a="1"/>
  <c r="A140" i="9" s="1"/>
  <c r="A87" i="9" a="1"/>
  <c r="A87" i="9" s="1"/>
  <c r="A3" i="9" a="1"/>
  <c r="A3" i="9" s="1"/>
  <c r="A31" i="9" a="1"/>
  <c r="A31" i="9" s="1"/>
  <c r="A84" i="9" a="1"/>
  <c r="A84" i="9" s="1"/>
  <c r="A94" i="9" a="1"/>
  <c r="A94" i="9" s="1"/>
  <c r="A72" i="9" a="1"/>
  <c r="A72" i="9" s="1"/>
  <c r="A95" i="9" a="1"/>
  <c r="A95" i="9" s="1"/>
  <c r="A62" i="9" a="1"/>
  <c r="A62" i="9" s="1"/>
  <c r="A54" i="9" a="1"/>
  <c r="A54" i="9" s="1"/>
  <c r="A143" i="9" a="1"/>
  <c r="A143" i="9" s="1"/>
  <c r="A36" i="9" a="1"/>
  <c r="A36" i="9" s="1"/>
  <c r="A106" i="9" a="1"/>
  <c r="A106" i="9" s="1"/>
  <c r="A113" i="9" a="1"/>
  <c r="A113" i="9" s="1"/>
  <c r="A114" i="9" a="1"/>
  <c r="A114" i="9" s="1"/>
  <c r="A2" i="9" a="1"/>
  <c r="A2" i="9" s="1"/>
  <c r="A28" i="9" a="1"/>
  <c r="A28" i="9" s="1"/>
  <c r="A74" i="9" a="1"/>
  <c r="A74" i="9" s="1"/>
  <c r="A27" i="9" a="1"/>
  <c r="A27" i="9" s="1"/>
  <c r="A96" i="9" a="1"/>
  <c r="A96" i="9" s="1"/>
  <c r="AD67" i="1"/>
  <c r="AL68" i="1"/>
  <c r="AV68" i="1"/>
  <c r="AT68" i="1"/>
  <c r="AJ68" i="1"/>
  <c r="AF68" i="1"/>
  <c r="AM68" i="1"/>
  <c r="AW68" i="1"/>
  <c r="AN68" i="1"/>
  <c r="AK68" i="1"/>
  <c r="AG68" i="1"/>
  <c r="AE68" i="1"/>
  <c r="AI68" i="1"/>
  <c r="AU68" i="1"/>
  <c r="AX68" i="1"/>
  <c r="AP68" i="1"/>
  <c r="AR68" i="1"/>
  <c r="AO68" i="1"/>
  <c r="AS68" i="1"/>
  <c r="AQ68" i="1"/>
  <c r="AC69" i="1"/>
  <c r="AL69" i="1" s="1"/>
  <c r="W70" i="1"/>
  <c r="B71" i="1"/>
  <c r="Y69" i="1"/>
  <c r="Z69" i="1"/>
  <c r="AA69" i="1"/>
  <c r="X69" i="1"/>
  <c r="AB69" i="1"/>
  <c r="H2" i="5"/>
  <c r="AC70" i="1" a="1"/>
  <c r="W71" i="1" l="1"/>
  <c r="Z71" i="1" s="1"/>
  <c r="B72" i="1"/>
  <c r="AD68" i="1"/>
  <c r="AR69" i="1"/>
  <c r="AI69" i="1"/>
  <c r="AN69" i="1"/>
  <c r="AV69" i="1"/>
  <c r="AS69" i="1"/>
  <c r="AT69" i="1"/>
  <c r="AQ69" i="1"/>
  <c r="AW69" i="1"/>
  <c r="AK69" i="1"/>
  <c r="AU69" i="1"/>
  <c r="AO69" i="1"/>
  <c r="AM69" i="1"/>
  <c r="AX69" i="1"/>
  <c r="AP69" i="1"/>
  <c r="AE69" i="1"/>
  <c r="AH69" i="1"/>
  <c r="AG69" i="1"/>
  <c r="AF69" i="1"/>
  <c r="AJ69" i="1"/>
  <c r="AC70" i="1"/>
  <c r="AO70" i="1" s="1"/>
  <c r="Z70" i="1"/>
  <c r="X70" i="1"/>
  <c r="AA70" i="1"/>
  <c r="Y70" i="1"/>
  <c r="AB70" i="1"/>
  <c r="AC71" i="1" a="1"/>
  <c r="W72" i="1" l="1"/>
  <c r="Y72" i="1" s="1"/>
  <c r="B73" i="1"/>
  <c r="Y71" i="1"/>
  <c r="AA71" i="1"/>
  <c r="X71" i="1"/>
  <c r="AB71" i="1"/>
  <c r="AC71" i="1"/>
  <c r="AE71" i="1" s="1"/>
  <c r="AQ70" i="1"/>
  <c r="AE70" i="1"/>
  <c r="AT70" i="1"/>
  <c r="AR70" i="1"/>
  <c r="AM70" i="1"/>
  <c r="AW70" i="1"/>
  <c r="AD69" i="1"/>
  <c r="AH70" i="1"/>
  <c r="AK70" i="1"/>
  <c r="AG70" i="1"/>
  <c r="AI70" i="1"/>
  <c r="AN70" i="1"/>
  <c r="AV70" i="1"/>
  <c r="AF70" i="1"/>
  <c r="AS70" i="1"/>
  <c r="AL70" i="1"/>
  <c r="AX70" i="1"/>
  <c r="AU70" i="1"/>
  <c r="AP70" i="1"/>
  <c r="AJ70" i="1"/>
  <c r="AC72" i="1" a="1"/>
  <c r="Z72" i="1" l="1"/>
  <c r="AB72" i="1"/>
  <c r="AA72" i="1"/>
  <c r="X72" i="1"/>
  <c r="AC72" i="1"/>
  <c r="AW72" i="1" s="1"/>
  <c r="B74" i="1"/>
  <c r="W73" i="1"/>
  <c r="AH72" i="1"/>
  <c r="AK72" i="1"/>
  <c r="AO71" i="1"/>
  <c r="AR71" i="1"/>
  <c r="AM71" i="1"/>
  <c r="AH71" i="1"/>
  <c r="AW71" i="1"/>
  <c r="AU71" i="1"/>
  <c r="AF71" i="1"/>
  <c r="AQ71" i="1"/>
  <c r="AN71" i="1"/>
  <c r="AN72" i="1"/>
  <c r="AV72" i="1"/>
  <c r="AS71" i="1"/>
  <c r="AK71" i="1"/>
  <c r="AX71" i="1"/>
  <c r="AT71" i="1"/>
  <c r="AL71" i="1"/>
  <c r="AP71" i="1"/>
  <c r="AG71" i="1"/>
  <c r="AV71" i="1"/>
  <c r="AI71" i="1"/>
  <c r="AJ71" i="1"/>
  <c r="AD70" i="1"/>
  <c r="AC73" i="1" a="1"/>
  <c r="AP72" i="1" l="1"/>
  <c r="AT72" i="1"/>
  <c r="AG72" i="1"/>
  <c r="AJ72" i="1"/>
  <c r="AI72" i="1"/>
  <c r="AQ72" i="1"/>
  <c r="AF72" i="1"/>
  <c r="AS72" i="1"/>
  <c r="AU72" i="1"/>
  <c r="AR72" i="1"/>
  <c r="AL72" i="1"/>
  <c r="AX72" i="1"/>
  <c r="AM72" i="1"/>
  <c r="AO72" i="1"/>
  <c r="AE72" i="1"/>
  <c r="AC73" i="1"/>
  <c r="AS73" i="1" s="1"/>
  <c r="Y73" i="1"/>
  <c r="X73" i="1"/>
  <c r="AB73" i="1"/>
  <c r="Z73" i="1"/>
  <c r="AA73" i="1"/>
  <c r="B75" i="1"/>
  <c r="W74" i="1"/>
  <c r="AD71" i="1"/>
  <c r="I8" i="7"/>
  <c r="I5" i="7"/>
  <c r="I3" i="7"/>
  <c r="I7" i="7"/>
  <c r="I6" i="7"/>
  <c r="I4" i="7"/>
  <c r="AC74" i="1" a="1"/>
  <c r="J8" i="7" l="1"/>
  <c r="K8" i="7"/>
  <c r="L8" i="7" s="1"/>
  <c r="O8" i="7" s="1"/>
  <c r="P8" i="7" s="1"/>
  <c r="K4" i="7"/>
  <c r="L4" i="7" s="1"/>
  <c r="O4" i="7" s="1"/>
  <c r="P4" i="7" s="1"/>
  <c r="J4" i="7"/>
  <c r="J3" i="5" s="1"/>
  <c r="K3" i="5" s="1"/>
  <c r="J6" i="7"/>
  <c r="J5" i="5" s="1"/>
  <c r="K5" i="5" s="1"/>
  <c r="K6" i="7"/>
  <c r="L6" i="7" s="1"/>
  <c r="O6" i="7" s="1"/>
  <c r="P6" i="7" s="1"/>
  <c r="J7" i="7"/>
  <c r="J6" i="5" s="1"/>
  <c r="K6" i="5" s="1"/>
  <c r="K7" i="7"/>
  <c r="L7" i="7" s="1"/>
  <c r="O7" i="7" s="1"/>
  <c r="P7" i="7" s="1"/>
  <c r="K3" i="7"/>
  <c r="L3" i="7" s="1"/>
  <c r="O3" i="7" s="1"/>
  <c r="P3" i="7" s="1"/>
  <c r="J3" i="7"/>
  <c r="J2" i="5" s="1"/>
  <c r="K2" i="5" s="1"/>
  <c r="J5" i="7"/>
  <c r="J4" i="5" s="1"/>
  <c r="K4" i="5" s="1"/>
  <c r="K5" i="7"/>
  <c r="L5" i="7" s="1"/>
  <c r="O5" i="7" s="1"/>
  <c r="P5" i="7" s="1"/>
  <c r="AD72" i="1"/>
  <c r="AV73" i="1"/>
  <c r="AN73" i="1"/>
  <c r="AC74" i="1"/>
  <c r="AR74" i="1" s="1"/>
  <c r="AU73" i="1"/>
  <c r="AK73" i="1"/>
  <c r="AE73" i="1"/>
  <c r="AT73" i="1"/>
  <c r="AQ73" i="1"/>
  <c r="AW73" i="1"/>
  <c r="AH73" i="1"/>
  <c r="AF73" i="1"/>
  <c r="AI73" i="1"/>
  <c r="AA74" i="1"/>
  <c r="X74" i="1"/>
  <c r="Z74" i="1"/>
  <c r="Y74" i="1"/>
  <c r="AB74" i="1"/>
  <c r="AP73" i="1"/>
  <c r="W75" i="1"/>
  <c r="B76" i="1"/>
  <c r="AJ73" i="1"/>
  <c r="AM73" i="1"/>
  <c r="AG73" i="1"/>
  <c r="AL73" i="1"/>
  <c r="AR73" i="1"/>
  <c r="AO73" i="1"/>
  <c r="AX73" i="1"/>
  <c r="J7" i="5"/>
  <c r="K7" i="5" s="1"/>
  <c r="J8" i="5"/>
  <c r="K8" i="5" s="1"/>
  <c r="J11" i="5"/>
  <c r="K11" i="5" s="1"/>
  <c r="O11" i="5"/>
  <c r="J15" i="5"/>
  <c r="K15" i="5" s="1"/>
  <c r="O15" i="5"/>
  <c r="J13" i="5"/>
  <c r="K13" i="5" s="1"/>
  <c r="J14" i="5"/>
  <c r="K14" i="5" s="1"/>
  <c r="O14" i="5"/>
  <c r="O9" i="5"/>
  <c r="J9" i="5"/>
  <c r="K9" i="5" s="1"/>
  <c r="J10" i="5"/>
  <c r="K10" i="5" s="1"/>
  <c r="O10" i="5"/>
  <c r="J12" i="5"/>
  <c r="K12" i="5" s="1"/>
  <c r="O12" i="5"/>
  <c r="J16" i="5"/>
  <c r="K16" i="5" s="1"/>
  <c r="J17" i="5"/>
  <c r="K17" i="5" s="1"/>
  <c r="J18" i="5"/>
  <c r="K18" i="5" s="1"/>
  <c r="J19" i="5"/>
  <c r="K19" i="5" s="1"/>
  <c r="O19" i="5"/>
  <c r="J21" i="5"/>
  <c r="K21" i="5" s="1"/>
  <c r="O20" i="5"/>
  <c r="J20" i="5"/>
  <c r="K20" i="5" s="1"/>
  <c r="P11" i="5"/>
  <c r="P15" i="5"/>
  <c r="P9" i="5"/>
  <c r="O8" i="5"/>
  <c r="P12" i="5"/>
  <c r="P10" i="5"/>
  <c r="AC75" i="1" a="1"/>
  <c r="AO74" i="1" l="1"/>
  <c r="AN74" i="1"/>
  <c r="AP74" i="1"/>
  <c r="AT74" i="1"/>
  <c r="AS74" i="1"/>
  <c r="AW74" i="1"/>
  <c r="AH74" i="1"/>
  <c r="AI74" i="1"/>
  <c r="AX74" i="1"/>
  <c r="AQ74" i="1"/>
  <c r="AM74" i="1"/>
  <c r="AJ74" i="1"/>
  <c r="AV74" i="1"/>
  <c r="AF74" i="1"/>
  <c r="AU74" i="1"/>
  <c r="AL74" i="1"/>
  <c r="AK74" i="1"/>
  <c r="AG74" i="1"/>
  <c r="AE74" i="1"/>
  <c r="AD73" i="1"/>
  <c r="AC75" i="1"/>
  <c r="AQ75" i="1" s="1"/>
  <c r="W76" i="1"/>
  <c r="B77" i="1"/>
  <c r="Y75" i="1"/>
  <c r="X75" i="1"/>
  <c r="AB75" i="1"/>
  <c r="Z75" i="1"/>
  <c r="AA75" i="1"/>
  <c r="P17" i="5"/>
  <c r="P13" i="5"/>
  <c r="P14" i="5"/>
  <c r="P16" i="5"/>
  <c r="P21" i="5"/>
  <c r="P19" i="5"/>
  <c r="L9" i="7"/>
  <c r="P20" i="5"/>
  <c r="P18" i="5"/>
  <c r="O21" i="5"/>
  <c r="O17" i="5"/>
  <c r="O18" i="5"/>
  <c r="O13" i="5"/>
  <c r="O16" i="5"/>
  <c r="P8" i="5"/>
  <c r="O7" i="5"/>
  <c r="AC76" i="1" a="1"/>
  <c r="AD74" i="1" l="1"/>
  <c r="AJ75" i="1"/>
  <c r="AE75" i="1"/>
  <c r="AL75" i="1"/>
  <c r="AW75" i="1"/>
  <c r="AI75" i="1"/>
  <c r="AH75" i="1"/>
  <c r="AR75" i="1"/>
  <c r="AU75" i="1"/>
  <c r="AG75" i="1"/>
  <c r="AX75" i="1"/>
  <c r="AS75" i="1"/>
  <c r="AT75" i="1"/>
  <c r="AN75" i="1"/>
  <c r="AF75" i="1"/>
  <c r="AM75" i="1"/>
  <c r="AK75" i="1"/>
  <c r="AO75" i="1"/>
  <c r="AV75" i="1"/>
  <c r="AP75" i="1"/>
  <c r="AC76" i="1"/>
  <c r="AW76" i="1" s="1"/>
  <c r="B78" i="1"/>
  <c r="W77" i="1"/>
  <c r="Y76" i="1"/>
  <c r="AB76" i="1"/>
  <c r="AA76" i="1"/>
  <c r="Z76" i="1"/>
  <c r="X76" i="1"/>
  <c r="AC77" i="1" a="1"/>
  <c r="AR76" i="1" l="1"/>
  <c r="AG76" i="1"/>
  <c r="AS76" i="1"/>
  <c r="AD75" i="1"/>
  <c r="AN76" i="1"/>
  <c r="AT76" i="1"/>
  <c r="AK76" i="1"/>
  <c r="AL76" i="1"/>
  <c r="AI76" i="1"/>
  <c r="AF76" i="1"/>
  <c r="AU76" i="1"/>
  <c r="AO76" i="1"/>
  <c r="AQ76" i="1"/>
  <c r="AJ76" i="1"/>
  <c r="AV76" i="1"/>
  <c r="AE76" i="1"/>
  <c r="AX76" i="1"/>
  <c r="AP76" i="1"/>
  <c r="AH76" i="1"/>
  <c r="AM76" i="1"/>
  <c r="AC77" i="1"/>
  <c r="AK77" i="1" s="1"/>
  <c r="AB77" i="1"/>
  <c r="AA77" i="1"/>
  <c r="X77" i="1"/>
  <c r="Y77" i="1"/>
  <c r="Z77" i="1"/>
  <c r="B79" i="1"/>
  <c r="W78" i="1"/>
  <c r="AC78" i="1" a="1"/>
  <c r="AG77" i="1" l="1"/>
  <c r="AP77" i="1"/>
  <c r="AJ77" i="1"/>
  <c r="AW77" i="1"/>
  <c r="AM77" i="1"/>
  <c r="AT77" i="1"/>
  <c r="AD76" i="1"/>
  <c r="AH77" i="1"/>
  <c r="AI77" i="1"/>
  <c r="AQ77" i="1"/>
  <c r="AS77" i="1"/>
  <c r="AO77" i="1"/>
  <c r="AF77" i="1"/>
  <c r="AR77" i="1"/>
  <c r="AX77" i="1"/>
  <c r="AV77" i="1"/>
  <c r="AU77" i="1"/>
  <c r="AN77" i="1"/>
  <c r="AL77" i="1"/>
  <c r="AE77" i="1"/>
  <c r="AC78" i="1"/>
  <c r="AR78" i="1" s="1"/>
  <c r="X78" i="1"/>
  <c r="AB78" i="1"/>
  <c r="AA78" i="1"/>
  <c r="Z78" i="1"/>
  <c r="Y78" i="1"/>
  <c r="B80" i="1"/>
  <c r="W79" i="1"/>
  <c r="AC79" i="1" a="1"/>
  <c r="AT78" i="1" l="1"/>
  <c r="AI78" i="1"/>
  <c r="AD77" i="1"/>
  <c r="AU78" i="1"/>
  <c r="AN78" i="1"/>
  <c r="AG78" i="1"/>
  <c r="AV78" i="1"/>
  <c r="AM78" i="1"/>
  <c r="AF78" i="1"/>
  <c r="AP78" i="1"/>
  <c r="AL78" i="1"/>
  <c r="AK78" i="1"/>
  <c r="AE78" i="1"/>
  <c r="AW78" i="1"/>
  <c r="AS78" i="1"/>
  <c r="AQ78" i="1"/>
  <c r="AH78" i="1"/>
  <c r="AO78" i="1"/>
  <c r="AJ78" i="1"/>
  <c r="AX78" i="1"/>
  <c r="AC79" i="1"/>
  <c r="AH79" i="1" s="1"/>
  <c r="Z79" i="1"/>
  <c r="X79" i="1"/>
  <c r="AA79" i="1"/>
  <c r="Y79" i="1"/>
  <c r="AB79" i="1"/>
  <c r="B81" i="1"/>
  <c r="W80" i="1"/>
  <c r="AC80" i="1" a="1"/>
  <c r="AS79" i="1" l="1"/>
  <c r="AG79" i="1"/>
  <c r="AD78" i="1"/>
  <c r="AI79" i="1"/>
  <c r="AU79" i="1"/>
  <c r="AM79" i="1"/>
  <c r="AQ79" i="1"/>
  <c r="AE79" i="1"/>
  <c r="AJ79" i="1"/>
  <c r="AR79" i="1"/>
  <c r="AX79" i="1"/>
  <c r="AV79" i="1"/>
  <c r="AK79" i="1"/>
  <c r="AP79" i="1"/>
  <c r="AN79" i="1"/>
  <c r="AO79" i="1"/>
  <c r="AL79" i="1"/>
  <c r="AF79" i="1"/>
  <c r="AT79" i="1"/>
  <c r="AW79" i="1"/>
  <c r="AC80" i="1"/>
  <c r="AF80" i="1" s="1"/>
  <c r="Z80" i="1"/>
  <c r="Y80" i="1"/>
  <c r="AB80" i="1"/>
  <c r="AA80" i="1"/>
  <c r="X80" i="1"/>
  <c r="B82" i="1"/>
  <c r="W81" i="1"/>
  <c r="AC81" i="1" a="1"/>
  <c r="AR80" i="1" l="1"/>
  <c r="AM80" i="1"/>
  <c r="AN80" i="1"/>
  <c r="AX80" i="1"/>
  <c r="AQ80" i="1"/>
  <c r="AT80" i="1"/>
  <c r="AJ80" i="1"/>
  <c r="AO80" i="1"/>
  <c r="AL80" i="1"/>
  <c r="AS80" i="1"/>
  <c r="AV80" i="1"/>
  <c r="AE80" i="1"/>
  <c r="AP80" i="1"/>
  <c r="AD79" i="1"/>
  <c r="AW80" i="1"/>
  <c r="AU80" i="1"/>
  <c r="AH80" i="1"/>
  <c r="AG80" i="1"/>
  <c r="AK80" i="1"/>
  <c r="AI80" i="1"/>
  <c r="AC81" i="1"/>
  <c r="AO81" i="1" s="1"/>
  <c r="Z81" i="1"/>
  <c r="X81" i="1"/>
  <c r="AA81" i="1"/>
  <c r="Y81" i="1"/>
  <c r="AB81" i="1"/>
  <c r="B83" i="1"/>
  <c r="W82" i="1"/>
  <c r="AC82" i="1" a="1"/>
  <c r="AJ81" i="1" l="1"/>
  <c r="AF81" i="1"/>
  <c r="AQ81" i="1"/>
  <c r="AR81" i="1"/>
  <c r="AU81" i="1"/>
  <c r="AL81" i="1"/>
  <c r="AK81" i="1"/>
  <c r="AI81" i="1"/>
  <c r="AH81" i="1"/>
  <c r="AX81" i="1"/>
  <c r="AG81" i="1"/>
  <c r="AV81" i="1"/>
  <c r="AN81" i="1"/>
  <c r="AS81" i="1"/>
  <c r="AP81" i="1"/>
  <c r="AE81" i="1"/>
  <c r="AT81" i="1"/>
  <c r="AM81" i="1"/>
  <c r="AW81" i="1"/>
  <c r="AD80" i="1"/>
  <c r="AC82" i="1"/>
  <c r="AU82" i="1" s="1"/>
  <c r="Z82" i="1"/>
  <c r="AB82" i="1"/>
  <c r="Y82" i="1"/>
  <c r="AA82" i="1"/>
  <c r="X82" i="1"/>
  <c r="W83" i="1"/>
  <c r="B84" i="1"/>
  <c r="AC83" i="1" a="1"/>
  <c r="AD81" i="1" l="1"/>
  <c r="AX82" i="1"/>
  <c r="AS82" i="1"/>
  <c r="AP82" i="1"/>
  <c r="AI82" i="1"/>
  <c r="AW82" i="1"/>
  <c r="AG82" i="1"/>
  <c r="AL82" i="1"/>
  <c r="AT82" i="1"/>
  <c r="AE82" i="1"/>
  <c r="AN82" i="1"/>
  <c r="AJ82" i="1"/>
  <c r="AO82" i="1"/>
  <c r="AK82" i="1"/>
  <c r="AQ82" i="1"/>
  <c r="AV82" i="1"/>
  <c r="AF82" i="1"/>
  <c r="AR82" i="1"/>
  <c r="AM82" i="1"/>
  <c r="AH82" i="1"/>
  <c r="AC83" i="1"/>
  <c r="AS83" i="1" s="1"/>
  <c r="Z83" i="1"/>
  <c r="X83" i="1"/>
  <c r="Y83" i="1"/>
  <c r="AA83" i="1"/>
  <c r="AB83" i="1"/>
  <c r="B85" i="1"/>
  <c r="W84" i="1"/>
  <c r="AC84" i="1" a="1"/>
  <c r="AD82" i="1" l="1"/>
  <c r="AH83" i="1"/>
  <c r="AO83" i="1"/>
  <c r="AN83" i="1"/>
  <c r="AE83" i="1"/>
  <c r="AM83" i="1"/>
  <c r="AT83" i="1"/>
  <c r="AP83" i="1"/>
  <c r="AL83" i="1"/>
  <c r="AW83" i="1"/>
  <c r="AK83" i="1"/>
  <c r="AI83" i="1"/>
  <c r="AX83" i="1"/>
  <c r="AF83" i="1"/>
  <c r="AR83" i="1"/>
  <c r="AJ83" i="1"/>
  <c r="AQ83" i="1"/>
  <c r="AV83" i="1"/>
  <c r="AG83" i="1"/>
  <c r="AU83" i="1"/>
  <c r="AC84" i="1"/>
  <c r="AJ84" i="1" s="1"/>
  <c r="AA84" i="1"/>
  <c r="Z84" i="1"/>
  <c r="Y84" i="1"/>
  <c r="X84" i="1"/>
  <c r="AB84" i="1"/>
  <c r="B86" i="1"/>
  <c r="W85" i="1"/>
  <c r="AC85" i="1" a="1"/>
  <c r="AD83" i="1" l="1"/>
  <c r="AG84" i="1"/>
  <c r="AH84" i="1"/>
  <c r="AI84" i="1"/>
  <c r="AX84" i="1"/>
  <c r="AF84" i="1"/>
  <c r="AP84" i="1"/>
  <c r="AK84" i="1"/>
  <c r="AE84" i="1"/>
  <c r="AQ84" i="1"/>
  <c r="AU84" i="1"/>
  <c r="AR84" i="1"/>
  <c r="AM84" i="1"/>
  <c r="AO84" i="1"/>
  <c r="AV84" i="1"/>
  <c r="AW84" i="1"/>
  <c r="AT84" i="1"/>
  <c r="AS84" i="1"/>
  <c r="AN84" i="1"/>
  <c r="AL84" i="1"/>
  <c r="AC85" i="1"/>
  <c r="AG85" i="1" s="1"/>
  <c r="X85" i="1"/>
  <c r="Z85" i="1"/>
  <c r="AA85" i="1"/>
  <c r="Y85" i="1"/>
  <c r="AB85" i="1"/>
  <c r="B87" i="1"/>
  <c r="W86" i="1"/>
  <c r="AC86" i="1" a="1"/>
  <c r="AD84" i="1" l="1"/>
  <c r="AX85" i="1"/>
  <c r="AV85" i="1"/>
  <c r="AU85" i="1"/>
  <c r="AW85" i="1"/>
  <c r="AN85" i="1"/>
  <c r="AE85" i="1"/>
  <c r="AM85" i="1"/>
  <c r="AF85" i="1"/>
  <c r="AL85" i="1"/>
  <c r="AO85" i="1"/>
  <c r="AP85" i="1"/>
  <c r="AS85" i="1"/>
  <c r="AH85" i="1"/>
  <c r="AJ85" i="1"/>
  <c r="AQ85" i="1"/>
  <c r="AT85" i="1"/>
  <c r="AK85" i="1"/>
  <c r="AI85" i="1"/>
  <c r="AR85" i="1"/>
  <c r="AC86" i="1"/>
  <c r="AM86" i="1" s="1"/>
  <c r="Z86" i="1"/>
  <c r="Y86" i="1"/>
  <c r="X86" i="1"/>
  <c r="AA86" i="1"/>
  <c r="AB86" i="1"/>
  <c r="B88" i="1"/>
  <c r="W87" i="1"/>
  <c r="AC87" i="1" a="1"/>
  <c r="AE86" i="1" l="1"/>
  <c r="AQ86" i="1"/>
  <c r="AO86" i="1"/>
  <c r="AL86" i="1"/>
  <c r="AN86" i="1"/>
  <c r="AG86" i="1"/>
  <c r="AF86" i="1"/>
  <c r="AP86" i="1"/>
  <c r="AI86" i="1"/>
  <c r="AV86" i="1"/>
  <c r="AW86" i="1"/>
  <c r="AK86" i="1"/>
  <c r="AU86" i="1"/>
  <c r="AD85" i="1"/>
  <c r="AS86" i="1"/>
  <c r="AJ86" i="1"/>
  <c r="AX86" i="1"/>
  <c r="AT86" i="1"/>
  <c r="AH86" i="1"/>
  <c r="AR86" i="1"/>
  <c r="AC87" i="1"/>
  <c r="AL87" i="1" s="1"/>
  <c r="X87" i="1"/>
  <c r="AB87" i="1"/>
  <c r="AA87" i="1"/>
  <c r="Y87" i="1"/>
  <c r="Z87" i="1"/>
  <c r="B89" i="1"/>
  <c r="W88" i="1"/>
  <c r="AC88" i="1" a="1"/>
  <c r="AT87" i="1" l="1"/>
  <c r="AN87" i="1"/>
  <c r="AI87" i="1"/>
  <c r="AH87" i="1"/>
  <c r="AE87" i="1"/>
  <c r="AP87" i="1"/>
  <c r="AS87" i="1"/>
  <c r="AK87" i="1"/>
  <c r="AF87" i="1"/>
  <c r="AQ87" i="1"/>
  <c r="AR87" i="1"/>
  <c r="AD86" i="1"/>
  <c r="AM87" i="1"/>
  <c r="AJ87" i="1"/>
  <c r="AU87" i="1"/>
  <c r="AX87" i="1"/>
  <c r="AO87" i="1"/>
  <c r="AW87" i="1"/>
  <c r="AG87" i="1"/>
  <c r="AV87" i="1"/>
  <c r="AC88" i="1"/>
  <c r="AR88" i="1" s="1"/>
  <c r="Z88" i="1"/>
  <c r="Y88" i="1"/>
  <c r="X88" i="1"/>
  <c r="AB88" i="1"/>
  <c r="AA88" i="1"/>
  <c r="B90" i="1"/>
  <c r="W89" i="1"/>
  <c r="AC89" i="1" a="1"/>
  <c r="AD87" i="1" l="1"/>
  <c r="AL88" i="1"/>
  <c r="AS88" i="1"/>
  <c r="AI88" i="1"/>
  <c r="AP88" i="1"/>
  <c r="AU88" i="1"/>
  <c r="AE88" i="1"/>
  <c r="AK88" i="1"/>
  <c r="AQ88" i="1"/>
  <c r="AG88" i="1"/>
  <c r="AV88" i="1"/>
  <c r="AF88" i="1"/>
  <c r="AW88" i="1"/>
  <c r="AH88" i="1"/>
  <c r="AT88" i="1"/>
  <c r="AJ88" i="1"/>
  <c r="AO88" i="1"/>
  <c r="AN88" i="1"/>
  <c r="AX88" i="1"/>
  <c r="AM88" i="1"/>
  <c r="AC89" i="1"/>
  <c r="AJ89" i="1" s="1"/>
  <c r="Y89" i="1"/>
  <c r="Z89" i="1"/>
  <c r="X89" i="1"/>
  <c r="AB89" i="1"/>
  <c r="AA89" i="1"/>
  <c r="B91" i="1"/>
  <c r="W90" i="1"/>
  <c r="AC90" i="1" a="1"/>
  <c r="AE89" i="1" l="1"/>
  <c r="AM89" i="1"/>
  <c r="AO89" i="1"/>
  <c r="AF89" i="1"/>
  <c r="AI89" i="1"/>
  <c r="AX89" i="1"/>
  <c r="AQ89" i="1"/>
  <c r="AR89" i="1"/>
  <c r="AS89" i="1"/>
  <c r="AU89" i="1"/>
  <c r="AN89" i="1"/>
  <c r="AP89" i="1"/>
  <c r="AG89" i="1"/>
  <c r="AH89" i="1"/>
  <c r="AV89" i="1"/>
  <c r="AW89" i="1"/>
  <c r="AK89" i="1"/>
  <c r="AD88" i="1"/>
  <c r="AT89" i="1"/>
  <c r="AL89" i="1"/>
  <c r="AC90" i="1"/>
  <c r="AS90" i="1" s="1"/>
  <c r="Z90" i="1"/>
  <c r="AB90" i="1"/>
  <c r="AA90" i="1"/>
  <c r="X90" i="1"/>
  <c r="Y90" i="1"/>
  <c r="B92" i="1"/>
  <c r="W91" i="1"/>
  <c r="AC91" i="1" a="1"/>
  <c r="AT90" i="1" l="1"/>
  <c r="AU90" i="1"/>
  <c r="AQ90" i="1"/>
  <c r="AV90" i="1"/>
  <c r="AN90" i="1"/>
  <c r="AD89" i="1"/>
  <c r="AO90" i="1"/>
  <c r="AM90" i="1"/>
  <c r="AE90" i="1"/>
  <c r="AK90" i="1"/>
  <c r="AJ90" i="1"/>
  <c r="AX90" i="1"/>
  <c r="AF90" i="1"/>
  <c r="AP90" i="1"/>
  <c r="AL90" i="1"/>
  <c r="AH90" i="1"/>
  <c r="AG90" i="1"/>
  <c r="AI90" i="1"/>
  <c r="AW90" i="1"/>
  <c r="AR90" i="1"/>
  <c r="AC91" i="1"/>
  <c r="AM91" i="1" s="1"/>
  <c r="AB91" i="1"/>
  <c r="Y91" i="1"/>
  <c r="X91" i="1"/>
  <c r="Z91" i="1"/>
  <c r="AA91" i="1"/>
  <c r="W92" i="1"/>
  <c r="B93" i="1"/>
  <c r="AC92" i="1" a="1"/>
  <c r="AP91" i="1" l="1"/>
  <c r="AN91" i="1"/>
  <c r="AG91" i="1"/>
  <c r="AD90" i="1"/>
  <c r="AI91" i="1"/>
  <c r="AR91" i="1"/>
  <c r="AL91" i="1"/>
  <c r="AX91" i="1"/>
  <c r="AK91" i="1"/>
  <c r="AV91" i="1"/>
  <c r="AF91" i="1"/>
  <c r="AT91" i="1"/>
  <c r="AE91" i="1"/>
  <c r="AQ91" i="1"/>
  <c r="AU91" i="1"/>
  <c r="AW91" i="1"/>
  <c r="AJ91" i="1"/>
  <c r="AO91" i="1"/>
  <c r="AS91" i="1"/>
  <c r="AH91" i="1"/>
  <c r="AC92" i="1"/>
  <c r="AP92" i="1" s="1"/>
  <c r="W93" i="1"/>
  <c r="B94" i="1"/>
  <c r="AA92" i="1"/>
  <c r="X92" i="1"/>
  <c r="Y92" i="1"/>
  <c r="Z92" i="1"/>
  <c r="AB92" i="1"/>
  <c r="AC93" i="1" a="1"/>
  <c r="AG92" i="1" l="1"/>
  <c r="AT92" i="1"/>
  <c r="AS92" i="1"/>
  <c r="AK92" i="1"/>
  <c r="AX92" i="1"/>
  <c r="AR92" i="1"/>
  <c r="AO92" i="1"/>
  <c r="AH92" i="1"/>
  <c r="AQ92" i="1"/>
  <c r="AW92" i="1"/>
  <c r="AD91" i="1"/>
  <c r="AM92" i="1"/>
  <c r="AN92" i="1"/>
  <c r="AE92" i="1"/>
  <c r="AV92" i="1"/>
  <c r="AL92" i="1"/>
  <c r="AU92" i="1"/>
  <c r="AJ92" i="1"/>
  <c r="AF92" i="1"/>
  <c r="AI92" i="1"/>
  <c r="AC93" i="1"/>
  <c r="AF93" i="1" s="1"/>
  <c r="W94" i="1"/>
  <c r="B95" i="1"/>
  <c r="AA93" i="1"/>
  <c r="AB93" i="1"/>
  <c r="X93" i="1"/>
  <c r="Y93" i="1"/>
  <c r="Z93" i="1"/>
  <c r="AC94" i="1" a="1"/>
  <c r="AM93" i="1" l="1"/>
  <c r="AQ93" i="1"/>
  <c r="AW93" i="1"/>
  <c r="AU93" i="1"/>
  <c r="AJ93" i="1"/>
  <c r="AH93" i="1"/>
  <c r="AR93" i="1"/>
  <c r="AX93" i="1"/>
  <c r="AE93" i="1"/>
  <c r="AS93" i="1"/>
  <c r="AK93" i="1"/>
  <c r="AO93" i="1"/>
  <c r="AP93" i="1"/>
  <c r="AT93" i="1"/>
  <c r="AN93" i="1"/>
  <c r="AG93" i="1"/>
  <c r="AD92" i="1"/>
  <c r="AV93" i="1"/>
  <c r="AL93" i="1"/>
  <c r="AI93" i="1"/>
  <c r="AC94" i="1"/>
  <c r="AG94" i="1" s="1"/>
  <c r="W95" i="1"/>
  <c r="B96" i="1"/>
  <c r="AB94" i="1"/>
  <c r="AA94" i="1"/>
  <c r="X94" i="1"/>
  <c r="Z94" i="1"/>
  <c r="Y94" i="1"/>
  <c r="AC95" i="1" a="1"/>
  <c r="AH94" i="1" l="1"/>
  <c r="AN94" i="1"/>
  <c r="AK94" i="1"/>
  <c r="AX94" i="1"/>
  <c r="AV94" i="1"/>
  <c r="AT94" i="1"/>
  <c r="AP94" i="1"/>
  <c r="AF94" i="1"/>
  <c r="AW94" i="1"/>
  <c r="AJ94" i="1"/>
  <c r="AD93" i="1"/>
  <c r="AR94" i="1"/>
  <c r="AL94" i="1"/>
  <c r="AI94" i="1"/>
  <c r="AS94" i="1"/>
  <c r="AE94" i="1"/>
  <c r="AO94" i="1"/>
  <c r="AM94" i="1"/>
  <c r="AQ94" i="1"/>
  <c r="AU94" i="1"/>
  <c r="AC95" i="1"/>
  <c r="AQ95" i="1" s="1"/>
  <c r="W96" i="1"/>
  <c r="B97" i="1"/>
  <c r="X95" i="1"/>
  <c r="AB95" i="1"/>
  <c r="Z95" i="1"/>
  <c r="AA95" i="1"/>
  <c r="Y95" i="1"/>
  <c r="AC96" i="1" a="1"/>
  <c r="AP95" i="1" l="1"/>
  <c r="AX95" i="1"/>
  <c r="AI95" i="1"/>
  <c r="AO95" i="1"/>
  <c r="AK95" i="1"/>
  <c r="AF95" i="1"/>
  <c r="AE95" i="1"/>
  <c r="AL95" i="1"/>
  <c r="AJ95" i="1"/>
  <c r="AG95" i="1"/>
  <c r="AT95" i="1"/>
  <c r="AH95" i="1"/>
  <c r="AU95" i="1"/>
  <c r="AS95" i="1"/>
  <c r="AN95" i="1"/>
  <c r="AR95" i="1"/>
  <c r="AW95" i="1"/>
  <c r="AV95" i="1"/>
  <c r="AM95" i="1"/>
  <c r="AD94" i="1"/>
  <c r="AC96" i="1"/>
  <c r="AI96" i="1" s="1"/>
  <c r="Z96" i="1"/>
  <c r="AA96" i="1"/>
  <c r="Y96" i="1"/>
  <c r="AB96" i="1"/>
  <c r="X96" i="1"/>
  <c r="W97" i="1"/>
  <c r="B98" i="1"/>
  <c r="AC97" i="1" a="1"/>
  <c r="AD95" i="1" l="1"/>
  <c r="AG96" i="1"/>
  <c r="AP96" i="1"/>
  <c r="AQ96" i="1"/>
  <c r="AS96" i="1"/>
  <c r="AN96" i="1"/>
  <c r="AW96" i="1"/>
  <c r="AH96" i="1"/>
  <c r="AE96" i="1"/>
  <c r="AU96" i="1"/>
  <c r="AM96" i="1"/>
  <c r="AK96" i="1"/>
  <c r="AV96" i="1"/>
  <c r="AJ96" i="1"/>
  <c r="AX96" i="1"/>
  <c r="AO96" i="1"/>
  <c r="AL96" i="1"/>
  <c r="AR96" i="1"/>
  <c r="AF96" i="1"/>
  <c r="AT96" i="1"/>
  <c r="AC97" i="1"/>
  <c r="AG97" i="1" s="1"/>
  <c r="W98" i="1"/>
  <c r="B99" i="1"/>
  <c r="W99" i="1" s="1"/>
  <c r="AA97" i="1"/>
  <c r="X97" i="1"/>
  <c r="AB97" i="1"/>
  <c r="Z97" i="1"/>
  <c r="Y97" i="1"/>
  <c r="AC98" i="1" a="1"/>
  <c r="AC99" i="1" a="1"/>
  <c r="AP97" i="1" l="1"/>
  <c r="AQ97" i="1"/>
  <c r="AS97" i="1"/>
  <c r="AJ97" i="1"/>
  <c r="AV97" i="1"/>
  <c r="AE97" i="1"/>
  <c r="AX97" i="1"/>
  <c r="AD96" i="1"/>
  <c r="AL97" i="1"/>
  <c r="AU97" i="1"/>
  <c r="AW97" i="1"/>
  <c r="AR97" i="1"/>
  <c r="AN97" i="1"/>
  <c r="AF97" i="1"/>
  <c r="AH97" i="1"/>
  <c r="AM97" i="1"/>
  <c r="AO97" i="1"/>
  <c r="AT97" i="1"/>
  <c r="AI97" i="1"/>
  <c r="AK97" i="1"/>
  <c r="AC99" i="1"/>
  <c r="AP99" i="1" s="1"/>
  <c r="AC98" i="1"/>
  <c r="AP98" i="1" s="1"/>
  <c r="AB99" i="1"/>
  <c r="Y99" i="1"/>
  <c r="AA99" i="1"/>
  <c r="X99" i="1"/>
  <c r="Z99" i="1"/>
  <c r="AA98" i="1"/>
  <c r="Y98" i="1"/>
  <c r="X98" i="1"/>
  <c r="AB98" i="1"/>
  <c r="Z98" i="1"/>
  <c r="AW98" i="1" l="1"/>
  <c r="AK99" i="1"/>
  <c r="AM99" i="1"/>
  <c r="AN99" i="1"/>
  <c r="AK98" i="1"/>
  <c r="AR98" i="1"/>
  <c r="AN98" i="1"/>
  <c r="AE99" i="1"/>
  <c r="AS98" i="1"/>
  <c r="AT99" i="1"/>
  <c r="AQ99" i="1"/>
  <c r="AG98" i="1"/>
  <c r="AF98" i="1"/>
  <c r="AO99" i="1"/>
  <c r="AL99" i="1"/>
  <c r="AS99" i="1"/>
  <c r="AO98" i="1"/>
  <c r="AI99" i="1"/>
  <c r="AF99" i="1"/>
  <c r="AH98" i="1"/>
  <c r="AE98" i="1"/>
  <c r="AR99" i="1"/>
  <c r="AL98" i="1"/>
  <c r="AQ98" i="1"/>
  <c r="AX98" i="1"/>
  <c r="AI98" i="1"/>
  <c r="AW99" i="1"/>
  <c r="AX99" i="1"/>
  <c r="AV98" i="1"/>
  <c r="AU98" i="1"/>
  <c r="AU99" i="1"/>
  <c r="AJ99" i="1"/>
  <c r="AD97" i="1"/>
  <c r="AM98" i="1"/>
  <c r="AT98" i="1"/>
  <c r="AH99" i="1"/>
  <c r="AG99" i="1"/>
  <c r="AJ98" i="1"/>
  <c r="AV99" i="1"/>
  <c r="AD99" i="1" l="1"/>
  <c r="AD98" i="1"/>
  <c r="M8" i="7"/>
  <c r="M3" i="7"/>
  <c r="M6" i="7"/>
  <c r="M5" i="7"/>
  <c r="M4" i="7"/>
  <c r="M7" i="7"/>
  <c r="N8" i="7" l="1"/>
  <c r="S8" i="7" s="1"/>
  <c r="N7" i="7"/>
  <c r="R7" i="7" s="1"/>
  <c r="N4" i="7"/>
  <c r="S4" i="7" s="1"/>
  <c r="N5" i="7"/>
  <c r="R5" i="7" s="1"/>
  <c r="N6" i="7"/>
  <c r="R6" i="7" s="1"/>
  <c r="N3" i="7"/>
  <c r="S3" i="7" s="1"/>
  <c r="M6" i="5" l="1"/>
  <c r="N6" i="5" s="1"/>
  <c r="S7" i="7"/>
  <c r="U7" i="7" s="1"/>
  <c r="P6" i="5" s="1"/>
  <c r="R8" i="7"/>
  <c r="U8" i="7" s="1"/>
  <c r="R4" i="7"/>
  <c r="U4" i="7" s="1"/>
  <c r="P3" i="5" s="1"/>
  <c r="M3" i="5"/>
  <c r="N3" i="5" s="1"/>
  <c r="M2" i="5"/>
  <c r="N2" i="5" s="1"/>
  <c r="M4" i="5"/>
  <c r="N4" i="5" s="1"/>
  <c r="M5" i="5"/>
  <c r="N5" i="5" s="1"/>
  <c r="R3" i="7"/>
  <c r="U3" i="7" s="1"/>
  <c r="P2" i="5" s="1"/>
  <c r="N9" i="7"/>
  <c r="S5" i="7"/>
  <c r="U5" i="7" s="1"/>
  <c r="P4" i="5" s="1"/>
  <c r="S6" i="7"/>
  <c r="U6" i="7" s="1"/>
  <c r="P5" i="5" s="1"/>
  <c r="O2" i="5"/>
  <c r="O3" i="5"/>
  <c r="P7" i="5"/>
  <c r="O6" i="5" l="1"/>
  <c r="O4" i="5"/>
  <c r="T8" i="7"/>
  <c r="T5" i="7"/>
  <c r="T7" i="7"/>
  <c r="T4" i="7"/>
  <c r="V1" i="7"/>
  <c r="T6" i="7"/>
  <c r="O5" i="5"/>
  <c r="T3" i="7"/>
  <c r="S9" i="7"/>
  <c r="V4" i="7" l="1"/>
  <c r="V7" i="7"/>
  <c r="V3" i="7"/>
  <c r="V8" i="7"/>
  <c r="V5" i="7"/>
  <c r="V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北條亮一</author>
  </authors>
  <commentList>
    <comment ref="H5" authorId="0" shapeId="0" xr:uid="{D5273608-E795-479F-876A-D381AF742331}">
      <text>
        <r>
          <rPr>
            <b/>
            <sz val="9"/>
            <color indexed="81"/>
            <rFont val="MS P ゴシック"/>
            <family val="3"/>
            <charset val="128"/>
          </rPr>
          <t>北條亮一:</t>
        </r>
        <r>
          <rPr>
            <sz val="9"/>
            <color indexed="81"/>
            <rFont val="MS P ゴシック"/>
            <family val="3"/>
            <charset val="128"/>
          </rPr>
          <t xml:space="preserve">
本試験は90点</t>
        </r>
      </text>
    </comment>
    <comment ref="H6" authorId="0" shapeId="0" xr:uid="{D3CAB5F3-6AB6-45E7-A716-35A5EE99F5E1}">
      <text>
        <r>
          <rPr>
            <b/>
            <sz val="9"/>
            <color indexed="81"/>
            <rFont val="MS P ゴシック"/>
            <family val="3"/>
            <charset val="128"/>
          </rPr>
          <t>北條亮一:</t>
        </r>
        <r>
          <rPr>
            <sz val="9"/>
            <color indexed="81"/>
            <rFont val="MS P ゴシック"/>
            <family val="3"/>
            <charset val="128"/>
          </rPr>
          <t xml:space="preserve">
本試験は80点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<sst xmlns="http://schemas.openxmlformats.org/spreadsheetml/2006/main" count="191" uniqueCount="84">
  <si>
    <t>未回答</t>
    <rPh sb="0" eb="3">
      <t>ミカイトウ</t>
    </rPh>
    <phoneticPr fontId="1"/>
  </si>
  <si>
    <t>正答</t>
    <rPh sb="0" eb="2">
      <t>セイトウ</t>
    </rPh>
    <phoneticPr fontId="1"/>
  </si>
  <si>
    <t>正解率</t>
    <rPh sb="0" eb="2">
      <t>セイカイ</t>
    </rPh>
    <rPh sb="2" eb="3">
      <t>リツ</t>
    </rPh>
    <phoneticPr fontId="1"/>
  </si>
  <si>
    <t>聴解</t>
    <rPh sb="0" eb="2">
      <t>チョウカイ</t>
    </rPh>
    <phoneticPr fontId="1"/>
  </si>
  <si>
    <t>学籍番号</t>
    <rPh sb="0" eb="4">
      <t>ガクセキバンゴウ</t>
    </rPh>
    <phoneticPr fontId="3"/>
  </si>
  <si>
    <t>名前</t>
    <rPh sb="0" eb="2">
      <t>ナマエ</t>
    </rPh>
    <phoneticPr fontId="3"/>
  </si>
  <si>
    <t>文字・語彙正解数</t>
    <rPh sb="0" eb="2">
      <t>モジ</t>
    </rPh>
    <rPh sb="3" eb="5">
      <t>ゴイ</t>
    </rPh>
    <rPh sb="5" eb="7">
      <t>セイカイ</t>
    </rPh>
    <rPh sb="7" eb="8">
      <t>スウ</t>
    </rPh>
    <phoneticPr fontId="3"/>
  </si>
  <si>
    <t>文字・語彙</t>
    <rPh sb="0" eb="2">
      <t>モジ</t>
    </rPh>
    <rPh sb="3" eb="5">
      <t>ゴイ</t>
    </rPh>
    <phoneticPr fontId="3"/>
  </si>
  <si>
    <t>聴解正解数</t>
    <rPh sb="0" eb="2">
      <t>チョウカイ</t>
    </rPh>
    <rPh sb="2" eb="4">
      <t>セイカイ</t>
    </rPh>
    <rPh sb="4" eb="5">
      <t>スウ</t>
    </rPh>
    <phoneticPr fontId="3"/>
  </si>
  <si>
    <t>聴解</t>
    <rPh sb="0" eb="2">
      <t>チョウカイ</t>
    </rPh>
    <phoneticPr fontId="3"/>
  </si>
  <si>
    <t>合否</t>
    <rPh sb="0" eb="2">
      <t>ゴウヒ</t>
    </rPh>
    <phoneticPr fontId="3"/>
  </si>
  <si>
    <t>総合得点</t>
    <rPh sb="0" eb="2">
      <t>ソウゴウ</t>
    </rPh>
    <rPh sb="2" eb="4">
      <t>トクテン</t>
    </rPh>
    <phoneticPr fontId="3"/>
  </si>
  <si>
    <t>学籍番号</t>
    <rPh sb="0" eb="4">
      <t>ガクセキバンゴウ</t>
    </rPh>
    <phoneticPr fontId="1"/>
  </si>
  <si>
    <t>出席番号</t>
    <rPh sb="0" eb="4">
      <t>シュッセキバンゴウ</t>
    </rPh>
    <phoneticPr fontId="1"/>
  </si>
  <si>
    <t>クラス</t>
    <phoneticPr fontId="1"/>
  </si>
  <si>
    <t>名前</t>
    <rPh sb="0" eb="2">
      <t>ナマエ</t>
    </rPh>
    <phoneticPr fontId="1"/>
  </si>
  <si>
    <t>書籍名および実施回</t>
    <rPh sb="0" eb="3">
      <t>ショセキメイ</t>
    </rPh>
    <rPh sb="6" eb="8">
      <t>ジッシ</t>
    </rPh>
    <rPh sb="8" eb="9">
      <t>カイ</t>
    </rPh>
    <phoneticPr fontId="1"/>
  </si>
  <si>
    <t>文字語彙問題数</t>
    <rPh sb="0" eb="2">
      <t>モジ</t>
    </rPh>
    <rPh sb="2" eb="4">
      <t>ゴイ</t>
    </rPh>
    <rPh sb="4" eb="7">
      <t>モンダイスウ</t>
    </rPh>
    <phoneticPr fontId="1"/>
  </si>
  <si>
    <t>文法問題数</t>
    <rPh sb="0" eb="2">
      <t>ブンポウ</t>
    </rPh>
    <rPh sb="2" eb="5">
      <t>モンダイスウ</t>
    </rPh>
    <phoneticPr fontId="1"/>
  </si>
  <si>
    <t>読解問題数</t>
    <rPh sb="0" eb="2">
      <t>ドッカイ</t>
    </rPh>
    <rPh sb="2" eb="5">
      <t>モンダイスウ</t>
    </rPh>
    <phoneticPr fontId="1"/>
  </si>
  <si>
    <t>聴解問題数</t>
    <rPh sb="0" eb="2">
      <t>チョウカイ</t>
    </rPh>
    <rPh sb="2" eb="5">
      <t>モンダイスウ</t>
    </rPh>
    <phoneticPr fontId="1"/>
  </si>
  <si>
    <t>公式問題集第二集 N5</t>
    <rPh sb="0" eb="2">
      <t>コウシキ</t>
    </rPh>
    <rPh sb="2" eb="4">
      <t>モンダイ</t>
    </rPh>
    <rPh sb="4" eb="5">
      <t>シュウ</t>
    </rPh>
    <rPh sb="5" eb="6">
      <t>ダイ</t>
    </rPh>
    <rPh sb="6" eb="7">
      <t>ニ</t>
    </rPh>
    <rPh sb="7" eb="8">
      <t>シュウ</t>
    </rPh>
    <phoneticPr fontId="1"/>
  </si>
  <si>
    <t>レベル</t>
    <phoneticPr fontId="1"/>
  </si>
  <si>
    <t>N5</t>
    <phoneticPr fontId="1"/>
  </si>
  <si>
    <t>文字語彙開始</t>
    <rPh sb="0" eb="2">
      <t>モジ</t>
    </rPh>
    <rPh sb="2" eb="4">
      <t>ゴイ</t>
    </rPh>
    <rPh sb="4" eb="6">
      <t>カイシ</t>
    </rPh>
    <phoneticPr fontId="1"/>
  </si>
  <si>
    <t>文法開始</t>
    <rPh sb="0" eb="2">
      <t>ブンポウ</t>
    </rPh>
    <rPh sb="2" eb="4">
      <t>カイシ</t>
    </rPh>
    <phoneticPr fontId="1"/>
  </si>
  <si>
    <t>文法終了</t>
    <rPh sb="0" eb="2">
      <t>ブンポウ</t>
    </rPh>
    <rPh sb="2" eb="4">
      <t>シュウリョウ</t>
    </rPh>
    <phoneticPr fontId="1"/>
  </si>
  <si>
    <t>文字語彙終了</t>
    <rPh sb="0" eb="2">
      <t>モジ</t>
    </rPh>
    <rPh sb="2" eb="4">
      <t>ゴイ</t>
    </rPh>
    <rPh sb="4" eb="6">
      <t>シュウリョウ</t>
    </rPh>
    <phoneticPr fontId="1"/>
  </si>
  <si>
    <t>読解開始</t>
    <rPh sb="0" eb="2">
      <t>ドッカイ</t>
    </rPh>
    <rPh sb="2" eb="4">
      <t>カイシ</t>
    </rPh>
    <phoneticPr fontId="1"/>
  </si>
  <si>
    <t>読解終了</t>
    <rPh sb="0" eb="2">
      <t>ドッカイ</t>
    </rPh>
    <rPh sb="2" eb="4">
      <t>シュウリョウ</t>
    </rPh>
    <phoneticPr fontId="1"/>
  </si>
  <si>
    <t>聴解開始</t>
    <rPh sb="0" eb="2">
      <t>チョウカイ</t>
    </rPh>
    <rPh sb="2" eb="4">
      <t>カイシ</t>
    </rPh>
    <phoneticPr fontId="1"/>
  </si>
  <si>
    <t>聴解終了</t>
    <rPh sb="0" eb="2">
      <t>チョウカイ</t>
    </rPh>
    <rPh sb="2" eb="4">
      <t>シュウリョウ</t>
    </rPh>
    <phoneticPr fontId="1"/>
  </si>
  <si>
    <t>↓使用する試験を選んでください</t>
    <rPh sb="1" eb="3">
      <t>シヨウ</t>
    </rPh>
    <rPh sb="5" eb="7">
      <t>シケン</t>
    </rPh>
    <rPh sb="8" eb="9">
      <t>エラ</t>
    </rPh>
    <phoneticPr fontId="1"/>
  </si>
  <si>
    <t>公式問題集第二集 N4</t>
    <rPh sb="0" eb="2">
      <t>コウシキ</t>
    </rPh>
    <rPh sb="2" eb="4">
      <t>モンダイ</t>
    </rPh>
    <rPh sb="4" eb="5">
      <t>シュウ</t>
    </rPh>
    <rPh sb="5" eb="6">
      <t>ダイ</t>
    </rPh>
    <rPh sb="6" eb="7">
      <t>ニ</t>
    </rPh>
    <rPh sb="7" eb="8">
      <t>シュウ</t>
    </rPh>
    <phoneticPr fontId="1"/>
  </si>
  <si>
    <t>公式問題集第二集 N3</t>
    <rPh sb="0" eb="2">
      <t>コウシキ</t>
    </rPh>
    <rPh sb="2" eb="4">
      <t>モンダイ</t>
    </rPh>
    <rPh sb="4" eb="5">
      <t>シュウ</t>
    </rPh>
    <rPh sb="5" eb="6">
      <t>ダイ</t>
    </rPh>
    <rPh sb="6" eb="7">
      <t>ニ</t>
    </rPh>
    <rPh sb="7" eb="8">
      <t>シュウ</t>
    </rPh>
    <phoneticPr fontId="1"/>
  </si>
  <si>
    <t>公式問題集第二集 N2</t>
    <rPh sb="0" eb="2">
      <t>コウシキ</t>
    </rPh>
    <rPh sb="2" eb="4">
      <t>モンダイ</t>
    </rPh>
    <rPh sb="4" eb="5">
      <t>シュウ</t>
    </rPh>
    <rPh sb="5" eb="6">
      <t>ダイ</t>
    </rPh>
    <rPh sb="6" eb="7">
      <t>ニ</t>
    </rPh>
    <rPh sb="7" eb="8">
      <t>シュウ</t>
    </rPh>
    <phoneticPr fontId="1"/>
  </si>
  <si>
    <t>公式問題集第二集 N1</t>
    <rPh sb="0" eb="2">
      <t>コウシキ</t>
    </rPh>
    <rPh sb="2" eb="4">
      <t>モンダイ</t>
    </rPh>
    <rPh sb="4" eb="5">
      <t>シュウ</t>
    </rPh>
    <rPh sb="5" eb="6">
      <t>ダイ</t>
    </rPh>
    <rPh sb="6" eb="7">
      <t>ニ</t>
    </rPh>
    <rPh sb="7" eb="8">
      <t>シュウ</t>
    </rPh>
    <phoneticPr fontId="1"/>
  </si>
  <si>
    <t>N4</t>
    <phoneticPr fontId="1"/>
  </si>
  <si>
    <t>N3</t>
    <phoneticPr fontId="1"/>
  </si>
  <si>
    <t>N2</t>
    <phoneticPr fontId="1"/>
  </si>
  <si>
    <t>N1</t>
    <phoneticPr fontId="1"/>
  </si>
  <si>
    <t>文法</t>
    <rPh sb="0" eb="2">
      <t>ブンポウ</t>
    </rPh>
    <phoneticPr fontId="3"/>
  </si>
  <si>
    <t>読解</t>
    <rPh sb="0" eb="2">
      <t>ドッカイ</t>
    </rPh>
    <phoneticPr fontId="1"/>
  </si>
  <si>
    <t>文法正解数</t>
    <rPh sb="0" eb="2">
      <t>ブンポウ</t>
    </rPh>
    <rPh sb="2" eb="5">
      <t>セイカイスウ</t>
    </rPh>
    <phoneticPr fontId="3"/>
  </si>
  <si>
    <t>読解正解数</t>
    <rPh sb="0" eb="2">
      <t>ドッカイ</t>
    </rPh>
    <rPh sb="2" eb="5">
      <t>セイカイスウ</t>
    </rPh>
    <phoneticPr fontId="1"/>
  </si>
  <si>
    <t>基準名1</t>
    <rPh sb="0" eb="2">
      <t>キジュン</t>
    </rPh>
    <rPh sb="2" eb="3">
      <t>メイ</t>
    </rPh>
    <phoneticPr fontId="1"/>
  </si>
  <si>
    <t>基準名2</t>
    <rPh sb="0" eb="2">
      <t>キジュン</t>
    </rPh>
    <rPh sb="2" eb="3">
      <t>メイ</t>
    </rPh>
    <phoneticPr fontId="1"/>
  </si>
  <si>
    <t>基準名3</t>
    <rPh sb="0" eb="2">
      <t>キジュン</t>
    </rPh>
    <rPh sb="2" eb="3">
      <t>メイ</t>
    </rPh>
    <phoneticPr fontId="1"/>
  </si>
  <si>
    <t>文字・語彙・文法</t>
    <rPh sb="0" eb="2">
      <t>モジ</t>
    </rPh>
    <rPh sb="3" eb="5">
      <t>ゴイ</t>
    </rPh>
    <rPh sb="6" eb="8">
      <t>ブンポウ</t>
    </rPh>
    <phoneticPr fontId="1"/>
  </si>
  <si>
    <t>文字・語彙・文法・読解</t>
  </si>
  <si>
    <t>文字・語彙・文法・読解</t>
    <rPh sb="0" eb="2">
      <t>モジ</t>
    </rPh>
    <rPh sb="3" eb="5">
      <t>ゴイ</t>
    </rPh>
    <rPh sb="6" eb="8">
      <t>ブンポウ</t>
    </rPh>
    <rPh sb="9" eb="11">
      <t>ドッカイ</t>
    </rPh>
    <phoneticPr fontId="1"/>
  </si>
  <si>
    <t>基準点1</t>
    <rPh sb="0" eb="3">
      <t>キジュンテン</t>
    </rPh>
    <phoneticPr fontId="1"/>
  </si>
  <si>
    <t>基準点2</t>
    <rPh sb="0" eb="3">
      <t>キジュンテン</t>
    </rPh>
    <phoneticPr fontId="1"/>
  </si>
  <si>
    <t>基準点3</t>
    <rPh sb="0" eb="3">
      <t>キジュンテン</t>
    </rPh>
    <phoneticPr fontId="1"/>
  </si>
  <si>
    <t>基準なし</t>
    <rPh sb="0" eb="2">
      <t>キジュン</t>
    </rPh>
    <phoneticPr fontId="1"/>
  </si>
  <si>
    <t>文法・読解正解数</t>
    <rPh sb="0" eb="2">
      <t>ブンポウ</t>
    </rPh>
    <rPh sb="3" eb="5">
      <t>ドッカイ</t>
    </rPh>
    <rPh sb="5" eb="8">
      <t>セイカイスウ</t>
    </rPh>
    <phoneticPr fontId="1"/>
  </si>
  <si>
    <t>文法・読解</t>
    <rPh sb="0" eb="2">
      <t>ブンポウ</t>
    </rPh>
    <rPh sb="3" eb="5">
      <t>ドッカイ</t>
    </rPh>
    <phoneticPr fontId="1"/>
  </si>
  <si>
    <t>合計</t>
    <rPh sb="0" eb="2">
      <t>ゴウケイ</t>
    </rPh>
    <phoneticPr fontId="1"/>
  </si>
  <si>
    <t>順位</t>
    <rPh sb="0" eb="2">
      <t>ジュンイ</t>
    </rPh>
    <phoneticPr fontId="1"/>
  </si>
  <si>
    <t>合否</t>
    <rPh sb="0" eb="2">
      <t>ゴウヒ</t>
    </rPh>
    <phoneticPr fontId="1"/>
  </si>
  <si>
    <t>判定1</t>
    <rPh sb="0" eb="2">
      <t>ハンテイ</t>
    </rPh>
    <phoneticPr fontId="1"/>
  </si>
  <si>
    <t>判定2</t>
    <rPh sb="0" eb="2">
      <t>ハンテイ</t>
    </rPh>
    <phoneticPr fontId="1"/>
  </si>
  <si>
    <t>合格点</t>
    <rPh sb="0" eb="3">
      <t>ゴウカクテン</t>
    </rPh>
    <phoneticPr fontId="1"/>
  </si>
  <si>
    <t>文字・語彙</t>
    <rPh sb="0" eb="2">
      <t>もじ</t>
    </rPh>
    <rPh sb="3" eb="5">
      <t>ごい</t>
    </rPh>
    <phoneticPr fontId="3" type="Hiragana" alignment="center"/>
  </si>
  <si>
    <t>文法</t>
    <rPh sb="0" eb="2">
      <t>ぶんぽう</t>
    </rPh>
    <phoneticPr fontId="3" type="Hiragana" alignment="center"/>
  </si>
  <si>
    <t>読解</t>
    <rPh sb="0" eb="2">
      <t>どっかい</t>
    </rPh>
    <phoneticPr fontId="3" type="Hiragana" alignment="center"/>
  </si>
  <si>
    <t>聴解</t>
    <rPh sb="0" eb="2">
      <t>ちょうかい</t>
    </rPh>
    <phoneticPr fontId="3" type="Hiragana" alignment="center"/>
  </si>
  <si>
    <t>集計</t>
  </si>
  <si>
    <t>判定3</t>
    <rPh sb="0" eb="2">
      <t>ハンテイ</t>
    </rPh>
    <phoneticPr fontId="1"/>
  </si>
  <si>
    <t>標準偏差</t>
    <rPh sb="0" eb="4">
      <t>ヒョウジュンヘンサ</t>
    </rPh>
    <phoneticPr fontId="1"/>
  </si>
  <si>
    <t>平均点</t>
    <rPh sb="0" eb="3">
      <t>ヘイキンテン</t>
    </rPh>
    <phoneticPr fontId="1"/>
  </si>
  <si>
    <t>偏差値</t>
    <rPh sb="0" eb="3">
      <t>ヘンサチ</t>
    </rPh>
    <phoneticPr fontId="1"/>
  </si>
  <si>
    <t>完全模試N3第1回</t>
    <rPh sb="0" eb="2">
      <t>カンゼン</t>
    </rPh>
    <rPh sb="2" eb="4">
      <t>モシ</t>
    </rPh>
    <rPh sb="6" eb="7">
      <t>ダイ</t>
    </rPh>
    <rPh sb="8" eb="9">
      <t>カイ</t>
    </rPh>
    <phoneticPr fontId="1"/>
  </si>
  <si>
    <t>完全模試N4第3回</t>
  </si>
  <si>
    <t>完全模試N5第1回</t>
    <phoneticPr fontId="1"/>
  </si>
  <si>
    <t>1-13</t>
  </si>
  <si>
    <t>UGESH SAPKOTA</t>
  </si>
  <si>
    <t>DHAKAL LILA MAYA</t>
  </si>
  <si>
    <t>NIRMALA BIST</t>
  </si>
  <si>
    <t>CHAUDHARY RAJESH</t>
  </si>
  <si>
    <t>LE XUAN BACH</t>
  </si>
  <si>
    <t>KC HIMAL</t>
    <phoneticPr fontId="1"/>
  </si>
  <si>
    <t>完全模試N4第2回</t>
  </si>
  <si>
    <t>完全模試N4第2回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</si>
</sst>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_ "/>
    <numFmt numFmtId="178" formatCode="General&quot;/60&quot;"/>
    <numFmt numFmtId="179" formatCode="0&quot; / 180&quot;"/>
    <numFmt numFmtId="180" formatCode="0.0_);[Red]\(0.0\)"/>
  </numFmts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8"/>
      <color theme="1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medium">
        <color auto="1"/>
      </right>
      <top style="thin">
        <color theme="4"/>
      </top>
      <bottom style="thin">
        <color theme="4"/>
      </bottom>
      <diagonal/>
    </border>
    <border>
      <left style="medium">
        <color auto="1"/>
      </left>
      <right/>
      <top style="thin">
        <color theme="4"/>
      </top>
      <bottom/>
      <diagonal/>
    </border>
    <border>
      <left/>
      <right style="medium">
        <color auto="1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theme="4"/>
      </top>
      <bottom style="thin">
        <color theme="4"/>
      </bottom>
      <diagonal/>
    </border>
    <border>
      <left style="thin">
        <color auto="1"/>
      </left>
      <right/>
      <top style="thin">
        <color theme="4"/>
      </top>
      <bottom style="thin">
        <color theme="4"/>
      </bottom>
      <diagonal/>
    </border>
    <border>
      <left/>
      <right style="medium">
        <color auto="1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0" borderId="0" xfId="1">
      <alignment vertical="center"/>
    </xf>
    <xf numFmtId="0" fontId="0" fillId="5" borderId="9" xfId="0" applyFill="1" applyBorder="1">
      <alignment vertical="center"/>
    </xf>
    <xf numFmtId="0" fontId="0" fillId="0" borderId="10" xfId="0" applyBorder="1">
      <alignment vertical="center"/>
    </xf>
    <xf numFmtId="0" fontId="0" fillId="2" borderId="0" xfId="0" applyFill="1" applyAlignment="1">
      <alignment vertical="center" wrapText="1"/>
    </xf>
    <xf numFmtId="0" fontId="5" fillId="4" borderId="3" xfId="1" applyFont="1" applyFill="1" applyBorder="1" applyAlignment="1">
      <alignment horizontal="left" vertical="center"/>
    </xf>
    <xf numFmtId="0" fontId="5" fillId="4" borderId="2" xfId="1" applyFont="1" applyFill="1" applyBorder="1">
      <alignment vertical="center"/>
    </xf>
    <xf numFmtId="0" fontId="5" fillId="4" borderId="6" xfId="1" applyFont="1" applyFill="1" applyBorder="1">
      <alignment vertical="center"/>
    </xf>
    <xf numFmtId="0" fontId="4" fillId="0" borderId="8" xfId="1" applyFont="1" applyBorder="1" applyAlignment="1">
      <alignment horizontal="left" vertical="center"/>
    </xf>
    <xf numFmtId="0" fontId="4" fillId="0" borderId="4" xfId="1" applyFont="1" applyBorder="1">
      <alignment vertical="center"/>
    </xf>
    <xf numFmtId="0" fontId="4" fillId="0" borderId="11" xfId="1" applyFont="1" applyBorder="1">
      <alignment vertical="center"/>
    </xf>
    <xf numFmtId="0" fontId="2" fillId="0" borderId="12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179" fontId="2" fillId="0" borderId="11" xfId="1" applyNumberForma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5" fillId="4" borderId="7" xfId="1" applyFont="1" applyFill="1" applyBorder="1">
      <alignment vertical="center"/>
    </xf>
    <xf numFmtId="0" fontId="0" fillId="6" borderId="14" xfId="0" applyFill="1" applyBorder="1">
      <alignment vertical="center"/>
    </xf>
    <xf numFmtId="178" fontId="0" fillId="0" borderId="0" xfId="0" applyNumberFormat="1">
      <alignment vertical="center"/>
    </xf>
    <xf numFmtId="176" fontId="2" fillId="0" borderId="12" xfId="1" applyNumberFormat="1" applyBorder="1" applyAlignment="1">
      <alignment horizontal="center" vertical="center"/>
    </xf>
    <xf numFmtId="0" fontId="0" fillId="2" borderId="15" xfId="0" applyFill="1" applyBorder="1">
      <alignment vertical="center"/>
    </xf>
    <xf numFmtId="0" fontId="6" fillId="3" borderId="0" xfId="0" applyFont="1" applyFill="1" applyAlignment="1">
      <alignment vertical="top" textRotation="255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5" fillId="4" borderId="11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56" fontId="0" fillId="0" borderId="0" xfId="0" applyNumberFormat="1">
      <alignment vertical="center"/>
    </xf>
  </cellXfs>
  <cellStyles count="2">
    <cellStyle name="標準" xfId="0" builtinId="0"/>
    <cellStyle name="標準 2" xfId="1" xr:uid="{ABB56F2B-EC52-4B15-BBF0-73CC0948F705}"/>
  </cellStyles>
  <dxfs count="37">
    <dxf>
      <numFmt numFmtId="0" formatCode="General"/>
    </dxf>
    <dxf>
      <numFmt numFmtId="177" formatCode="0.0_ "/>
    </dxf>
    <dxf>
      <numFmt numFmtId="177" formatCode="0.0_ "/>
    </dxf>
    <dxf>
      <numFmt numFmtId="180" formatCode="0.0_);[Red]\(0.0\)"/>
    </dxf>
    <dxf>
      <numFmt numFmtId="177" formatCode="0.0_ 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77" formatCode="0.0_ "/>
    </dxf>
    <dxf>
      <numFmt numFmtId="0" formatCode="General"/>
    </dxf>
    <dxf>
      <numFmt numFmtId="0" formatCode="General"/>
    </dxf>
    <dxf>
      <numFmt numFmtId="177" formatCode="0.0_ 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General&quot;/60&quot;"/>
    </dxf>
    <dxf>
      <numFmt numFmtId="178" formatCode="General&quot;/60&quot;"/>
    </dxf>
    <dxf>
      <numFmt numFmtId="178" formatCode="General&quot;/60&quot;"/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2022-04pc\&#25945;&#21209;&#23460;&#20849;&#26377;&#12501;&#12449;&#12452;&#12523;\&#23398;&#29983;&#29366;&#27841;\&#12486;&#12473;&#12488;&#32080;&#26524;\&#23450;&#26399;&#12486;&#12473;&#12488;\2025&#24180;&#24230;\&#26657;&#20869;&#27169;&#25836;&#35430;&#39443;\N4\20250205_1-13_N4&#20877;&#12293;&#35430;&#39443;&#9312;.xlsx" TargetMode="External"/><Relationship Id="rId1" Type="http://schemas.openxmlformats.org/officeDocument/2006/relationships/externalLinkPath" Target="20250205_1-13_N4&#20877;&#12293;&#35430;&#39443;&#93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設定"/>
      <sheetName val="受験者"/>
      <sheetName val="解答入力"/>
      <sheetName val="集計"/>
      <sheetName val="学生配布用"/>
      <sheetName val="試験情報"/>
      <sheetName val="レベル別情報"/>
      <sheetName val="→ここから右のシートは試験ごとの解答を入力"/>
      <sheetName val="公式問題集第二集 N5"/>
      <sheetName val="公式問題集第二集 N4"/>
      <sheetName val="公式問題集第二集 N3"/>
      <sheetName val="完全模試N3第1回"/>
      <sheetName val="完全模試N4第3回"/>
      <sheetName val="完全模試N5第1回"/>
      <sheetName val="完全模試N4第1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6D5CA8-E4D3-47F9-8244-D3CBA8B9088A}" name="T_受験者" displayName="T_受験者" ref="A1:D7" totalsRowShown="0">
  <autoFilter ref="A1:D7" xr:uid="{066D5CA8-E4D3-47F9-8244-D3CBA8B9088A}"/>
  <tableColumns count="4">
    <tableColumn id="1" xr3:uid="{CB59A32C-F27B-4177-8308-2BA0B818420B}" name="学籍番号"/>
    <tableColumn id="2" xr3:uid="{054E9A35-537B-4F01-92D4-C98DB567F000}" name="クラス"/>
    <tableColumn id="3" xr3:uid="{7B44428C-299C-4111-A1AB-36FA47BF2E79}" name="出席番号"/>
    <tableColumn id="4" xr3:uid="{719B936D-0C58-4055-925D-B78B8E3D94B1}" name="名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D1D9BD-6D54-4885-8CA5-8CD7290C6934}" name="T_成績" displayName="T_成績" ref="E2:V9" totalsRowCount="1">
  <autoFilter ref="E2:V8" xr:uid="{70D1D9BD-6D54-4885-8CA5-8CD7290C6934}"/>
  <sortState xmlns:xlrd2="http://schemas.microsoft.com/office/spreadsheetml/2017/richdata2" ref="E3:V7">
    <sortCondition descending="1" ref="S2:S7"/>
  </sortState>
  <tableColumns count="18">
    <tableColumn id="1" xr3:uid="{97B6A796-1480-43FF-A44A-3B21D552703C}" name="文字・語彙正解数" totalsRowLabel="集計">
      <calculatedColumnFormula>COUNTIF(INDIRECT("解答入力!"&amp;ADDRESS(VLOOKUP(試験名,[1]!T_試験[#Data],7,FALSE)+2,30+C3)&amp;":"&amp;ADDRESS(VLOOKUP(試験名,[1]!T_試験[#Data],8,FALSE)+2,30+C3)),"〇")</calculatedColumnFormula>
    </tableColumn>
    <tableColumn id="2" xr3:uid="{A7158423-F3DA-4591-AF36-18BD307F5896}" name="文字・語彙" totalsRowFunction="average" dataDxfId="20" totalsRowDxfId="10">
      <calculatedColumnFormula>ROUND(E3*60/VLOOKUP(試験名,T_試験[[#All],[書籍名および実施回]:[聴解問題数]],3,FALSE),0)</calculatedColumnFormula>
    </tableColumn>
    <tableColumn id="3" xr3:uid="{DED9FB52-FA91-4ECE-8915-7E1ED7E67264}" name="文法正解数" dataDxfId="12" totalsRowDxfId="9">
      <calculatedColumnFormula>COUNTIF(INDIRECT("解答入力!"&amp;ADDRESS(VLOOKUP(試験名,[1]!T_試験[#Data],9,FALSE)+2,30+C3)&amp;":"&amp;ADDRESS(VLOOKUP(試験名,[1]!T_試験[#Data],10,FALSE)+2,30+C3)),"〇")</calculatedColumnFormula>
    </tableColumn>
    <tableColumn id="4" xr3:uid="{A0AF87B2-C50C-4436-A03A-97391E6E9FB3}" name="文法" totalsRowDxfId="8">
      <calculatedColumnFormula>ROUND(G3*60/VLOOKUP(試験名,T_試験[[#All],[書籍名および実施回]:[聴解問題数]],4,FALSE),0)</calculatedColumnFormula>
    </tableColumn>
    <tableColumn id="5" xr3:uid="{A9ABDF01-FBB1-4E5A-991A-E044D08F60B1}" name="読解正解数" dataDxfId="11" totalsRowDxfId="7">
      <calculatedColumnFormula>COUNTIF(INDIRECT("解答入力!"&amp;ADDRESS(VLOOKUP(試験名,[1]!T_試験[#Data],11,FALSE)+2,30+C3)&amp;":"&amp;ADDRESS(VLOOKUP(試験名,[1]!T_試験[#Data],12,FALSE)+2,30+C3)),"〇")</calculatedColumnFormula>
    </tableColumn>
    <tableColumn id="6" xr3:uid="{FCB655FF-A6C7-48E0-83D2-784A4CE6C06D}" name="読解" totalsRowDxfId="6">
      <calculatedColumnFormula>ROUND(I3*60/VLOOKUP(試験名,T_試験[[#All],[書籍名および実施回]:[聴解問題数]],5,FALSE),0)</calculatedColumnFormula>
    </tableColumn>
    <tableColumn id="7" xr3:uid="{B175107D-B914-40D5-BD0D-438F3B18F391}" name="文法・読解正解数" totalsRowDxfId="5">
      <calculatedColumnFormula>G3+I3</calculatedColumnFormula>
    </tableColumn>
    <tableColumn id="8" xr3:uid="{5C0F9B08-D24D-45F9-9B2A-E65CAE36D302}" name="文法・読解" totalsRowFunction="average" dataDxfId="19" totalsRowDxfId="4">
      <calculatedColumnFormula>ROUND(K3*60/(VLOOKUP(試験名,T_試験[],4,FALSE)+VLOOKUP(試験名,T_試験[],5,FALSE)),0)</calculatedColumnFormula>
    </tableColumn>
    <tableColumn id="9" xr3:uid="{1C6251F5-161C-47DB-BF4D-87FDF1B73D05}" name="聴解正解数" dataDxfId="0" totalsRowDxfId="3">
      <calculatedColumnFormula>COUNTIF(INDIRECT("解答入力!"&amp;ADDRESS(VLOOKUP(試験名,[1]!T_試験[#Data],13,FALSE)+2,30+C3)&amp;":"&amp;ADDRESS(VLOOKUP(試験名,[1]!T_試験[#Data],14,FALSE)+2,30+C3)),"〇")</calculatedColumnFormula>
    </tableColumn>
    <tableColumn id="10" xr3:uid="{70B54576-B2B9-4781-8DA9-11F5F54C0696}" name="聴解" totalsRowFunction="average" dataDxfId="18" totalsRowDxfId="2">
      <calculatedColumnFormula>ROUND(M3*60/VLOOKUP(試験名,T_試験[[#All],[書籍名および実施回]:[聴解問題数]],6,FALSE),0)</calculatedColumnFormula>
    </tableColumn>
    <tableColumn id="11" xr3:uid="{1BA62FD4-00C3-4E08-B96C-FD068EED2E73}" name="文字・語彙・文法・読解" dataDxfId="17">
      <calculatedColumnFormula>IF(OR($B$1="N5",$B$1="N4"),F3+L3,0)</calculatedColumnFormula>
    </tableColumn>
    <tableColumn id="12" xr3:uid="{4B4C2753-54EC-40F6-BF46-479D2D8574A7}" name="判定1" dataDxfId="16">
      <calculatedColumnFormula>IF(OR($B$1="N5",($B$1="N4")),IF(O3&gt;=VLOOKUP($B$1,T_基準点[],3,FALSE),"○","✕"),IF(F3&gt;=VLOOKUP($B$1,T_基準点[],3,FALSE),"○","✕"))</calculatedColumnFormula>
    </tableColumn>
    <tableColumn id="14" xr3:uid="{B937DD6C-5AF7-4E95-A944-419A2A39295C}" name="判定2" dataDxfId="15">
      <calculatedColumnFormula>IF(OR($B$1="N5",($B$1="N4")),"○",IF(L3&gt;=VLOOKUP($B$1,T_基準点[],5,FALSE),"○","✕"))</calculatedColumnFormula>
    </tableColumn>
    <tableColumn id="15" xr3:uid="{9A0B3CE3-5058-4FE8-AF73-0B02A00A36FF}" name="判定3">
      <calculatedColumnFormula>IF(N3&gt;=VLOOKUP($B$1,T_基準点[],7,FALSE),"○","✕")</calculatedColumnFormula>
    </tableColumn>
    <tableColumn id="16" xr3:uid="{B524EE9C-8918-49B0-B907-C3EF3C266BAB}" name="合計" totalsRowFunction="average" totalsRowDxfId="1">
      <calculatedColumnFormula>F3+L3+N3</calculatedColumnFormula>
    </tableColumn>
    <tableColumn id="17" xr3:uid="{2341E56B-4CB7-4E93-B175-F4C7CFF3CBC2}" name="順位" dataDxfId="14">
      <calculatedColumnFormula>RANK(S3,T_成績[合計],0)</calculatedColumnFormula>
    </tableColumn>
    <tableColumn id="18" xr3:uid="{BFF8CE81-4DD8-461F-AB5D-69765E98176A}" name="合否">
      <calculatedColumnFormula>IF(AND(P3="○",Q3="○",R3="○",S3&gt;=VLOOKUP($B$1,T_基準点[],8,FALSE)),"○","×")</calculatedColumnFormula>
    </tableColumn>
    <tableColumn id="19" xr3:uid="{C8285026-BD73-48F4-A500-CC96AC26A5C0}" name="偏差値" dataDxfId="13">
      <calculatedColumnFormula>50+10*(T_成績[[#This Row],[合計]]-T_成績[[#Totals],[合計]])/$V$1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F14CC2-996B-4BA6-AC79-24A83AC3187D}" name="T_試験" displayName="T_試験" ref="A1:N10" totalsRowShown="0">
  <autoFilter ref="A1:N10" xr:uid="{46F14CC2-996B-4BA6-AC79-24A83AC3187D}"/>
  <tableColumns count="14">
    <tableColumn id="1" xr3:uid="{607206E4-C9A4-483C-BD3D-94662694E914}" name="書籍名および実施回"/>
    <tableColumn id="2" xr3:uid="{25D1754C-79E0-4057-8155-A2F13837CC0B}" name="レベル"/>
    <tableColumn id="3" xr3:uid="{F1CA17A9-8FC9-4C8E-884D-21865B0F0419}" name="文字語彙問題数"/>
    <tableColumn id="4" xr3:uid="{9778345A-F6C8-482D-85FD-A2A899240462}" name="文法問題数"/>
    <tableColumn id="5" xr3:uid="{FB6AA2A1-C55E-43FF-BFCE-B58BC4A6D3B5}" name="読解問題数"/>
    <tableColumn id="6" xr3:uid="{E26A0C52-9B52-4C44-AE88-C88EA6F090DF}" name="聴解問題数"/>
    <tableColumn id="7" xr3:uid="{288ECD69-1FD2-42A2-8117-6D7598C58C62}" name="文字語彙開始" dataDxfId="36"/>
    <tableColumn id="8" xr3:uid="{AE48D44E-9147-48F6-8B32-19065BAA16B8}" name="文字語彙終了" dataDxfId="35">
      <calculatedColumnFormula>C2</calculatedColumnFormula>
    </tableColumn>
    <tableColumn id="9" xr3:uid="{33CF41E9-29AF-46D2-8582-A7829A83E1A4}" name="文法開始" dataDxfId="34">
      <calculatedColumnFormula>H2+1</calculatedColumnFormula>
    </tableColumn>
    <tableColumn id="10" xr3:uid="{D0253060-8EF8-4C06-964A-A48C8351BB07}" name="文法終了" dataDxfId="33">
      <calculatedColumnFormula>H2+D2</calculatedColumnFormula>
    </tableColumn>
    <tableColumn id="11" xr3:uid="{E3EB83AD-F9E5-481A-AC30-0D6FFBFA75ED}" name="読解開始" dataDxfId="32">
      <calculatedColumnFormula>J2+1</calculatedColumnFormula>
    </tableColumn>
    <tableColumn id="12" xr3:uid="{EBA717AB-8E1F-4931-B83C-524D34BE67FC}" name="読解終了" dataDxfId="31">
      <calculatedColumnFormula>J2+E2</calculatedColumnFormula>
    </tableColumn>
    <tableColumn id="13" xr3:uid="{08A54CB0-2CDA-498D-8DC4-90280FD38591}" name="聴解開始" dataDxfId="30">
      <calculatedColumnFormula>L2+1</calculatedColumnFormula>
    </tableColumn>
    <tableColumn id="14" xr3:uid="{02D042C9-63F6-4D20-BD0E-3E1700DC5CB8}" name="聴解終了" dataDxfId="29">
      <calculatedColumnFormula>L2+F2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4C9084-22F7-411D-8FDF-A187DA9BEA31}" name="T_基準点" displayName="T_基準点" ref="A1:H6" totalsRowShown="0">
  <autoFilter ref="A1:H6" xr:uid="{A44C9084-22F7-411D-8FDF-A187DA9BEA31}"/>
  <tableColumns count="8">
    <tableColumn id="1" xr3:uid="{289B3038-7948-4FDD-8DED-56B1A7D4AE50}" name="レベル"/>
    <tableColumn id="2" xr3:uid="{54E8B4FF-906E-4F20-938C-8C40D9628616}" name="基準名1"/>
    <tableColumn id="3" xr3:uid="{9A5AC459-826F-41A0-B184-DBCC93813FEA}" name="基準点1"/>
    <tableColumn id="4" xr3:uid="{6F06D88F-1EB9-4FD4-9093-F68D272902E9}" name="基準名2"/>
    <tableColumn id="5" xr3:uid="{7DC9F3CA-1F63-4B06-967A-AE26679F05CC}" name="基準点2"/>
    <tableColumn id="6" xr3:uid="{F35F3BE0-E3D2-477E-9CFC-660B8C1F58DF}" name="基準名3"/>
    <tableColumn id="7" xr3:uid="{B58A6BF0-5507-4818-9DA3-CE91DE328677}" name="基準点3"/>
    <tableColumn id="8" xr3:uid="{430BAFB1-77A5-4663-9DC8-A6272B72105E}" name="合格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4637-B195-4991-A9CE-F6FB5F31E18D}">
  <dimension ref="A1:A2"/>
  <sheetViews>
    <sheetView workbookViewId="0">
      <selection activeCell="A2" sqref="A2"/>
    </sheetView>
  </sheetViews>
  <sheetFormatPr defaultRowHeight="18.75"/>
  <cols>
    <col min="1" max="1" width="31.5" bestFit="1" customWidth="1"/>
  </cols>
  <sheetData>
    <row r="1" spans="1:1">
      <c r="A1" s="6" t="s">
        <v>32</v>
      </c>
    </row>
    <row r="2" spans="1:1" ht="19.5" thickBot="1">
      <c r="A2" s="7" t="s">
        <v>82</v>
      </c>
    </row>
  </sheetData>
  <phoneticPr fontId="1"/>
  <dataValidations count="1">
    <dataValidation type="list" allowBlank="1" showInputMessage="1" showErrorMessage="1" sqref="A2" xr:uid="{B732F2CE-C077-45E8-BE64-D7051CDC4CEF}">
      <formula1>試験名一覧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0C4C-277C-41E3-B65F-1858C2210223}">
  <dimension ref="A1:D7"/>
  <sheetViews>
    <sheetView workbookViewId="0">
      <selection activeCell="D10" sqref="D10"/>
    </sheetView>
  </sheetViews>
  <sheetFormatPr defaultRowHeight="18.75"/>
  <cols>
    <col min="1" max="1" width="10.25" customWidth="1"/>
    <col min="3" max="3" width="11.25" bestFit="1" customWidth="1"/>
    <col min="4" max="4" width="32" bestFit="1" customWidth="1"/>
  </cols>
  <sheetData>
    <row r="1" spans="1:4">
      <c r="A1" t="s">
        <v>12</v>
      </c>
      <c r="B1" t="s">
        <v>14</v>
      </c>
      <c r="C1" t="s">
        <v>13</v>
      </c>
      <c r="D1" t="s">
        <v>15</v>
      </c>
    </row>
    <row r="2" spans="1:4">
      <c r="A2">
        <v>2504094</v>
      </c>
      <c r="B2" t="s">
        <v>75</v>
      </c>
      <c r="C2">
        <v>13</v>
      </c>
      <c r="D2" t="s">
        <v>76</v>
      </c>
    </row>
    <row r="3" spans="1:4">
      <c r="A3">
        <v>2504103</v>
      </c>
      <c r="B3" t="s">
        <v>75</v>
      </c>
      <c r="C3">
        <v>14</v>
      </c>
      <c r="D3" t="s">
        <v>77</v>
      </c>
    </row>
    <row r="4" spans="1:4">
      <c r="A4">
        <v>2504108</v>
      </c>
      <c r="B4" t="s">
        <v>75</v>
      </c>
      <c r="C4">
        <v>15</v>
      </c>
      <c r="D4" t="s">
        <v>78</v>
      </c>
    </row>
    <row r="5" spans="1:4">
      <c r="A5">
        <v>2504114</v>
      </c>
      <c r="B5" t="s">
        <v>75</v>
      </c>
      <c r="C5">
        <v>16</v>
      </c>
      <c r="D5" t="s">
        <v>79</v>
      </c>
    </row>
    <row r="6" spans="1:4">
      <c r="A6">
        <v>2510013</v>
      </c>
      <c r="B6" t="s">
        <v>75</v>
      </c>
      <c r="C6">
        <v>20</v>
      </c>
      <c r="D6" t="s">
        <v>80</v>
      </c>
    </row>
    <row r="7" spans="1:4">
      <c r="A7">
        <v>2504019</v>
      </c>
      <c r="B7" s="30" t="s">
        <v>75</v>
      </c>
      <c r="C7">
        <v>3</v>
      </c>
      <c r="D7" t="s">
        <v>81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63B5-C8AA-4E0B-8EF4-3E4D60CCD208}">
  <dimension ref="A1:AX117"/>
  <sheetViews>
    <sheetView view="pageBreakPreview" zoomScale="85" zoomScaleNormal="90" zoomScaleSheetLayoutView="85" workbookViewId="0">
      <pane xSplit="2" ySplit="2" topLeftCell="C83" activePane="bottomRight" state="frozen"/>
      <selection pane="topRight" activeCell="C1" sqref="C1"/>
      <selection pane="bottomLeft" activeCell="A3" sqref="A3"/>
      <selection pane="bottomRight" activeCell="R100" sqref="R100"/>
    </sheetView>
  </sheetViews>
  <sheetFormatPr defaultRowHeight="18.75"/>
  <cols>
    <col min="3" max="22" width="4.125" customWidth="1"/>
    <col min="23" max="23" width="3.5" customWidth="1"/>
    <col min="31" max="50" width="4.25" customWidth="1"/>
  </cols>
  <sheetData>
    <row r="1" spans="1:50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AE1">
        <v>1</v>
      </c>
      <c r="AF1">
        <v>2</v>
      </c>
      <c r="AG1">
        <v>3</v>
      </c>
      <c r="AH1">
        <v>4</v>
      </c>
      <c r="AI1">
        <v>5</v>
      </c>
      <c r="AJ1">
        <v>6</v>
      </c>
      <c r="AK1">
        <v>7</v>
      </c>
      <c r="AL1">
        <v>8</v>
      </c>
      <c r="AM1">
        <v>9</v>
      </c>
      <c r="AN1">
        <v>10</v>
      </c>
      <c r="AO1">
        <v>11</v>
      </c>
      <c r="AP1">
        <v>12</v>
      </c>
      <c r="AQ1">
        <v>13</v>
      </c>
      <c r="AR1">
        <v>14</v>
      </c>
      <c r="AS1">
        <v>15</v>
      </c>
      <c r="AT1">
        <v>16</v>
      </c>
      <c r="AU1">
        <v>17</v>
      </c>
      <c r="AV1">
        <v>18</v>
      </c>
      <c r="AW1">
        <v>19</v>
      </c>
      <c r="AX1">
        <v>20</v>
      </c>
    </row>
    <row r="2" spans="1:50" ht="205.5">
      <c r="A2" s="8" t="str">
        <f>"使用試験："&amp;試験名</f>
        <v>使用試験：完全模試N4第2回</v>
      </c>
      <c r="B2" s="1"/>
      <c r="C2" s="24" t="str" cm="1">
        <f t="array" ref="C2">_xlfn.XLOOKUP(C1,T_受験者[[#All],[出席番号]],T_受験者[[#All],[名前]],"",0,1)</f>
        <v/>
      </c>
      <c r="D2" s="24" t="str" cm="1">
        <f t="array" ref="D2">_xlfn.XLOOKUP(D1,T_受験者[[#All],[出席番号]],T_受験者[[#All],[名前]],"",0,1)</f>
        <v/>
      </c>
      <c r="E2" s="24" t="str" cm="1">
        <f t="array" ref="E2">_xlfn.XLOOKUP(E1,T_受験者[[#All],[出席番号]],T_受験者[[#All],[名前]],"",0,1)</f>
        <v>KC HIMAL</v>
      </c>
      <c r="F2" s="24" t="str" cm="1">
        <f t="array" ref="F2">_xlfn.XLOOKUP(F1,T_受験者[[#All],[出席番号]],T_受験者[[#All],[名前]],"",0,1)</f>
        <v/>
      </c>
      <c r="G2" s="24" t="str" cm="1">
        <f t="array" ref="G2">_xlfn.XLOOKUP(G1,T_受験者[[#All],[出席番号]],T_受験者[[#All],[名前]],"",0,1)</f>
        <v/>
      </c>
      <c r="H2" s="24" t="str" cm="1">
        <f t="array" ref="H2">_xlfn.XLOOKUP(H1,T_受験者[[#All],[出席番号]],T_受験者[[#All],[名前]],"",0,1)</f>
        <v/>
      </c>
      <c r="I2" s="24" t="str" cm="1">
        <f t="array" ref="I2">_xlfn.XLOOKUP(I1,T_受験者[[#All],[出席番号]],T_受験者[[#All],[名前]],"",0,1)</f>
        <v/>
      </c>
      <c r="J2" s="24" t="str" cm="1">
        <f t="array" ref="J2">_xlfn.XLOOKUP(J1,T_受験者[[#All],[出席番号]],T_受験者[[#All],[名前]],"",0,1)</f>
        <v/>
      </c>
      <c r="K2" s="24" t="str" cm="1">
        <f t="array" ref="K2">_xlfn.XLOOKUP(K1,T_受験者[[#All],[出席番号]],T_受験者[[#All],[名前]],"",0,1)</f>
        <v/>
      </c>
      <c r="L2" s="24" t="str" cm="1">
        <f t="array" ref="L2">_xlfn.XLOOKUP(L1,T_受験者[[#All],[出席番号]],T_受験者[[#All],[名前]],"",0,1)</f>
        <v/>
      </c>
      <c r="M2" s="24" t="str" cm="1">
        <f t="array" ref="M2">_xlfn.XLOOKUP(M1,T_受験者[[#All],[出席番号]],T_受験者[[#All],[名前]],"",0,1)</f>
        <v/>
      </c>
      <c r="N2" s="24" t="str" cm="1">
        <f t="array" ref="N2">_xlfn.XLOOKUP(N1,T_受験者[[#All],[出席番号]],T_受験者[[#All],[名前]],"",0,1)</f>
        <v/>
      </c>
      <c r="O2" s="24" t="str" cm="1">
        <f t="array" ref="O2">_xlfn.XLOOKUP(O1,T_受験者[[#All],[出席番号]],T_受験者[[#All],[名前]],"",0,1)</f>
        <v>UGESH SAPKOTA</v>
      </c>
      <c r="P2" s="24" t="str" cm="1">
        <f t="array" ref="P2">_xlfn.XLOOKUP(P1,T_受験者[[#All],[出席番号]],T_受験者[[#All],[名前]],"",0,1)</f>
        <v>DHAKAL LILA MAYA</v>
      </c>
      <c r="Q2" s="24" t="str" cm="1">
        <f t="array" ref="Q2">_xlfn.XLOOKUP(Q1,T_受験者[[#All],[出席番号]],T_受験者[[#All],[名前]],"",0,1)</f>
        <v>NIRMALA BIST</v>
      </c>
      <c r="R2" s="24" t="str" cm="1">
        <f t="array" ref="R2">_xlfn.XLOOKUP(R1,T_受験者[[#All],[出席番号]],T_受験者[[#All],[名前]],"",0,1)</f>
        <v>CHAUDHARY RAJESH</v>
      </c>
      <c r="S2" s="24" t="str" cm="1">
        <f t="array" ref="S2">_xlfn.XLOOKUP(S1,T_受験者[[#All],[出席番号]],T_受験者[[#All],[名前]],"",0,1)</f>
        <v/>
      </c>
      <c r="T2" s="24" t="str" cm="1">
        <f t="array" ref="T2">_xlfn.XLOOKUP(T1,T_受験者[[#All],[出席番号]],T_受験者[[#All],[名前]],"",0,1)</f>
        <v/>
      </c>
      <c r="U2" s="24" t="str" cm="1">
        <f t="array" ref="U2">_xlfn.XLOOKUP(U1,T_受験者[[#All],[出席番号]],T_受験者[[#All],[名前]],"",0,1)</f>
        <v/>
      </c>
      <c r="V2" s="24" t="str" cm="1">
        <f t="array" ref="V2">_xlfn.XLOOKUP(V1,T_受験者[[#All],[出席番号]],T_受験者[[#All],[名前]],"",0,1)</f>
        <v>LE XUAN BACH</v>
      </c>
      <c r="W2" s="2"/>
      <c r="X2" s="3">
        <v>1</v>
      </c>
      <c r="Y2" s="3">
        <v>2</v>
      </c>
      <c r="Z2" s="3">
        <v>3</v>
      </c>
      <c r="AA2" s="3">
        <v>4</v>
      </c>
      <c r="AB2" s="3" t="s">
        <v>0</v>
      </c>
      <c r="AC2" s="3" t="s">
        <v>1</v>
      </c>
      <c r="AD2" s="3" t="s">
        <v>2</v>
      </c>
      <c r="AE2" s="24" t="str" cm="1">
        <f t="array" ref="AE2">_xlfn.XLOOKUP(AE1,T_受験者[[#All],[出席番号]],T_受験者[[#All],[名前]],"",0,1)</f>
        <v/>
      </c>
      <c r="AF2" s="24" t="str" cm="1">
        <f t="array" ref="AF2">_xlfn.XLOOKUP(AF1,T_受験者[[#All],[出席番号]],T_受験者[[#All],[名前]],"",0,1)</f>
        <v/>
      </c>
      <c r="AG2" s="24" t="str" cm="1">
        <f t="array" ref="AG2">_xlfn.XLOOKUP(AG1,T_受験者[[#All],[出席番号]],T_受験者[[#All],[名前]],"",0,1)</f>
        <v>KC HIMAL</v>
      </c>
      <c r="AH2" s="24" t="str" cm="1">
        <f t="array" ref="AH2">_xlfn.XLOOKUP(AH1,T_受験者[[#All],[出席番号]],T_受験者[[#All],[名前]],"",0,1)</f>
        <v/>
      </c>
      <c r="AI2" s="24" t="str" cm="1">
        <f t="array" ref="AI2">_xlfn.XLOOKUP(AI1,T_受験者[[#All],[出席番号]],T_受験者[[#All],[名前]],"",0,1)</f>
        <v/>
      </c>
      <c r="AJ2" s="24" t="str" cm="1">
        <f t="array" ref="AJ2">_xlfn.XLOOKUP(AJ1,T_受験者[[#All],[出席番号]],T_受験者[[#All],[名前]],"",0,1)</f>
        <v/>
      </c>
      <c r="AK2" s="24" t="str" cm="1">
        <f t="array" ref="AK2">_xlfn.XLOOKUP(AK1,T_受験者[[#All],[出席番号]],T_受験者[[#All],[名前]],"",0,1)</f>
        <v/>
      </c>
      <c r="AL2" s="24" t="str" cm="1">
        <f t="array" ref="AL2">_xlfn.XLOOKUP(AL1,T_受験者[[#All],[出席番号]],T_受験者[[#All],[名前]],"",0,1)</f>
        <v/>
      </c>
      <c r="AM2" s="24" t="str" cm="1">
        <f t="array" ref="AM2">_xlfn.XLOOKUP(AM1,T_受験者[[#All],[出席番号]],T_受験者[[#All],[名前]],"",0,1)</f>
        <v/>
      </c>
      <c r="AN2" s="24" t="str" cm="1">
        <f t="array" ref="AN2">_xlfn.XLOOKUP(AN1,T_受験者[[#All],[出席番号]],T_受験者[[#All],[名前]],"",0,1)</f>
        <v/>
      </c>
      <c r="AO2" s="24" t="str" cm="1">
        <f t="array" ref="AO2">_xlfn.XLOOKUP(AO1,T_受験者[[#All],[出席番号]],T_受験者[[#All],[名前]],"",0,1)</f>
        <v/>
      </c>
      <c r="AP2" s="24" t="str" cm="1">
        <f t="array" ref="AP2">_xlfn.XLOOKUP(AP1,T_受験者[[#All],[出席番号]],T_受験者[[#All],[名前]],"",0,1)</f>
        <v/>
      </c>
      <c r="AQ2" s="24" t="str" cm="1">
        <f t="array" ref="AQ2">_xlfn.XLOOKUP(AQ1,T_受験者[[#All],[出席番号]],T_受験者[[#All],[名前]],"",0,1)</f>
        <v>UGESH SAPKOTA</v>
      </c>
      <c r="AR2" s="24" t="str" cm="1">
        <f t="array" ref="AR2">_xlfn.XLOOKUP(AR1,T_受験者[[#All],[出席番号]],T_受験者[[#All],[名前]],"",0,1)</f>
        <v>DHAKAL LILA MAYA</v>
      </c>
      <c r="AS2" s="24" t="str" cm="1">
        <f t="array" ref="AS2">_xlfn.XLOOKUP(AS1,T_受験者[[#All],[出席番号]],T_受験者[[#All],[名前]],"",0,1)</f>
        <v>NIRMALA BIST</v>
      </c>
      <c r="AT2" s="24" t="str" cm="1">
        <f t="array" ref="AT2">_xlfn.XLOOKUP(AT1,T_受験者[[#All],[出席番号]],T_受験者[[#All],[名前]],"",0,1)</f>
        <v>CHAUDHARY RAJESH</v>
      </c>
      <c r="AU2" s="24" t="str" cm="1">
        <f t="array" ref="AU2">_xlfn.XLOOKUP(AU1,T_受験者[[#All],[出席番号]],T_受験者[[#All],[名前]],"",0,1)</f>
        <v/>
      </c>
      <c r="AV2" s="24" t="str" cm="1">
        <f t="array" ref="AV2">_xlfn.XLOOKUP(AV1,T_受験者[[#All],[出席番号]],T_受験者[[#All],[名前]],"",0,1)</f>
        <v/>
      </c>
      <c r="AW2" s="24" t="str" cm="1">
        <f t="array" ref="AW2">_xlfn.XLOOKUP(AW1,T_受験者[[#All],[出席番号]],T_受験者[[#All],[名前]],"",0,1)</f>
        <v/>
      </c>
      <c r="AX2" s="24" t="str" cm="1">
        <f t="array" ref="AX2">_xlfn.XLOOKUP(AX1,T_受験者[[#All],[出席番号]],T_受験者[[#All],[名前]],"",0,1)</f>
        <v>LE XUAN BACH</v>
      </c>
    </row>
    <row r="3" spans="1:50">
      <c r="A3" t="str" cm="1">
        <f t="array" aca="1" ref="A3" ca="1">INDIRECT("'"&amp;試験名&amp;"'!A"&amp;ROW()-2)</f>
        <v>文字語彙</v>
      </c>
      <c r="B3">
        <f ca="1">IF(A3="","",IF(A2=A3,B2+1,1))</f>
        <v>1</v>
      </c>
      <c r="E3">
        <v>4</v>
      </c>
      <c r="O3">
        <v>2</v>
      </c>
      <c r="P3">
        <v>4</v>
      </c>
      <c r="Q3">
        <v>1</v>
      </c>
      <c r="R3">
        <v>4</v>
      </c>
      <c r="V3">
        <v>4</v>
      </c>
      <c r="W3" s="3">
        <f ca="1">B3</f>
        <v>1</v>
      </c>
      <c r="X3" s="3">
        <f t="shared" ref="X3:X66" ca="1" si="0">IF(W3="","",COUNTIF($C3:$V3,X$2))</f>
        <v>1</v>
      </c>
      <c r="Y3" s="3">
        <f t="shared" ref="Y3:Y66" ca="1" si="1">IF(W3="","",COUNTIF($C3:$V3,Y$2))</f>
        <v>1</v>
      </c>
      <c r="Z3" s="3">
        <f t="shared" ref="Z3:Z66" ca="1" si="2">IF(W3="","",COUNTIF($C3:$V3,Z$2))</f>
        <v>0</v>
      </c>
      <c r="AA3" s="3">
        <f t="shared" ref="AA3:AA66" ca="1" si="3">IF(W3="","",COUNTIF($C3:$V3,AA$2))</f>
        <v>4</v>
      </c>
      <c r="AB3" s="3">
        <f ca="1">IF(W3="","",COUNTA(T_受験者[])/4-COUNTA($C3:$V3))</f>
        <v>0</v>
      </c>
      <c r="AC3" s="3" cm="1">
        <f t="array" aca="1" ref="AC3" ca="1">IF(W3="","",INDIRECT("'"&amp;試験名&amp;"'!B"&amp;ROW()-2))</f>
        <v>4</v>
      </c>
      <c r="AD3" s="4">
        <f ca="1">IF(W3="","",COUNTIF(AE3:AX3,"〇")/(COUNTA(T_受験者[])/4))</f>
        <v>0.66666666666666663</v>
      </c>
      <c r="AE3" t="str">
        <f ca="1">IF($W3="","",IF(C3=$AC3,"〇","×"))</f>
        <v>×</v>
      </c>
      <c r="AF3" t="str">
        <f ca="1">IF($W3="","",IF(D3=$AC3,"〇","×"))</f>
        <v>×</v>
      </c>
      <c r="AG3" t="str">
        <f t="shared" ref="AG3:AX17" ca="1" si="4">IF($W3="","",IF(E3=$AC3,"〇","×"))</f>
        <v>〇</v>
      </c>
      <c r="AH3" t="str">
        <f t="shared" ca="1" si="4"/>
        <v>×</v>
      </c>
      <c r="AI3" t="str">
        <f t="shared" ref="AI3:AI66" ca="1" si="5">IF($W3="","",IF(G3=$AC3,"〇","×"))</f>
        <v>×</v>
      </c>
      <c r="AJ3" t="str">
        <f t="shared" ref="AJ3:AJ66" ca="1" si="6">IF($W3="","",IF(H3=$AC3,"〇","×"))</f>
        <v>×</v>
      </c>
      <c r="AK3" t="str">
        <f t="shared" ca="1" si="4"/>
        <v>×</v>
      </c>
      <c r="AL3" t="str">
        <f t="shared" ca="1" si="4"/>
        <v>×</v>
      </c>
      <c r="AM3" t="str">
        <f t="shared" ca="1" si="4"/>
        <v>×</v>
      </c>
      <c r="AN3" t="str">
        <f t="shared" ca="1" si="4"/>
        <v>×</v>
      </c>
      <c r="AO3" t="str">
        <f t="shared" ca="1" si="4"/>
        <v>×</v>
      </c>
      <c r="AP3" t="str">
        <f t="shared" ca="1" si="4"/>
        <v>×</v>
      </c>
      <c r="AQ3" t="str">
        <f t="shared" ca="1" si="4"/>
        <v>×</v>
      </c>
      <c r="AR3" t="str">
        <f t="shared" ca="1" si="4"/>
        <v>〇</v>
      </c>
      <c r="AS3" t="str">
        <f t="shared" ca="1" si="4"/>
        <v>×</v>
      </c>
      <c r="AT3" t="str">
        <f t="shared" ca="1" si="4"/>
        <v>〇</v>
      </c>
      <c r="AU3" t="str">
        <f t="shared" ca="1" si="4"/>
        <v>×</v>
      </c>
      <c r="AV3" t="str">
        <f t="shared" ca="1" si="4"/>
        <v>×</v>
      </c>
      <c r="AW3" t="str">
        <f t="shared" ca="1" si="4"/>
        <v>×</v>
      </c>
      <c r="AX3" t="str">
        <f t="shared" ca="1" si="4"/>
        <v>〇</v>
      </c>
    </row>
    <row r="4" spans="1:50">
      <c r="A4" t="str" cm="1">
        <f t="array" aca="1" ref="A4" ca="1">INDIRECT("'"&amp;試験名&amp;"'!A"&amp;ROW()-2)</f>
        <v>文字語彙</v>
      </c>
      <c r="B4">
        <f t="shared" ref="B4:B67" ca="1" si="7">IF(A4="","",IF(A3=A4,B3+1,1))</f>
        <v>2</v>
      </c>
      <c r="E4">
        <v>4</v>
      </c>
      <c r="O4">
        <v>4</v>
      </c>
      <c r="P4">
        <v>1</v>
      </c>
      <c r="Q4">
        <v>4</v>
      </c>
      <c r="R4">
        <v>1</v>
      </c>
      <c r="V4">
        <v>1</v>
      </c>
      <c r="W4" s="3">
        <f t="shared" ref="W4:W67" ca="1" si="8">B4</f>
        <v>2</v>
      </c>
      <c r="X4" s="3">
        <f t="shared" ca="1" si="0"/>
        <v>3</v>
      </c>
      <c r="Y4" s="3">
        <f t="shared" ca="1" si="1"/>
        <v>0</v>
      </c>
      <c r="Z4" s="3">
        <f t="shared" ca="1" si="2"/>
        <v>0</v>
      </c>
      <c r="AA4" s="3">
        <f t="shared" ca="1" si="3"/>
        <v>3</v>
      </c>
      <c r="AB4" s="3">
        <f ca="1">IF(W4="","",COUNTA(T_受験者[])/4-COUNTA($C4:$V4))</f>
        <v>0</v>
      </c>
      <c r="AC4" s="3" cm="1">
        <f t="array" aca="1" ref="AC4" ca="1">IF(W4="","",INDIRECT("'"&amp;試験名&amp;"'!B"&amp;ROW()-2))</f>
        <v>1</v>
      </c>
      <c r="AD4" s="4">
        <f ca="1">IF(W4="","",COUNTIF(AE4:AX4,"〇")/(COUNTA(T_受験者[])/4))</f>
        <v>0.5</v>
      </c>
      <c r="AE4" t="str">
        <f t="shared" ref="AE4:AF67" ca="1" si="9">IF($W4="","",IF(C4=$AC4,"〇","×"))</f>
        <v>×</v>
      </c>
      <c r="AF4" t="str">
        <f t="shared" ca="1" si="9"/>
        <v>×</v>
      </c>
      <c r="AG4" t="str">
        <f t="shared" ca="1" si="4"/>
        <v>×</v>
      </c>
      <c r="AH4" t="str">
        <f t="shared" ca="1" si="4"/>
        <v>×</v>
      </c>
      <c r="AI4" t="str">
        <f t="shared" ca="1" si="5"/>
        <v>×</v>
      </c>
      <c r="AJ4" t="str">
        <f t="shared" ca="1" si="6"/>
        <v>×</v>
      </c>
      <c r="AK4" t="str">
        <f t="shared" ca="1" si="4"/>
        <v>×</v>
      </c>
      <c r="AL4" t="str">
        <f t="shared" ca="1" si="4"/>
        <v>×</v>
      </c>
      <c r="AM4" t="str">
        <f t="shared" ca="1" si="4"/>
        <v>×</v>
      </c>
      <c r="AN4" t="str">
        <f t="shared" ca="1" si="4"/>
        <v>×</v>
      </c>
      <c r="AO4" t="str">
        <f t="shared" ca="1" si="4"/>
        <v>×</v>
      </c>
      <c r="AP4" t="str">
        <f t="shared" ca="1" si="4"/>
        <v>×</v>
      </c>
      <c r="AQ4" t="str">
        <f t="shared" ca="1" si="4"/>
        <v>×</v>
      </c>
      <c r="AR4" t="str">
        <f t="shared" ca="1" si="4"/>
        <v>〇</v>
      </c>
      <c r="AS4" t="str">
        <f t="shared" ca="1" si="4"/>
        <v>×</v>
      </c>
      <c r="AT4" t="str">
        <f t="shared" ca="1" si="4"/>
        <v>〇</v>
      </c>
      <c r="AU4" t="str">
        <f t="shared" ca="1" si="4"/>
        <v>×</v>
      </c>
      <c r="AV4" t="str">
        <f t="shared" ca="1" si="4"/>
        <v>×</v>
      </c>
      <c r="AW4" t="str">
        <f t="shared" ca="1" si="4"/>
        <v>×</v>
      </c>
      <c r="AX4" t="str">
        <f t="shared" ca="1" si="4"/>
        <v>〇</v>
      </c>
    </row>
    <row r="5" spans="1:50">
      <c r="A5" t="str" cm="1">
        <f t="array" aca="1" ref="A5" ca="1">INDIRECT("'"&amp;試験名&amp;"'!A"&amp;ROW()-2)</f>
        <v>文字語彙</v>
      </c>
      <c r="B5">
        <f t="shared" ca="1" si="7"/>
        <v>3</v>
      </c>
      <c r="E5">
        <v>3</v>
      </c>
      <c r="O5">
        <v>3</v>
      </c>
      <c r="P5">
        <v>3</v>
      </c>
      <c r="Q5">
        <v>3</v>
      </c>
      <c r="R5">
        <v>3</v>
      </c>
      <c r="V5">
        <v>3</v>
      </c>
      <c r="W5" s="3">
        <f t="shared" ca="1" si="8"/>
        <v>3</v>
      </c>
      <c r="X5" s="3">
        <f t="shared" ca="1" si="0"/>
        <v>0</v>
      </c>
      <c r="Y5" s="3">
        <f t="shared" ca="1" si="1"/>
        <v>0</v>
      </c>
      <c r="Z5" s="3">
        <f t="shared" ca="1" si="2"/>
        <v>6</v>
      </c>
      <c r="AA5" s="3">
        <f t="shared" ca="1" si="3"/>
        <v>0</v>
      </c>
      <c r="AB5" s="3">
        <f ca="1">IF(W5="","",COUNTA(T_受験者[])/4-COUNTA($C5:$V5))</f>
        <v>0</v>
      </c>
      <c r="AC5" s="3" cm="1">
        <f t="array" aca="1" ref="AC5" ca="1">IF(W5="","",INDIRECT("'"&amp;試験名&amp;"'!B"&amp;ROW()-2))</f>
        <v>3</v>
      </c>
      <c r="AD5" s="4">
        <f ca="1">IF(W5="","",COUNTIF(AE5:AX5,"〇")/(COUNTA(T_受験者[])/4))</f>
        <v>1</v>
      </c>
      <c r="AE5" t="str">
        <f t="shared" ca="1" si="9"/>
        <v>×</v>
      </c>
      <c r="AF5" t="str">
        <f t="shared" ca="1" si="9"/>
        <v>×</v>
      </c>
      <c r="AG5" t="str">
        <f t="shared" ca="1" si="4"/>
        <v>〇</v>
      </c>
      <c r="AH5" t="str">
        <f t="shared" ca="1" si="4"/>
        <v>×</v>
      </c>
      <c r="AI5" t="str">
        <f t="shared" ca="1" si="5"/>
        <v>×</v>
      </c>
      <c r="AJ5" t="str">
        <f t="shared" ca="1" si="6"/>
        <v>×</v>
      </c>
      <c r="AK5" t="str">
        <f t="shared" ca="1" si="4"/>
        <v>×</v>
      </c>
      <c r="AL5" t="str">
        <f t="shared" ca="1" si="4"/>
        <v>×</v>
      </c>
      <c r="AM5" t="str">
        <f t="shared" ca="1" si="4"/>
        <v>×</v>
      </c>
      <c r="AN5" t="str">
        <f t="shared" ca="1" si="4"/>
        <v>×</v>
      </c>
      <c r="AO5" t="str">
        <f t="shared" ca="1" si="4"/>
        <v>×</v>
      </c>
      <c r="AP5" t="str">
        <f t="shared" ca="1" si="4"/>
        <v>×</v>
      </c>
      <c r="AQ5" t="str">
        <f t="shared" ca="1" si="4"/>
        <v>〇</v>
      </c>
      <c r="AR5" t="str">
        <f t="shared" ca="1" si="4"/>
        <v>〇</v>
      </c>
      <c r="AS5" t="str">
        <f t="shared" ca="1" si="4"/>
        <v>〇</v>
      </c>
      <c r="AT5" t="str">
        <f t="shared" ca="1" si="4"/>
        <v>〇</v>
      </c>
      <c r="AU5" t="str">
        <f t="shared" ca="1" si="4"/>
        <v>×</v>
      </c>
      <c r="AV5" t="str">
        <f t="shared" ca="1" si="4"/>
        <v>×</v>
      </c>
      <c r="AW5" t="str">
        <f t="shared" ca="1" si="4"/>
        <v>×</v>
      </c>
      <c r="AX5" t="str">
        <f t="shared" ca="1" si="4"/>
        <v>〇</v>
      </c>
    </row>
    <row r="6" spans="1:50">
      <c r="A6" t="str" cm="1">
        <f t="array" aca="1" ref="A6" ca="1">INDIRECT("'"&amp;試験名&amp;"'!A"&amp;ROW()-2)</f>
        <v>文字語彙</v>
      </c>
      <c r="B6">
        <f t="shared" ca="1" si="7"/>
        <v>4</v>
      </c>
      <c r="E6">
        <v>2</v>
      </c>
      <c r="O6">
        <v>4</v>
      </c>
      <c r="P6">
        <v>2</v>
      </c>
      <c r="R6">
        <v>2</v>
      </c>
      <c r="V6">
        <v>2</v>
      </c>
      <c r="W6" s="3">
        <f t="shared" ca="1" si="8"/>
        <v>4</v>
      </c>
      <c r="X6" s="3">
        <f t="shared" ca="1" si="0"/>
        <v>0</v>
      </c>
      <c r="Y6" s="3">
        <f t="shared" ca="1" si="1"/>
        <v>4</v>
      </c>
      <c r="Z6" s="3">
        <f t="shared" ca="1" si="2"/>
        <v>0</v>
      </c>
      <c r="AA6" s="3">
        <f t="shared" ca="1" si="3"/>
        <v>1</v>
      </c>
      <c r="AB6" s="3">
        <f ca="1">IF(W6="","",COUNTA(T_受験者[])/4-COUNTA($C6:$V6))</f>
        <v>1</v>
      </c>
      <c r="AC6" s="3" cm="1">
        <f t="array" aca="1" ref="AC6" ca="1">IF(W6="","",INDIRECT("'"&amp;試験名&amp;"'!B"&amp;ROW()-2))</f>
        <v>4</v>
      </c>
      <c r="AD6" s="4">
        <f ca="1">IF(W6="","",COUNTIF(AE6:AX6,"〇")/(COUNTA(T_受験者[])/4))</f>
        <v>0.16666666666666666</v>
      </c>
      <c r="AE6" t="str">
        <f t="shared" ca="1" si="9"/>
        <v>×</v>
      </c>
      <c r="AF6" t="str">
        <f t="shared" ca="1" si="9"/>
        <v>×</v>
      </c>
      <c r="AG6" t="str">
        <f t="shared" ca="1" si="4"/>
        <v>×</v>
      </c>
      <c r="AH6" t="str">
        <f t="shared" ca="1" si="4"/>
        <v>×</v>
      </c>
      <c r="AI6" t="str">
        <f t="shared" ca="1" si="5"/>
        <v>×</v>
      </c>
      <c r="AJ6" t="str">
        <f t="shared" ca="1" si="6"/>
        <v>×</v>
      </c>
      <c r="AK6" t="str">
        <f t="shared" ca="1" si="4"/>
        <v>×</v>
      </c>
      <c r="AL6" t="str">
        <f t="shared" ca="1" si="4"/>
        <v>×</v>
      </c>
      <c r="AM6" t="str">
        <f t="shared" ca="1" si="4"/>
        <v>×</v>
      </c>
      <c r="AN6" t="str">
        <f t="shared" ca="1" si="4"/>
        <v>×</v>
      </c>
      <c r="AO6" t="str">
        <f t="shared" ca="1" si="4"/>
        <v>×</v>
      </c>
      <c r="AP6" t="str">
        <f t="shared" ca="1" si="4"/>
        <v>×</v>
      </c>
      <c r="AQ6" t="str">
        <f t="shared" ca="1" si="4"/>
        <v>〇</v>
      </c>
      <c r="AR6" t="str">
        <f t="shared" ca="1" si="4"/>
        <v>×</v>
      </c>
      <c r="AS6" t="str">
        <f t="shared" ca="1" si="4"/>
        <v>×</v>
      </c>
      <c r="AT6" t="str">
        <f t="shared" ca="1" si="4"/>
        <v>×</v>
      </c>
      <c r="AU6" t="str">
        <f t="shared" ca="1" si="4"/>
        <v>×</v>
      </c>
      <c r="AV6" t="str">
        <f t="shared" ca="1" si="4"/>
        <v>×</v>
      </c>
      <c r="AW6" t="str">
        <f t="shared" ca="1" si="4"/>
        <v>×</v>
      </c>
      <c r="AX6" t="str">
        <f t="shared" ca="1" si="4"/>
        <v>×</v>
      </c>
    </row>
    <row r="7" spans="1:50">
      <c r="A7" t="str" cm="1">
        <f t="array" aca="1" ref="A7" ca="1">INDIRECT("'"&amp;試験名&amp;"'!A"&amp;ROW()-2)</f>
        <v>文字語彙</v>
      </c>
      <c r="B7">
        <f t="shared" ca="1" si="7"/>
        <v>5</v>
      </c>
      <c r="E7">
        <v>2</v>
      </c>
      <c r="O7">
        <v>2</v>
      </c>
      <c r="P7">
        <v>2</v>
      </c>
      <c r="Q7">
        <v>2</v>
      </c>
      <c r="R7">
        <v>2</v>
      </c>
      <c r="V7">
        <v>2</v>
      </c>
      <c r="W7" s="3">
        <f t="shared" ca="1" si="8"/>
        <v>5</v>
      </c>
      <c r="X7" s="3">
        <f t="shared" ca="1" si="0"/>
        <v>0</v>
      </c>
      <c r="Y7" s="3">
        <f t="shared" ca="1" si="1"/>
        <v>6</v>
      </c>
      <c r="Z7" s="3">
        <f t="shared" ca="1" si="2"/>
        <v>0</v>
      </c>
      <c r="AA7" s="3">
        <f t="shared" ca="1" si="3"/>
        <v>0</v>
      </c>
      <c r="AB7" s="3">
        <f ca="1">IF(W7="","",COUNTA(T_受験者[])/4-COUNTA($C7:$V7))</f>
        <v>0</v>
      </c>
      <c r="AC7" s="3" cm="1">
        <f t="array" aca="1" ref="AC7" ca="1">IF(W7="","",INDIRECT("'"&amp;試験名&amp;"'!B"&amp;ROW()-2))</f>
        <v>2</v>
      </c>
      <c r="AD7" s="4">
        <f ca="1">IF(W7="","",COUNTIF(AE7:AX7,"〇")/(COUNTA(T_受験者[])/4))</f>
        <v>1</v>
      </c>
      <c r="AE7" t="str">
        <f t="shared" ca="1" si="9"/>
        <v>×</v>
      </c>
      <c r="AF7" t="str">
        <f t="shared" ca="1" si="9"/>
        <v>×</v>
      </c>
      <c r="AG7" t="str">
        <f t="shared" ca="1" si="4"/>
        <v>〇</v>
      </c>
      <c r="AH7" t="str">
        <f t="shared" ca="1" si="4"/>
        <v>×</v>
      </c>
      <c r="AI7" t="str">
        <f t="shared" ca="1" si="5"/>
        <v>×</v>
      </c>
      <c r="AJ7" t="str">
        <f t="shared" ca="1" si="6"/>
        <v>×</v>
      </c>
      <c r="AK7" t="str">
        <f t="shared" ca="1" si="4"/>
        <v>×</v>
      </c>
      <c r="AL7" t="str">
        <f t="shared" ca="1" si="4"/>
        <v>×</v>
      </c>
      <c r="AM7" t="str">
        <f t="shared" ca="1" si="4"/>
        <v>×</v>
      </c>
      <c r="AN7" t="str">
        <f t="shared" ca="1" si="4"/>
        <v>×</v>
      </c>
      <c r="AO7" t="str">
        <f t="shared" ca="1" si="4"/>
        <v>×</v>
      </c>
      <c r="AP7" t="str">
        <f t="shared" ca="1" si="4"/>
        <v>×</v>
      </c>
      <c r="AQ7" t="str">
        <f t="shared" ca="1" si="4"/>
        <v>〇</v>
      </c>
      <c r="AR7" t="str">
        <f t="shared" ca="1" si="4"/>
        <v>〇</v>
      </c>
      <c r="AS7" t="str">
        <f t="shared" ca="1" si="4"/>
        <v>〇</v>
      </c>
      <c r="AT7" t="str">
        <f t="shared" ca="1" si="4"/>
        <v>〇</v>
      </c>
      <c r="AU7" t="str">
        <f t="shared" ca="1" si="4"/>
        <v>×</v>
      </c>
      <c r="AV7" t="str">
        <f t="shared" ca="1" si="4"/>
        <v>×</v>
      </c>
      <c r="AW7" t="str">
        <f t="shared" ca="1" si="4"/>
        <v>×</v>
      </c>
      <c r="AX7" t="str">
        <f t="shared" ca="1" si="4"/>
        <v>〇</v>
      </c>
    </row>
    <row r="8" spans="1:50">
      <c r="A8" t="str" cm="1">
        <f t="array" aca="1" ref="A8" ca="1">INDIRECT("'"&amp;試験名&amp;"'!A"&amp;ROW()-2)</f>
        <v>文字語彙</v>
      </c>
      <c r="B8">
        <f t="shared" ca="1" si="7"/>
        <v>6</v>
      </c>
      <c r="E8">
        <v>4</v>
      </c>
      <c r="O8">
        <v>3</v>
      </c>
      <c r="P8">
        <v>3</v>
      </c>
      <c r="Q8">
        <v>4</v>
      </c>
      <c r="R8">
        <v>3</v>
      </c>
      <c r="V8">
        <v>3</v>
      </c>
      <c r="W8" s="3">
        <f t="shared" ca="1" si="8"/>
        <v>6</v>
      </c>
      <c r="X8" s="3">
        <f t="shared" ca="1" si="0"/>
        <v>0</v>
      </c>
      <c r="Y8" s="3">
        <f t="shared" ca="1" si="1"/>
        <v>0</v>
      </c>
      <c r="Z8" s="3">
        <f t="shared" ca="1" si="2"/>
        <v>4</v>
      </c>
      <c r="AA8" s="3">
        <f t="shared" ca="1" si="3"/>
        <v>2</v>
      </c>
      <c r="AB8" s="3">
        <f ca="1">IF(W8="","",COUNTA(T_受験者[])/4-COUNTA($C8:$V8))</f>
        <v>0</v>
      </c>
      <c r="AC8" s="3" cm="1">
        <f t="array" aca="1" ref="AC8" ca="1">IF(W8="","",INDIRECT("'"&amp;試験名&amp;"'!B"&amp;ROW()-2))</f>
        <v>3</v>
      </c>
      <c r="AD8" s="4">
        <f ca="1">IF(W8="","",COUNTIF(AE8:AX8,"〇")/(COUNTA(T_受験者[])/4))</f>
        <v>0.66666666666666663</v>
      </c>
      <c r="AE8" t="str">
        <f t="shared" ca="1" si="9"/>
        <v>×</v>
      </c>
      <c r="AF8" t="str">
        <f t="shared" ca="1" si="9"/>
        <v>×</v>
      </c>
      <c r="AG8" t="str">
        <f t="shared" ca="1" si="4"/>
        <v>×</v>
      </c>
      <c r="AH8" t="str">
        <f t="shared" ca="1" si="4"/>
        <v>×</v>
      </c>
      <c r="AI8" t="str">
        <f t="shared" ca="1" si="5"/>
        <v>×</v>
      </c>
      <c r="AJ8" t="str">
        <f t="shared" ca="1" si="6"/>
        <v>×</v>
      </c>
      <c r="AK8" t="str">
        <f t="shared" ca="1" si="4"/>
        <v>×</v>
      </c>
      <c r="AL8" t="str">
        <f t="shared" ca="1" si="4"/>
        <v>×</v>
      </c>
      <c r="AM8" t="str">
        <f t="shared" ca="1" si="4"/>
        <v>×</v>
      </c>
      <c r="AN8" t="str">
        <f t="shared" ca="1" si="4"/>
        <v>×</v>
      </c>
      <c r="AO8" t="str">
        <f t="shared" ca="1" si="4"/>
        <v>×</v>
      </c>
      <c r="AP8" t="str">
        <f t="shared" ca="1" si="4"/>
        <v>×</v>
      </c>
      <c r="AQ8" t="str">
        <f t="shared" ca="1" si="4"/>
        <v>〇</v>
      </c>
      <c r="AR8" t="str">
        <f t="shared" ca="1" si="4"/>
        <v>〇</v>
      </c>
      <c r="AS8" t="str">
        <f t="shared" ca="1" si="4"/>
        <v>×</v>
      </c>
      <c r="AT8" t="str">
        <f t="shared" ca="1" si="4"/>
        <v>〇</v>
      </c>
      <c r="AU8" t="str">
        <f t="shared" ca="1" si="4"/>
        <v>×</v>
      </c>
      <c r="AV8" t="str">
        <f t="shared" ca="1" si="4"/>
        <v>×</v>
      </c>
      <c r="AW8" t="str">
        <f t="shared" ca="1" si="4"/>
        <v>×</v>
      </c>
      <c r="AX8" t="str">
        <f t="shared" ca="1" si="4"/>
        <v>〇</v>
      </c>
    </row>
    <row r="9" spans="1:50">
      <c r="A9" t="str" cm="1">
        <f t="array" aca="1" ref="A9" ca="1">INDIRECT("'"&amp;試験名&amp;"'!A"&amp;ROW()-2)</f>
        <v>文字語彙</v>
      </c>
      <c r="B9">
        <f t="shared" ca="1" si="7"/>
        <v>7</v>
      </c>
      <c r="E9">
        <v>2</v>
      </c>
      <c r="O9">
        <v>1</v>
      </c>
      <c r="P9">
        <v>1</v>
      </c>
      <c r="Q9">
        <v>1</v>
      </c>
      <c r="R9">
        <v>1</v>
      </c>
      <c r="V9">
        <v>1</v>
      </c>
      <c r="W9" s="3">
        <f t="shared" ca="1" si="8"/>
        <v>7</v>
      </c>
      <c r="X9" s="3">
        <f t="shared" ca="1" si="0"/>
        <v>5</v>
      </c>
      <c r="Y9" s="3">
        <f t="shared" ca="1" si="1"/>
        <v>1</v>
      </c>
      <c r="Z9" s="3">
        <f t="shared" ca="1" si="2"/>
        <v>0</v>
      </c>
      <c r="AA9" s="3">
        <f t="shared" ca="1" si="3"/>
        <v>0</v>
      </c>
      <c r="AB9" s="3">
        <f ca="1">IF(W9="","",COUNTA(T_受験者[])/4-COUNTA($C9:$V9))</f>
        <v>0</v>
      </c>
      <c r="AC9" s="3" cm="1">
        <f t="array" aca="1" ref="AC9" ca="1">IF(W9="","",INDIRECT("'"&amp;試験名&amp;"'!B"&amp;ROW()-2))</f>
        <v>1</v>
      </c>
      <c r="AD9" s="4">
        <f ca="1">IF(W9="","",COUNTIF(AE9:AX9,"〇")/(COUNTA(T_受験者[])/4))</f>
        <v>0.83333333333333337</v>
      </c>
      <c r="AE9" t="str">
        <f t="shared" ca="1" si="9"/>
        <v>×</v>
      </c>
      <c r="AF9" t="str">
        <f t="shared" ca="1" si="9"/>
        <v>×</v>
      </c>
      <c r="AG9" t="str">
        <f t="shared" ca="1" si="4"/>
        <v>×</v>
      </c>
      <c r="AH9" t="str">
        <f t="shared" ca="1" si="4"/>
        <v>×</v>
      </c>
      <c r="AI9" t="str">
        <f t="shared" ca="1" si="5"/>
        <v>×</v>
      </c>
      <c r="AJ9" t="str">
        <f t="shared" ca="1" si="6"/>
        <v>×</v>
      </c>
      <c r="AK9" t="str">
        <f t="shared" ca="1" si="4"/>
        <v>×</v>
      </c>
      <c r="AL9" t="str">
        <f t="shared" ca="1" si="4"/>
        <v>×</v>
      </c>
      <c r="AM9" t="str">
        <f t="shared" ca="1" si="4"/>
        <v>×</v>
      </c>
      <c r="AN9" t="str">
        <f t="shared" ca="1" si="4"/>
        <v>×</v>
      </c>
      <c r="AO9" t="str">
        <f t="shared" ca="1" si="4"/>
        <v>×</v>
      </c>
      <c r="AP9" t="str">
        <f t="shared" ca="1" si="4"/>
        <v>×</v>
      </c>
      <c r="AQ9" t="str">
        <f t="shared" ca="1" si="4"/>
        <v>〇</v>
      </c>
      <c r="AR9" t="str">
        <f t="shared" ca="1" si="4"/>
        <v>〇</v>
      </c>
      <c r="AS9" t="str">
        <f t="shared" ca="1" si="4"/>
        <v>〇</v>
      </c>
      <c r="AT9" t="str">
        <f t="shared" ca="1" si="4"/>
        <v>〇</v>
      </c>
      <c r="AU9" t="str">
        <f t="shared" ca="1" si="4"/>
        <v>×</v>
      </c>
      <c r="AV9" t="str">
        <f t="shared" ca="1" si="4"/>
        <v>×</v>
      </c>
      <c r="AW9" t="str">
        <f t="shared" ca="1" si="4"/>
        <v>×</v>
      </c>
      <c r="AX9" t="str">
        <f t="shared" ca="1" si="4"/>
        <v>〇</v>
      </c>
    </row>
    <row r="10" spans="1:50">
      <c r="A10" t="str" cm="1">
        <f t="array" aca="1" ref="A10" ca="1">INDIRECT("'"&amp;試験名&amp;"'!A"&amp;ROW()-2)</f>
        <v>文字語彙</v>
      </c>
      <c r="B10">
        <f t="shared" ca="1" si="7"/>
        <v>8</v>
      </c>
      <c r="E10">
        <v>2</v>
      </c>
      <c r="O10">
        <v>2</v>
      </c>
      <c r="P10">
        <v>2</v>
      </c>
      <c r="Q10">
        <v>2</v>
      </c>
      <c r="R10">
        <v>2</v>
      </c>
      <c r="V10">
        <v>2</v>
      </c>
      <c r="W10" s="3">
        <f t="shared" ca="1" si="8"/>
        <v>8</v>
      </c>
      <c r="X10" s="3">
        <f t="shared" ca="1" si="0"/>
        <v>0</v>
      </c>
      <c r="Y10" s="3">
        <f t="shared" ca="1" si="1"/>
        <v>6</v>
      </c>
      <c r="Z10" s="3">
        <f t="shared" ca="1" si="2"/>
        <v>0</v>
      </c>
      <c r="AA10" s="3">
        <f t="shared" ca="1" si="3"/>
        <v>0</v>
      </c>
      <c r="AB10" s="3">
        <f ca="1">IF(W10="","",COUNTA(T_受験者[])/4-COUNTA($C10:$V10))</f>
        <v>0</v>
      </c>
      <c r="AC10" s="3" cm="1">
        <f t="array" aca="1" ref="AC10" ca="1">IF(W10="","",INDIRECT("'"&amp;試験名&amp;"'!B"&amp;ROW()-2))</f>
        <v>2</v>
      </c>
      <c r="AD10" s="4">
        <f ca="1">IF(W10="","",COUNTIF(AE10:AX10,"〇")/(COUNTA(T_受験者[])/4))</f>
        <v>1</v>
      </c>
      <c r="AE10" t="str">
        <f t="shared" ca="1" si="9"/>
        <v>×</v>
      </c>
      <c r="AF10" t="str">
        <f t="shared" ca="1" si="9"/>
        <v>×</v>
      </c>
      <c r="AG10" t="str">
        <f t="shared" ca="1" si="4"/>
        <v>〇</v>
      </c>
      <c r="AH10" t="str">
        <f t="shared" ca="1" si="4"/>
        <v>×</v>
      </c>
      <c r="AI10" t="str">
        <f t="shared" ca="1" si="5"/>
        <v>×</v>
      </c>
      <c r="AJ10" t="str">
        <f t="shared" ca="1" si="6"/>
        <v>×</v>
      </c>
      <c r="AK10" t="str">
        <f t="shared" ca="1" si="4"/>
        <v>×</v>
      </c>
      <c r="AL10" t="str">
        <f t="shared" ca="1" si="4"/>
        <v>×</v>
      </c>
      <c r="AM10" t="str">
        <f t="shared" ca="1" si="4"/>
        <v>×</v>
      </c>
      <c r="AN10" t="str">
        <f t="shared" ca="1" si="4"/>
        <v>×</v>
      </c>
      <c r="AO10" t="str">
        <f t="shared" ca="1" si="4"/>
        <v>×</v>
      </c>
      <c r="AP10" t="str">
        <f t="shared" ca="1" si="4"/>
        <v>×</v>
      </c>
      <c r="AQ10" t="str">
        <f t="shared" ca="1" si="4"/>
        <v>〇</v>
      </c>
      <c r="AR10" t="str">
        <f t="shared" ca="1" si="4"/>
        <v>〇</v>
      </c>
      <c r="AS10" t="str">
        <f t="shared" ca="1" si="4"/>
        <v>〇</v>
      </c>
      <c r="AT10" t="str">
        <f t="shared" ca="1" si="4"/>
        <v>〇</v>
      </c>
      <c r="AU10" t="str">
        <f t="shared" ca="1" si="4"/>
        <v>×</v>
      </c>
      <c r="AV10" t="str">
        <f t="shared" ca="1" si="4"/>
        <v>×</v>
      </c>
      <c r="AW10" t="str">
        <f t="shared" ca="1" si="4"/>
        <v>×</v>
      </c>
      <c r="AX10" t="str">
        <f t="shared" ca="1" si="4"/>
        <v>〇</v>
      </c>
    </row>
    <row r="11" spans="1:50">
      <c r="A11" t="str" cm="1">
        <f t="array" aca="1" ref="A11" ca="1">INDIRECT("'"&amp;試験名&amp;"'!A"&amp;ROW()-2)</f>
        <v>文字語彙</v>
      </c>
      <c r="B11">
        <f t="shared" ca="1" si="7"/>
        <v>9</v>
      </c>
      <c r="E11">
        <v>1</v>
      </c>
      <c r="O11">
        <v>4</v>
      </c>
      <c r="P11">
        <v>1</v>
      </c>
      <c r="Q11">
        <v>2</v>
      </c>
      <c r="R11">
        <v>1</v>
      </c>
      <c r="V11">
        <v>2</v>
      </c>
      <c r="W11" s="3">
        <f t="shared" ca="1" si="8"/>
        <v>9</v>
      </c>
      <c r="X11" s="3">
        <f t="shared" ca="1" si="0"/>
        <v>3</v>
      </c>
      <c r="Y11" s="3">
        <f t="shared" ca="1" si="1"/>
        <v>2</v>
      </c>
      <c r="Z11" s="3">
        <f t="shared" ca="1" si="2"/>
        <v>0</v>
      </c>
      <c r="AA11" s="3">
        <f t="shared" ca="1" si="3"/>
        <v>1</v>
      </c>
      <c r="AB11" s="3">
        <f ca="1">IF(W11="","",COUNTA(T_受験者[])/4-COUNTA($C11:$V11))</f>
        <v>0</v>
      </c>
      <c r="AC11" s="3" cm="1">
        <f t="array" aca="1" ref="AC11" ca="1">IF(W11="","",INDIRECT("'"&amp;試験名&amp;"'!B"&amp;ROW()-2))</f>
        <v>1</v>
      </c>
      <c r="AD11" s="4">
        <f ca="1">IF(W11="","",COUNTIF(AE11:AX11,"〇")/(COUNTA(T_受験者[])/4))</f>
        <v>0.5</v>
      </c>
      <c r="AE11" t="str">
        <f t="shared" ca="1" si="9"/>
        <v>×</v>
      </c>
      <c r="AF11" t="str">
        <f t="shared" ca="1" si="9"/>
        <v>×</v>
      </c>
      <c r="AG11" t="str">
        <f t="shared" ca="1" si="4"/>
        <v>〇</v>
      </c>
      <c r="AH11" t="str">
        <f t="shared" ca="1" si="4"/>
        <v>×</v>
      </c>
      <c r="AI11" t="str">
        <f t="shared" ca="1" si="5"/>
        <v>×</v>
      </c>
      <c r="AJ11" t="str">
        <f t="shared" ca="1" si="6"/>
        <v>×</v>
      </c>
      <c r="AK11" t="str">
        <f t="shared" ca="1" si="4"/>
        <v>×</v>
      </c>
      <c r="AL11" t="str">
        <f t="shared" ca="1" si="4"/>
        <v>×</v>
      </c>
      <c r="AM11" t="str">
        <f t="shared" ca="1" si="4"/>
        <v>×</v>
      </c>
      <c r="AN11" t="str">
        <f t="shared" ca="1" si="4"/>
        <v>×</v>
      </c>
      <c r="AO11" t="str">
        <f t="shared" ca="1" si="4"/>
        <v>×</v>
      </c>
      <c r="AP11" t="str">
        <f t="shared" ca="1" si="4"/>
        <v>×</v>
      </c>
      <c r="AQ11" t="str">
        <f t="shared" ca="1" si="4"/>
        <v>×</v>
      </c>
      <c r="AR11" t="str">
        <f t="shared" ca="1" si="4"/>
        <v>〇</v>
      </c>
      <c r="AS11" t="str">
        <f t="shared" ca="1" si="4"/>
        <v>×</v>
      </c>
      <c r="AT11" t="str">
        <f t="shared" ca="1" si="4"/>
        <v>〇</v>
      </c>
      <c r="AU11" t="str">
        <f t="shared" ca="1" si="4"/>
        <v>×</v>
      </c>
      <c r="AV11" t="str">
        <f t="shared" ca="1" si="4"/>
        <v>×</v>
      </c>
      <c r="AW11" t="str">
        <f t="shared" ca="1" si="4"/>
        <v>×</v>
      </c>
      <c r="AX11" t="str">
        <f t="shared" ca="1" si="4"/>
        <v>×</v>
      </c>
    </row>
    <row r="12" spans="1:50">
      <c r="A12" t="str" cm="1">
        <f t="array" aca="1" ref="A12" ca="1">INDIRECT("'"&amp;試験名&amp;"'!A"&amp;ROW()-2)</f>
        <v>文字語彙</v>
      </c>
      <c r="B12">
        <f t="shared" ca="1" si="7"/>
        <v>10</v>
      </c>
      <c r="E12">
        <v>4</v>
      </c>
      <c r="O12">
        <v>4</v>
      </c>
      <c r="P12">
        <v>4</v>
      </c>
      <c r="Q12">
        <v>4</v>
      </c>
      <c r="R12">
        <v>4</v>
      </c>
      <c r="V12">
        <v>4</v>
      </c>
      <c r="W12" s="3">
        <f t="shared" ca="1" si="8"/>
        <v>10</v>
      </c>
      <c r="X12" s="3">
        <f t="shared" ca="1" si="0"/>
        <v>0</v>
      </c>
      <c r="Y12" s="3">
        <f t="shared" ca="1" si="1"/>
        <v>0</v>
      </c>
      <c r="Z12" s="3">
        <f t="shared" ca="1" si="2"/>
        <v>0</v>
      </c>
      <c r="AA12" s="3">
        <f t="shared" ca="1" si="3"/>
        <v>6</v>
      </c>
      <c r="AB12" s="3">
        <f ca="1">IF(W12="","",COUNTA(T_受験者[])/4-COUNTA($C12:$V12))</f>
        <v>0</v>
      </c>
      <c r="AC12" s="3" cm="1">
        <f t="array" aca="1" ref="AC12" ca="1">IF(W12="","",INDIRECT("'"&amp;試験名&amp;"'!B"&amp;ROW()-2))</f>
        <v>4</v>
      </c>
      <c r="AD12" s="4">
        <f ca="1">IF(W12="","",COUNTIF(AE12:AX12,"〇")/(COUNTA(T_受験者[])/4))</f>
        <v>1</v>
      </c>
      <c r="AE12" t="str">
        <f t="shared" ca="1" si="9"/>
        <v>×</v>
      </c>
      <c r="AF12" t="str">
        <f t="shared" ca="1" si="9"/>
        <v>×</v>
      </c>
      <c r="AG12" t="str">
        <f t="shared" ca="1" si="4"/>
        <v>〇</v>
      </c>
      <c r="AH12" t="str">
        <f t="shared" ca="1" si="4"/>
        <v>×</v>
      </c>
      <c r="AI12" t="str">
        <f t="shared" ca="1" si="5"/>
        <v>×</v>
      </c>
      <c r="AJ12" t="str">
        <f t="shared" ca="1" si="6"/>
        <v>×</v>
      </c>
      <c r="AK12" t="str">
        <f t="shared" ca="1" si="4"/>
        <v>×</v>
      </c>
      <c r="AL12" t="str">
        <f t="shared" ca="1" si="4"/>
        <v>×</v>
      </c>
      <c r="AM12" t="str">
        <f t="shared" ca="1" si="4"/>
        <v>×</v>
      </c>
      <c r="AN12" t="str">
        <f t="shared" ca="1" si="4"/>
        <v>×</v>
      </c>
      <c r="AO12" t="str">
        <f t="shared" ca="1" si="4"/>
        <v>×</v>
      </c>
      <c r="AP12" t="str">
        <f t="shared" ca="1" si="4"/>
        <v>×</v>
      </c>
      <c r="AQ12" t="str">
        <f t="shared" ca="1" si="4"/>
        <v>〇</v>
      </c>
      <c r="AR12" t="str">
        <f t="shared" ca="1" si="4"/>
        <v>〇</v>
      </c>
      <c r="AS12" t="str">
        <f t="shared" ca="1" si="4"/>
        <v>〇</v>
      </c>
      <c r="AT12" t="str">
        <f t="shared" ca="1" si="4"/>
        <v>〇</v>
      </c>
      <c r="AU12" t="str">
        <f t="shared" ca="1" si="4"/>
        <v>×</v>
      </c>
      <c r="AV12" t="str">
        <f t="shared" ca="1" si="4"/>
        <v>×</v>
      </c>
      <c r="AW12" t="str">
        <f t="shared" ca="1" si="4"/>
        <v>×</v>
      </c>
      <c r="AX12" t="str">
        <f t="shared" ca="1" si="4"/>
        <v>〇</v>
      </c>
    </row>
    <row r="13" spans="1:50">
      <c r="A13" t="str" cm="1">
        <f t="array" aca="1" ref="A13" ca="1">INDIRECT("'"&amp;試験名&amp;"'!A"&amp;ROW()-2)</f>
        <v>文字語彙</v>
      </c>
      <c r="B13">
        <f t="shared" ca="1" si="7"/>
        <v>11</v>
      </c>
      <c r="E13">
        <v>1</v>
      </c>
      <c r="O13">
        <v>4</v>
      </c>
      <c r="P13">
        <v>2</v>
      </c>
      <c r="Q13">
        <v>2</v>
      </c>
      <c r="R13">
        <v>3</v>
      </c>
      <c r="V13">
        <v>1</v>
      </c>
      <c r="W13" s="3">
        <f t="shared" ca="1" si="8"/>
        <v>11</v>
      </c>
      <c r="X13" s="3">
        <f t="shared" ca="1" si="0"/>
        <v>2</v>
      </c>
      <c r="Y13" s="3">
        <f t="shared" ca="1" si="1"/>
        <v>2</v>
      </c>
      <c r="Z13" s="3">
        <f t="shared" ca="1" si="2"/>
        <v>1</v>
      </c>
      <c r="AA13" s="3">
        <f t="shared" ca="1" si="3"/>
        <v>1</v>
      </c>
      <c r="AB13" s="3">
        <f ca="1">IF(W13="","",COUNTA(T_受験者[])/4-COUNTA($C13:$V13))</f>
        <v>0</v>
      </c>
      <c r="AC13" s="3" cm="1">
        <f t="array" aca="1" ref="AC13" ca="1">IF(W13="","",INDIRECT("'"&amp;試験名&amp;"'!B"&amp;ROW()-2))</f>
        <v>1</v>
      </c>
      <c r="AD13" s="4">
        <f ca="1">IF(W13="","",COUNTIF(AE13:AX13,"〇")/(COUNTA(T_受験者[])/4))</f>
        <v>0.33333333333333331</v>
      </c>
      <c r="AE13" t="str">
        <f t="shared" ca="1" si="9"/>
        <v>×</v>
      </c>
      <c r="AF13" t="str">
        <f t="shared" ca="1" si="9"/>
        <v>×</v>
      </c>
      <c r="AG13" t="str">
        <f t="shared" ca="1" si="4"/>
        <v>〇</v>
      </c>
      <c r="AH13" t="str">
        <f t="shared" ca="1" si="4"/>
        <v>×</v>
      </c>
      <c r="AI13" t="str">
        <f t="shared" ca="1" si="5"/>
        <v>×</v>
      </c>
      <c r="AJ13" t="str">
        <f t="shared" ca="1" si="6"/>
        <v>×</v>
      </c>
      <c r="AK13" t="str">
        <f t="shared" ca="1" si="4"/>
        <v>×</v>
      </c>
      <c r="AL13" t="str">
        <f t="shared" ca="1" si="4"/>
        <v>×</v>
      </c>
      <c r="AM13" t="str">
        <f t="shared" ca="1" si="4"/>
        <v>×</v>
      </c>
      <c r="AN13" t="str">
        <f t="shared" ca="1" si="4"/>
        <v>×</v>
      </c>
      <c r="AO13" t="str">
        <f t="shared" ca="1" si="4"/>
        <v>×</v>
      </c>
      <c r="AP13" t="str">
        <f t="shared" ca="1" si="4"/>
        <v>×</v>
      </c>
      <c r="AQ13" t="str">
        <f t="shared" ca="1" si="4"/>
        <v>×</v>
      </c>
      <c r="AR13" t="str">
        <f t="shared" ca="1" si="4"/>
        <v>×</v>
      </c>
      <c r="AS13" t="str">
        <f t="shared" ca="1" si="4"/>
        <v>×</v>
      </c>
      <c r="AT13" t="str">
        <f t="shared" ca="1" si="4"/>
        <v>×</v>
      </c>
      <c r="AU13" t="str">
        <f t="shared" ca="1" si="4"/>
        <v>×</v>
      </c>
      <c r="AV13" t="str">
        <f t="shared" ca="1" si="4"/>
        <v>×</v>
      </c>
      <c r="AW13" t="str">
        <f t="shared" ca="1" si="4"/>
        <v>×</v>
      </c>
      <c r="AX13" t="str">
        <f t="shared" ca="1" si="4"/>
        <v>〇</v>
      </c>
    </row>
    <row r="14" spans="1:50">
      <c r="A14" t="str" cm="1">
        <f t="array" aca="1" ref="A14" ca="1">INDIRECT("'"&amp;試験名&amp;"'!A"&amp;ROW()-2)</f>
        <v>文字語彙</v>
      </c>
      <c r="B14">
        <f t="shared" ca="1" si="7"/>
        <v>12</v>
      </c>
      <c r="E14">
        <v>3</v>
      </c>
      <c r="O14">
        <v>2</v>
      </c>
      <c r="P14">
        <v>1</v>
      </c>
      <c r="Q14">
        <v>2</v>
      </c>
      <c r="R14">
        <v>2</v>
      </c>
      <c r="V14">
        <v>1</v>
      </c>
      <c r="W14" s="3">
        <f t="shared" ca="1" si="8"/>
        <v>12</v>
      </c>
      <c r="X14" s="3">
        <f t="shared" ca="1" si="0"/>
        <v>2</v>
      </c>
      <c r="Y14" s="3">
        <f t="shared" ca="1" si="1"/>
        <v>3</v>
      </c>
      <c r="Z14" s="3">
        <f t="shared" ca="1" si="2"/>
        <v>1</v>
      </c>
      <c r="AA14" s="3">
        <f t="shared" ca="1" si="3"/>
        <v>0</v>
      </c>
      <c r="AB14" s="3">
        <f ca="1">IF(W14="","",COUNTA(T_受験者[])/4-COUNTA($C14:$V14))</f>
        <v>0</v>
      </c>
      <c r="AC14" s="3" cm="1">
        <f t="array" aca="1" ref="AC14" ca="1">IF(W14="","",INDIRECT("'"&amp;試験名&amp;"'!B"&amp;ROW()-2))</f>
        <v>1</v>
      </c>
      <c r="AD14" s="4">
        <f ca="1">IF(W14="","",COUNTIF(AE14:AX14,"〇")/(COUNTA(T_受験者[])/4))</f>
        <v>0.33333333333333331</v>
      </c>
      <c r="AE14" t="str">
        <f t="shared" ca="1" si="9"/>
        <v>×</v>
      </c>
      <c r="AF14" t="str">
        <f t="shared" ca="1" si="9"/>
        <v>×</v>
      </c>
      <c r="AG14" t="str">
        <f t="shared" ca="1" si="4"/>
        <v>×</v>
      </c>
      <c r="AH14" t="str">
        <f t="shared" ca="1" si="4"/>
        <v>×</v>
      </c>
      <c r="AI14" t="str">
        <f t="shared" ca="1" si="5"/>
        <v>×</v>
      </c>
      <c r="AJ14" t="str">
        <f t="shared" ca="1" si="6"/>
        <v>×</v>
      </c>
      <c r="AK14" t="str">
        <f t="shared" ca="1" si="4"/>
        <v>×</v>
      </c>
      <c r="AL14" t="str">
        <f t="shared" ca="1" si="4"/>
        <v>×</v>
      </c>
      <c r="AM14" t="str">
        <f t="shared" ca="1" si="4"/>
        <v>×</v>
      </c>
      <c r="AN14" t="str">
        <f t="shared" ca="1" si="4"/>
        <v>×</v>
      </c>
      <c r="AO14" t="str">
        <f t="shared" ca="1" si="4"/>
        <v>×</v>
      </c>
      <c r="AP14" t="str">
        <f t="shared" ca="1" si="4"/>
        <v>×</v>
      </c>
      <c r="AQ14" t="str">
        <f t="shared" ca="1" si="4"/>
        <v>×</v>
      </c>
      <c r="AR14" t="str">
        <f t="shared" ca="1" si="4"/>
        <v>〇</v>
      </c>
      <c r="AS14" t="str">
        <f t="shared" ca="1" si="4"/>
        <v>×</v>
      </c>
      <c r="AT14" t="str">
        <f t="shared" ca="1" si="4"/>
        <v>×</v>
      </c>
      <c r="AU14" t="str">
        <f t="shared" ca="1" si="4"/>
        <v>×</v>
      </c>
      <c r="AV14" t="str">
        <f t="shared" ca="1" si="4"/>
        <v>×</v>
      </c>
      <c r="AW14" t="str">
        <f t="shared" ca="1" si="4"/>
        <v>×</v>
      </c>
      <c r="AX14" t="str">
        <f t="shared" ca="1" si="4"/>
        <v>〇</v>
      </c>
    </row>
    <row r="15" spans="1:50">
      <c r="A15" t="str" cm="1">
        <f t="array" aca="1" ref="A15" ca="1">INDIRECT("'"&amp;試験名&amp;"'!A"&amp;ROW()-2)</f>
        <v>文字語彙</v>
      </c>
      <c r="B15">
        <f t="shared" ca="1" si="7"/>
        <v>13</v>
      </c>
      <c r="E15">
        <v>4</v>
      </c>
      <c r="O15">
        <v>4</v>
      </c>
      <c r="P15">
        <v>4</v>
      </c>
      <c r="Q15">
        <v>4</v>
      </c>
      <c r="R15">
        <v>4</v>
      </c>
      <c r="V15">
        <v>4</v>
      </c>
      <c r="W15" s="3">
        <f t="shared" ca="1" si="8"/>
        <v>13</v>
      </c>
      <c r="X15" s="3">
        <f t="shared" ca="1" si="0"/>
        <v>0</v>
      </c>
      <c r="Y15" s="3">
        <f t="shared" ca="1" si="1"/>
        <v>0</v>
      </c>
      <c r="Z15" s="3">
        <f t="shared" ca="1" si="2"/>
        <v>0</v>
      </c>
      <c r="AA15" s="3">
        <f t="shared" ca="1" si="3"/>
        <v>6</v>
      </c>
      <c r="AB15" s="3">
        <f ca="1">IF(W15="","",COUNTA(T_受験者[])/4-COUNTA($C15:$V15))</f>
        <v>0</v>
      </c>
      <c r="AC15" s="3" cm="1">
        <f t="array" aca="1" ref="AC15" ca="1">IF(W15="","",INDIRECT("'"&amp;試験名&amp;"'!B"&amp;ROW()-2))</f>
        <v>4</v>
      </c>
      <c r="AD15" s="4">
        <f ca="1">IF(W15="","",COUNTIF(AE15:AX15,"〇")/(COUNTA(T_受験者[])/4))</f>
        <v>1</v>
      </c>
      <c r="AE15" t="str">
        <f t="shared" ca="1" si="9"/>
        <v>×</v>
      </c>
      <c r="AF15" t="str">
        <f t="shared" ca="1" si="9"/>
        <v>×</v>
      </c>
      <c r="AG15" t="str">
        <f t="shared" ca="1" si="4"/>
        <v>〇</v>
      </c>
      <c r="AH15" t="str">
        <f t="shared" ca="1" si="4"/>
        <v>×</v>
      </c>
      <c r="AI15" t="str">
        <f t="shared" ca="1" si="5"/>
        <v>×</v>
      </c>
      <c r="AJ15" t="str">
        <f t="shared" ca="1" si="6"/>
        <v>×</v>
      </c>
      <c r="AK15" t="str">
        <f t="shared" ca="1" si="4"/>
        <v>×</v>
      </c>
      <c r="AL15" t="str">
        <f t="shared" ca="1" si="4"/>
        <v>×</v>
      </c>
      <c r="AM15" t="str">
        <f t="shared" ca="1" si="4"/>
        <v>×</v>
      </c>
      <c r="AN15" t="str">
        <f t="shared" ca="1" si="4"/>
        <v>×</v>
      </c>
      <c r="AO15" t="str">
        <f t="shared" ca="1" si="4"/>
        <v>×</v>
      </c>
      <c r="AP15" t="str">
        <f t="shared" ca="1" si="4"/>
        <v>×</v>
      </c>
      <c r="AQ15" t="str">
        <f t="shared" ca="1" si="4"/>
        <v>〇</v>
      </c>
      <c r="AR15" t="str">
        <f t="shared" ca="1" si="4"/>
        <v>〇</v>
      </c>
      <c r="AS15" t="str">
        <f t="shared" ca="1" si="4"/>
        <v>〇</v>
      </c>
      <c r="AT15" t="str">
        <f t="shared" ca="1" si="4"/>
        <v>〇</v>
      </c>
      <c r="AU15" t="str">
        <f t="shared" ca="1" si="4"/>
        <v>×</v>
      </c>
      <c r="AV15" t="str">
        <f t="shared" ca="1" si="4"/>
        <v>×</v>
      </c>
      <c r="AW15" t="str">
        <f t="shared" ca="1" si="4"/>
        <v>×</v>
      </c>
      <c r="AX15" t="str">
        <f t="shared" ca="1" si="4"/>
        <v>〇</v>
      </c>
    </row>
    <row r="16" spans="1:50">
      <c r="A16" t="str" cm="1">
        <f t="array" aca="1" ref="A16" ca="1">INDIRECT("'"&amp;試験名&amp;"'!A"&amp;ROW()-2)</f>
        <v>文字語彙</v>
      </c>
      <c r="B16">
        <f t="shared" ca="1" si="7"/>
        <v>14</v>
      </c>
      <c r="E16">
        <v>1</v>
      </c>
      <c r="O16">
        <v>3</v>
      </c>
      <c r="P16">
        <v>2</v>
      </c>
      <c r="Q16">
        <v>4</v>
      </c>
      <c r="R16">
        <v>3</v>
      </c>
      <c r="V16">
        <v>2</v>
      </c>
      <c r="W16" s="3">
        <f t="shared" ca="1" si="8"/>
        <v>14</v>
      </c>
      <c r="X16" s="3">
        <f t="shared" ca="1" si="0"/>
        <v>1</v>
      </c>
      <c r="Y16" s="3">
        <f t="shared" ca="1" si="1"/>
        <v>2</v>
      </c>
      <c r="Z16" s="3">
        <f t="shared" ca="1" si="2"/>
        <v>2</v>
      </c>
      <c r="AA16" s="3">
        <f t="shared" ca="1" si="3"/>
        <v>1</v>
      </c>
      <c r="AB16" s="3">
        <f ca="1">IF(W16="","",COUNTA(T_受験者[])/4-COUNTA($C16:$V16))</f>
        <v>0</v>
      </c>
      <c r="AC16" s="3" cm="1">
        <f t="array" aca="1" ref="AC16" ca="1">IF(W16="","",INDIRECT("'"&amp;試験名&amp;"'!B"&amp;ROW()-2))</f>
        <v>2</v>
      </c>
      <c r="AD16" s="4">
        <f ca="1">IF(W16="","",COUNTIF(AE16:AX16,"〇")/(COUNTA(T_受験者[])/4))</f>
        <v>0.33333333333333331</v>
      </c>
      <c r="AE16" t="str">
        <f t="shared" ca="1" si="9"/>
        <v>×</v>
      </c>
      <c r="AF16" t="str">
        <f t="shared" ca="1" si="9"/>
        <v>×</v>
      </c>
      <c r="AG16" t="str">
        <f t="shared" ca="1" si="4"/>
        <v>×</v>
      </c>
      <c r="AH16" t="str">
        <f t="shared" ca="1" si="4"/>
        <v>×</v>
      </c>
      <c r="AI16" t="str">
        <f t="shared" ca="1" si="5"/>
        <v>×</v>
      </c>
      <c r="AJ16" t="str">
        <f t="shared" ca="1" si="6"/>
        <v>×</v>
      </c>
      <c r="AK16" t="str">
        <f t="shared" ca="1" si="4"/>
        <v>×</v>
      </c>
      <c r="AL16" t="str">
        <f t="shared" ca="1" si="4"/>
        <v>×</v>
      </c>
      <c r="AM16" t="str">
        <f t="shared" ca="1" si="4"/>
        <v>×</v>
      </c>
      <c r="AN16" t="str">
        <f t="shared" ca="1" si="4"/>
        <v>×</v>
      </c>
      <c r="AO16" t="str">
        <f t="shared" ca="1" si="4"/>
        <v>×</v>
      </c>
      <c r="AP16" t="str">
        <f t="shared" ca="1" si="4"/>
        <v>×</v>
      </c>
      <c r="AQ16" t="str">
        <f t="shared" ca="1" si="4"/>
        <v>×</v>
      </c>
      <c r="AR16" t="str">
        <f t="shared" ca="1" si="4"/>
        <v>〇</v>
      </c>
      <c r="AS16" t="str">
        <f t="shared" ca="1" si="4"/>
        <v>×</v>
      </c>
      <c r="AT16" t="str">
        <f t="shared" ca="1" si="4"/>
        <v>×</v>
      </c>
      <c r="AU16" t="str">
        <f t="shared" ca="1" si="4"/>
        <v>×</v>
      </c>
      <c r="AV16" t="str">
        <f t="shared" ca="1" si="4"/>
        <v>×</v>
      </c>
      <c r="AW16" t="str">
        <f t="shared" ca="1" si="4"/>
        <v>×</v>
      </c>
      <c r="AX16" t="str">
        <f t="shared" ca="1" si="4"/>
        <v>〇</v>
      </c>
    </row>
    <row r="17" spans="1:50">
      <c r="A17" t="str" cm="1">
        <f t="array" aca="1" ref="A17" ca="1">INDIRECT("'"&amp;試験名&amp;"'!A"&amp;ROW()-2)</f>
        <v>文字語彙</v>
      </c>
      <c r="B17">
        <f t="shared" ca="1" si="7"/>
        <v>15</v>
      </c>
      <c r="E17">
        <v>2</v>
      </c>
      <c r="O17">
        <v>2</v>
      </c>
      <c r="P17">
        <v>1</v>
      </c>
      <c r="Q17">
        <v>2</v>
      </c>
      <c r="R17">
        <v>2</v>
      </c>
      <c r="V17">
        <v>4</v>
      </c>
      <c r="W17" s="3">
        <f t="shared" ca="1" si="8"/>
        <v>15</v>
      </c>
      <c r="X17" s="3">
        <f t="shared" ca="1" si="0"/>
        <v>1</v>
      </c>
      <c r="Y17" s="3">
        <f t="shared" ca="1" si="1"/>
        <v>4</v>
      </c>
      <c r="Z17" s="3">
        <f t="shared" ca="1" si="2"/>
        <v>0</v>
      </c>
      <c r="AA17" s="3">
        <f t="shared" ca="1" si="3"/>
        <v>1</v>
      </c>
      <c r="AB17" s="3">
        <f ca="1">IF(W17="","",COUNTA(T_受験者[])/4-COUNTA($C17:$V17))</f>
        <v>0</v>
      </c>
      <c r="AC17" s="3" cm="1">
        <f t="array" aca="1" ref="AC17" ca="1">IF(W17="","",INDIRECT("'"&amp;試験名&amp;"'!B"&amp;ROW()-2))</f>
        <v>1</v>
      </c>
      <c r="AD17" s="4">
        <f ca="1">IF(W17="","",COUNTIF(AE17:AX17,"〇")/(COUNTA(T_受験者[])/4))</f>
        <v>0.16666666666666666</v>
      </c>
      <c r="AE17" t="str">
        <f t="shared" ca="1" si="9"/>
        <v>×</v>
      </c>
      <c r="AF17" t="str">
        <f t="shared" ca="1" si="9"/>
        <v>×</v>
      </c>
      <c r="AG17" t="str">
        <f t="shared" ca="1" si="4"/>
        <v>×</v>
      </c>
      <c r="AH17" t="str">
        <f t="shared" ca="1" si="4"/>
        <v>×</v>
      </c>
      <c r="AI17" t="str">
        <f t="shared" ca="1" si="5"/>
        <v>×</v>
      </c>
      <c r="AJ17" t="str">
        <f t="shared" ca="1" si="6"/>
        <v>×</v>
      </c>
      <c r="AK17" t="str">
        <f t="shared" ref="AK17:AK80" ca="1" si="10">IF($W17="","",IF(I17=$AC17,"〇","×"))</f>
        <v>×</v>
      </c>
      <c r="AL17" t="str">
        <f t="shared" ref="AL17:AL80" ca="1" si="11">IF($W17="","",IF(J17=$AC17,"〇","×"))</f>
        <v>×</v>
      </c>
      <c r="AM17" t="str">
        <f t="shared" ref="AM17:AM80" ca="1" si="12">IF($W17="","",IF(K17=$AC17,"〇","×"))</f>
        <v>×</v>
      </c>
      <c r="AN17" t="str">
        <f t="shared" ref="AN17:AN80" ca="1" si="13">IF($W17="","",IF(L17=$AC17,"〇","×"))</f>
        <v>×</v>
      </c>
      <c r="AO17" t="str">
        <f t="shared" ref="AO17:AO80" ca="1" si="14">IF($W17="","",IF(M17=$AC17,"〇","×"))</f>
        <v>×</v>
      </c>
      <c r="AP17" t="str">
        <f t="shared" ref="AP17:AP80" ca="1" si="15">IF($W17="","",IF(N17=$AC17,"〇","×"))</f>
        <v>×</v>
      </c>
      <c r="AQ17" t="str">
        <f t="shared" ref="AQ17:AQ80" ca="1" si="16">IF($W17="","",IF(O17=$AC17,"〇","×"))</f>
        <v>×</v>
      </c>
      <c r="AR17" t="str">
        <f t="shared" ref="AR17:AR80" ca="1" si="17">IF($W17="","",IF(P17=$AC17,"〇","×"))</f>
        <v>〇</v>
      </c>
      <c r="AS17" t="str">
        <f t="shared" ref="AS17:AS80" ca="1" si="18">IF($W17="","",IF(Q17=$AC17,"〇","×"))</f>
        <v>×</v>
      </c>
      <c r="AT17" t="str">
        <f t="shared" ref="AT17:AT80" ca="1" si="19">IF($W17="","",IF(R17=$AC17,"〇","×"))</f>
        <v>×</v>
      </c>
      <c r="AU17" t="str">
        <f t="shared" ref="AU17:AU80" ca="1" si="20">IF($W17="","",IF(S17=$AC17,"〇","×"))</f>
        <v>×</v>
      </c>
      <c r="AV17" t="str">
        <f t="shared" ref="AV17:AV80" ca="1" si="21">IF($W17="","",IF(T17=$AC17,"〇","×"))</f>
        <v>×</v>
      </c>
      <c r="AW17" t="str">
        <f t="shared" ref="AW17:AW80" ca="1" si="22">IF($W17="","",IF(U17=$AC17,"〇","×"))</f>
        <v>×</v>
      </c>
      <c r="AX17" t="str">
        <f t="shared" ref="AX17:AX80" ca="1" si="23">IF($W17="","",IF(V17=$AC17,"〇","×"))</f>
        <v>×</v>
      </c>
    </row>
    <row r="18" spans="1:50">
      <c r="A18" t="str" cm="1">
        <f t="array" aca="1" ref="A18" ca="1">INDIRECT("'"&amp;試験名&amp;"'!A"&amp;ROW()-2)</f>
        <v>文字語彙</v>
      </c>
      <c r="B18">
        <f t="shared" ca="1" si="7"/>
        <v>16</v>
      </c>
      <c r="E18">
        <v>1</v>
      </c>
      <c r="O18">
        <v>3</v>
      </c>
      <c r="P18">
        <v>3</v>
      </c>
      <c r="Q18">
        <v>1</v>
      </c>
      <c r="R18">
        <v>1</v>
      </c>
      <c r="V18">
        <v>1</v>
      </c>
      <c r="W18" s="3">
        <f t="shared" ca="1" si="8"/>
        <v>16</v>
      </c>
      <c r="X18" s="3">
        <f t="shared" ca="1" si="0"/>
        <v>4</v>
      </c>
      <c r="Y18" s="3">
        <f t="shared" ca="1" si="1"/>
        <v>0</v>
      </c>
      <c r="Z18" s="3">
        <f t="shared" ca="1" si="2"/>
        <v>2</v>
      </c>
      <c r="AA18" s="3">
        <f t="shared" ca="1" si="3"/>
        <v>0</v>
      </c>
      <c r="AB18" s="3">
        <f ca="1">IF(W18="","",COUNTA(T_受験者[])/4-COUNTA($C18:$V18))</f>
        <v>0</v>
      </c>
      <c r="AC18" s="3" cm="1">
        <f t="array" aca="1" ref="AC18" ca="1">IF(W18="","",INDIRECT("'"&amp;試験名&amp;"'!B"&amp;ROW()-2))</f>
        <v>1</v>
      </c>
      <c r="AD18" s="4">
        <f ca="1">IF(W18="","",COUNTIF(AE18:AX18,"〇")/(COUNTA(T_受験者[])/4))</f>
        <v>0.66666666666666663</v>
      </c>
      <c r="AE18" t="str">
        <f t="shared" ca="1" si="9"/>
        <v>×</v>
      </c>
      <c r="AF18" t="str">
        <f t="shared" ca="1" si="9"/>
        <v>×</v>
      </c>
      <c r="AG18" t="str">
        <f t="shared" ref="AG18:AG81" ca="1" si="24">IF($W18="","",IF(E18=$AC18,"〇","×"))</f>
        <v>〇</v>
      </c>
      <c r="AH18" t="str">
        <f t="shared" ref="AH18:AH81" ca="1" si="25">IF($W18="","",IF(F18=$AC18,"〇","×"))</f>
        <v>×</v>
      </c>
      <c r="AI18" t="str">
        <f t="shared" ca="1" si="5"/>
        <v>×</v>
      </c>
      <c r="AJ18" t="str">
        <f t="shared" ca="1" si="6"/>
        <v>×</v>
      </c>
      <c r="AK18" t="str">
        <f t="shared" ca="1" si="10"/>
        <v>×</v>
      </c>
      <c r="AL18" t="str">
        <f t="shared" ca="1" si="11"/>
        <v>×</v>
      </c>
      <c r="AM18" t="str">
        <f t="shared" ca="1" si="12"/>
        <v>×</v>
      </c>
      <c r="AN18" t="str">
        <f t="shared" ca="1" si="13"/>
        <v>×</v>
      </c>
      <c r="AO18" t="str">
        <f t="shared" ca="1" si="14"/>
        <v>×</v>
      </c>
      <c r="AP18" t="str">
        <f t="shared" ca="1" si="15"/>
        <v>×</v>
      </c>
      <c r="AQ18" t="str">
        <f t="shared" ca="1" si="16"/>
        <v>×</v>
      </c>
      <c r="AR18" t="str">
        <f t="shared" ca="1" si="17"/>
        <v>×</v>
      </c>
      <c r="AS18" t="str">
        <f t="shared" ca="1" si="18"/>
        <v>〇</v>
      </c>
      <c r="AT18" t="str">
        <f t="shared" ca="1" si="19"/>
        <v>〇</v>
      </c>
      <c r="AU18" t="str">
        <f t="shared" ca="1" si="20"/>
        <v>×</v>
      </c>
      <c r="AV18" t="str">
        <f t="shared" ca="1" si="21"/>
        <v>×</v>
      </c>
      <c r="AW18" t="str">
        <f t="shared" ca="1" si="22"/>
        <v>×</v>
      </c>
      <c r="AX18" t="str">
        <f t="shared" ca="1" si="23"/>
        <v>〇</v>
      </c>
    </row>
    <row r="19" spans="1:50">
      <c r="A19" t="str" cm="1">
        <f t="array" aca="1" ref="A19" ca="1">INDIRECT("'"&amp;試験名&amp;"'!A"&amp;ROW()-2)</f>
        <v>文字語彙</v>
      </c>
      <c r="B19">
        <f t="shared" ca="1" si="7"/>
        <v>17</v>
      </c>
      <c r="E19">
        <v>3</v>
      </c>
      <c r="O19">
        <v>3</v>
      </c>
      <c r="P19">
        <v>3</v>
      </c>
      <c r="Q19">
        <v>2</v>
      </c>
      <c r="R19">
        <v>3</v>
      </c>
      <c r="V19">
        <v>3</v>
      </c>
      <c r="W19" s="3">
        <f t="shared" ca="1" si="8"/>
        <v>17</v>
      </c>
      <c r="X19" s="3">
        <f t="shared" ca="1" si="0"/>
        <v>0</v>
      </c>
      <c r="Y19" s="3">
        <f t="shared" ca="1" si="1"/>
        <v>1</v>
      </c>
      <c r="Z19" s="3">
        <f t="shared" ca="1" si="2"/>
        <v>5</v>
      </c>
      <c r="AA19" s="3">
        <f t="shared" ca="1" si="3"/>
        <v>0</v>
      </c>
      <c r="AB19" s="3">
        <f ca="1">IF(W19="","",COUNTA(T_受験者[])/4-COUNTA($C19:$V19))</f>
        <v>0</v>
      </c>
      <c r="AC19" s="3" cm="1">
        <f t="array" aca="1" ref="AC19" ca="1">IF(W19="","",INDIRECT("'"&amp;試験名&amp;"'!B"&amp;ROW()-2))</f>
        <v>3</v>
      </c>
      <c r="AD19" s="4">
        <f ca="1">IF(W19="","",COUNTIF(AE19:AX19,"〇")/(COUNTA(T_受験者[])/4))</f>
        <v>0.83333333333333337</v>
      </c>
      <c r="AE19" t="str">
        <f t="shared" ca="1" si="9"/>
        <v>×</v>
      </c>
      <c r="AF19" t="str">
        <f t="shared" ca="1" si="9"/>
        <v>×</v>
      </c>
      <c r="AG19" t="str">
        <f t="shared" ca="1" si="24"/>
        <v>〇</v>
      </c>
      <c r="AH19" t="str">
        <f t="shared" ca="1" si="25"/>
        <v>×</v>
      </c>
      <c r="AI19" t="str">
        <f t="shared" ca="1" si="5"/>
        <v>×</v>
      </c>
      <c r="AJ19" t="str">
        <f t="shared" ca="1" si="6"/>
        <v>×</v>
      </c>
      <c r="AK19" t="str">
        <f t="shared" ca="1" si="10"/>
        <v>×</v>
      </c>
      <c r="AL19" t="str">
        <f t="shared" ca="1" si="11"/>
        <v>×</v>
      </c>
      <c r="AM19" t="str">
        <f t="shared" ca="1" si="12"/>
        <v>×</v>
      </c>
      <c r="AN19" t="str">
        <f t="shared" ca="1" si="13"/>
        <v>×</v>
      </c>
      <c r="AO19" t="str">
        <f t="shared" ca="1" si="14"/>
        <v>×</v>
      </c>
      <c r="AP19" t="str">
        <f t="shared" ca="1" si="15"/>
        <v>×</v>
      </c>
      <c r="AQ19" t="str">
        <f t="shared" ca="1" si="16"/>
        <v>〇</v>
      </c>
      <c r="AR19" t="str">
        <f t="shared" ca="1" si="17"/>
        <v>〇</v>
      </c>
      <c r="AS19" t="str">
        <f t="shared" ca="1" si="18"/>
        <v>×</v>
      </c>
      <c r="AT19" t="str">
        <f t="shared" ca="1" si="19"/>
        <v>〇</v>
      </c>
      <c r="AU19" t="str">
        <f t="shared" ca="1" si="20"/>
        <v>×</v>
      </c>
      <c r="AV19" t="str">
        <f t="shared" ca="1" si="21"/>
        <v>×</v>
      </c>
      <c r="AW19" t="str">
        <f t="shared" ca="1" si="22"/>
        <v>×</v>
      </c>
      <c r="AX19" t="str">
        <f t="shared" ca="1" si="23"/>
        <v>〇</v>
      </c>
    </row>
    <row r="20" spans="1:50">
      <c r="A20" t="str" cm="1">
        <f t="array" aca="1" ref="A20" ca="1">INDIRECT("'"&amp;試験名&amp;"'!A"&amp;ROW()-2)</f>
        <v>文字語彙</v>
      </c>
      <c r="B20">
        <f t="shared" ca="1" si="7"/>
        <v>18</v>
      </c>
      <c r="E20">
        <v>2</v>
      </c>
      <c r="O20">
        <v>2</v>
      </c>
      <c r="P20">
        <v>2</v>
      </c>
      <c r="Q20">
        <v>2</v>
      </c>
      <c r="R20">
        <v>2</v>
      </c>
      <c r="V20">
        <v>2</v>
      </c>
      <c r="W20" s="3">
        <f t="shared" ca="1" si="8"/>
        <v>18</v>
      </c>
      <c r="X20" s="3">
        <f t="shared" ca="1" si="0"/>
        <v>0</v>
      </c>
      <c r="Y20" s="3">
        <f t="shared" ca="1" si="1"/>
        <v>6</v>
      </c>
      <c r="Z20" s="3">
        <f t="shared" ca="1" si="2"/>
        <v>0</v>
      </c>
      <c r="AA20" s="3">
        <f t="shared" ca="1" si="3"/>
        <v>0</v>
      </c>
      <c r="AB20" s="3">
        <f ca="1">IF(W20="","",COUNTA(T_受験者[])/4-COUNTA($C20:$V20))</f>
        <v>0</v>
      </c>
      <c r="AC20" s="3" cm="1">
        <f t="array" aca="1" ref="AC20" ca="1">IF(W20="","",INDIRECT("'"&amp;試験名&amp;"'!B"&amp;ROW()-2))</f>
        <v>2</v>
      </c>
      <c r="AD20" s="4">
        <f ca="1">IF(W20="","",COUNTIF(AE20:AX20,"〇")/(COUNTA(T_受験者[])/4))</f>
        <v>1</v>
      </c>
      <c r="AE20" t="str">
        <f t="shared" ca="1" si="9"/>
        <v>×</v>
      </c>
      <c r="AF20" t="str">
        <f t="shared" ca="1" si="9"/>
        <v>×</v>
      </c>
      <c r="AG20" t="str">
        <f t="shared" ca="1" si="24"/>
        <v>〇</v>
      </c>
      <c r="AH20" t="str">
        <f t="shared" ca="1" si="25"/>
        <v>×</v>
      </c>
      <c r="AI20" t="str">
        <f t="shared" ca="1" si="5"/>
        <v>×</v>
      </c>
      <c r="AJ20" t="str">
        <f t="shared" ca="1" si="6"/>
        <v>×</v>
      </c>
      <c r="AK20" t="str">
        <f t="shared" ca="1" si="10"/>
        <v>×</v>
      </c>
      <c r="AL20" t="str">
        <f t="shared" ca="1" si="11"/>
        <v>×</v>
      </c>
      <c r="AM20" t="str">
        <f t="shared" ca="1" si="12"/>
        <v>×</v>
      </c>
      <c r="AN20" t="str">
        <f t="shared" ca="1" si="13"/>
        <v>×</v>
      </c>
      <c r="AO20" t="str">
        <f t="shared" ca="1" si="14"/>
        <v>×</v>
      </c>
      <c r="AP20" t="str">
        <f t="shared" ca="1" si="15"/>
        <v>×</v>
      </c>
      <c r="AQ20" t="str">
        <f t="shared" ca="1" si="16"/>
        <v>〇</v>
      </c>
      <c r="AR20" t="str">
        <f t="shared" ca="1" si="17"/>
        <v>〇</v>
      </c>
      <c r="AS20" t="str">
        <f t="shared" ca="1" si="18"/>
        <v>〇</v>
      </c>
      <c r="AT20" t="str">
        <f t="shared" ca="1" si="19"/>
        <v>〇</v>
      </c>
      <c r="AU20" t="str">
        <f t="shared" ca="1" si="20"/>
        <v>×</v>
      </c>
      <c r="AV20" t="str">
        <f t="shared" ca="1" si="21"/>
        <v>×</v>
      </c>
      <c r="AW20" t="str">
        <f t="shared" ca="1" si="22"/>
        <v>×</v>
      </c>
      <c r="AX20" t="str">
        <f t="shared" ca="1" si="23"/>
        <v>〇</v>
      </c>
    </row>
    <row r="21" spans="1:50">
      <c r="A21" t="str" cm="1">
        <f t="array" aca="1" ref="A21" ca="1">INDIRECT("'"&amp;試験名&amp;"'!A"&amp;ROW()-2)</f>
        <v>文字語彙</v>
      </c>
      <c r="B21">
        <f t="shared" ca="1" si="7"/>
        <v>19</v>
      </c>
      <c r="E21">
        <v>1</v>
      </c>
      <c r="O21">
        <v>4</v>
      </c>
      <c r="P21">
        <v>4</v>
      </c>
      <c r="Q21">
        <v>4</v>
      </c>
      <c r="R21">
        <v>4</v>
      </c>
      <c r="V21">
        <v>4</v>
      </c>
      <c r="W21" s="3">
        <f t="shared" ca="1" si="8"/>
        <v>19</v>
      </c>
      <c r="X21" s="3">
        <f t="shared" ca="1" si="0"/>
        <v>1</v>
      </c>
      <c r="Y21" s="3">
        <f t="shared" ca="1" si="1"/>
        <v>0</v>
      </c>
      <c r="Z21" s="3">
        <f t="shared" ca="1" si="2"/>
        <v>0</v>
      </c>
      <c r="AA21" s="3">
        <f t="shared" ca="1" si="3"/>
        <v>5</v>
      </c>
      <c r="AB21" s="3">
        <f ca="1">IF(W21="","",COUNTA(T_受験者[])/4-COUNTA($C21:$V21))</f>
        <v>0</v>
      </c>
      <c r="AC21" s="3" cm="1">
        <f t="array" aca="1" ref="AC21" ca="1">IF(W21="","",INDIRECT("'"&amp;試験名&amp;"'!B"&amp;ROW()-2))</f>
        <v>4</v>
      </c>
      <c r="AD21" s="4">
        <f ca="1">IF(W21="","",COUNTIF(AE21:AX21,"〇")/(COUNTA(T_受験者[])/4))</f>
        <v>0.83333333333333337</v>
      </c>
      <c r="AE21" t="str">
        <f t="shared" ca="1" si="9"/>
        <v>×</v>
      </c>
      <c r="AF21" t="str">
        <f t="shared" ca="1" si="9"/>
        <v>×</v>
      </c>
      <c r="AG21" t="str">
        <f t="shared" ca="1" si="24"/>
        <v>×</v>
      </c>
      <c r="AH21" t="str">
        <f t="shared" ca="1" si="25"/>
        <v>×</v>
      </c>
      <c r="AI21" t="str">
        <f t="shared" ca="1" si="5"/>
        <v>×</v>
      </c>
      <c r="AJ21" t="str">
        <f t="shared" ca="1" si="6"/>
        <v>×</v>
      </c>
      <c r="AK21" t="str">
        <f t="shared" ca="1" si="10"/>
        <v>×</v>
      </c>
      <c r="AL21" t="str">
        <f t="shared" ca="1" si="11"/>
        <v>×</v>
      </c>
      <c r="AM21" t="str">
        <f t="shared" ca="1" si="12"/>
        <v>×</v>
      </c>
      <c r="AN21" t="str">
        <f t="shared" ca="1" si="13"/>
        <v>×</v>
      </c>
      <c r="AO21" t="str">
        <f t="shared" ca="1" si="14"/>
        <v>×</v>
      </c>
      <c r="AP21" t="str">
        <f t="shared" ca="1" si="15"/>
        <v>×</v>
      </c>
      <c r="AQ21" t="str">
        <f t="shared" ca="1" si="16"/>
        <v>〇</v>
      </c>
      <c r="AR21" t="str">
        <f t="shared" ca="1" si="17"/>
        <v>〇</v>
      </c>
      <c r="AS21" t="str">
        <f t="shared" ca="1" si="18"/>
        <v>〇</v>
      </c>
      <c r="AT21" t="str">
        <f t="shared" ca="1" si="19"/>
        <v>〇</v>
      </c>
      <c r="AU21" t="str">
        <f t="shared" ca="1" si="20"/>
        <v>×</v>
      </c>
      <c r="AV21" t="str">
        <f t="shared" ca="1" si="21"/>
        <v>×</v>
      </c>
      <c r="AW21" t="str">
        <f t="shared" ca="1" si="22"/>
        <v>×</v>
      </c>
      <c r="AX21" t="str">
        <f t="shared" ca="1" si="23"/>
        <v>〇</v>
      </c>
    </row>
    <row r="22" spans="1:50">
      <c r="A22" t="str" cm="1">
        <f t="array" aca="1" ref="A22" ca="1">INDIRECT("'"&amp;試験名&amp;"'!A"&amp;ROW()-2)</f>
        <v>文字語彙</v>
      </c>
      <c r="B22">
        <f t="shared" ca="1" si="7"/>
        <v>20</v>
      </c>
      <c r="E22">
        <v>2</v>
      </c>
      <c r="O22">
        <v>1</v>
      </c>
      <c r="P22">
        <v>1</v>
      </c>
      <c r="Q22">
        <v>1</v>
      </c>
      <c r="R22">
        <v>1</v>
      </c>
      <c r="V22">
        <v>1</v>
      </c>
      <c r="W22" s="3">
        <f t="shared" ca="1" si="8"/>
        <v>20</v>
      </c>
      <c r="X22" s="3">
        <f t="shared" ca="1" si="0"/>
        <v>5</v>
      </c>
      <c r="Y22" s="3">
        <f t="shared" ca="1" si="1"/>
        <v>1</v>
      </c>
      <c r="Z22" s="3">
        <f t="shared" ca="1" si="2"/>
        <v>0</v>
      </c>
      <c r="AA22" s="3">
        <f t="shared" ca="1" si="3"/>
        <v>0</v>
      </c>
      <c r="AB22" s="3">
        <f ca="1">IF(W22="","",COUNTA(T_受験者[])/4-COUNTA($C22:$V22))</f>
        <v>0</v>
      </c>
      <c r="AC22" s="3" cm="1">
        <f t="array" aca="1" ref="AC22" ca="1">IF(W22="","",INDIRECT("'"&amp;試験名&amp;"'!B"&amp;ROW()-2))</f>
        <v>1</v>
      </c>
      <c r="AD22" s="4">
        <f ca="1">IF(W22="","",COUNTIF(AE22:AX22,"〇")/(COUNTA(T_受験者[])/4))</f>
        <v>0.83333333333333337</v>
      </c>
      <c r="AE22" t="str">
        <f t="shared" ca="1" si="9"/>
        <v>×</v>
      </c>
      <c r="AF22" t="str">
        <f t="shared" ca="1" si="9"/>
        <v>×</v>
      </c>
      <c r="AG22" t="str">
        <f t="shared" ca="1" si="24"/>
        <v>×</v>
      </c>
      <c r="AH22" t="str">
        <f t="shared" ca="1" si="25"/>
        <v>×</v>
      </c>
      <c r="AI22" t="str">
        <f t="shared" ca="1" si="5"/>
        <v>×</v>
      </c>
      <c r="AJ22" t="str">
        <f t="shared" ca="1" si="6"/>
        <v>×</v>
      </c>
      <c r="AK22" t="str">
        <f t="shared" ca="1" si="10"/>
        <v>×</v>
      </c>
      <c r="AL22" t="str">
        <f t="shared" ca="1" si="11"/>
        <v>×</v>
      </c>
      <c r="AM22" t="str">
        <f t="shared" ca="1" si="12"/>
        <v>×</v>
      </c>
      <c r="AN22" t="str">
        <f t="shared" ca="1" si="13"/>
        <v>×</v>
      </c>
      <c r="AO22" t="str">
        <f t="shared" ca="1" si="14"/>
        <v>×</v>
      </c>
      <c r="AP22" t="str">
        <f t="shared" ca="1" si="15"/>
        <v>×</v>
      </c>
      <c r="AQ22" t="str">
        <f t="shared" ca="1" si="16"/>
        <v>〇</v>
      </c>
      <c r="AR22" t="str">
        <f t="shared" ca="1" si="17"/>
        <v>〇</v>
      </c>
      <c r="AS22" t="str">
        <f t="shared" ca="1" si="18"/>
        <v>〇</v>
      </c>
      <c r="AT22" t="str">
        <f t="shared" ca="1" si="19"/>
        <v>〇</v>
      </c>
      <c r="AU22" t="str">
        <f t="shared" ca="1" si="20"/>
        <v>×</v>
      </c>
      <c r="AV22" t="str">
        <f t="shared" ca="1" si="21"/>
        <v>×</v>
      </c>
      <c r="AW22" t="str">
        <f t="shared" ca="1" si="22"/>
        <v>×</v>
      </c>
      <c r="AX22" t="str">
        <f t="shared" ca="1" si="23"/>
        <v>〇</v>
      </c>
    </row>
    <row r="23" spans="1:50">
      <c r="A23" t="str" cm="1">
        <f t="array" aca="1" ref="A23" ca="1">INDIRECT("'"&amp;試験名&amp;"'!A"&amp;ROW()-2)</f>
        <v>文字語彙</v>
      </c>
      <c r="B23">
        <f t="shared" ca="1" si="7"/>
        <v>21</v>
      </c>
      <c r="E23">
        <v>3</v>
      </c>
      <c r="O23">
        <v>3</v>
      </c>
      <c r="P23">
        <v>4</v>
      </c>
      <c r="Q23">
        <v>3</v>
      </c>
      <c r="R23">
        <v>3</v>
      </c>
      <c r="V23">
        <v>3</v>
      </c>
      <c r="W23" s="3">
        <f t="shared" ca="1" si="8"/>
        <v>21</v>
      </c>
      <c r="X23" s="3">
        <f t="shared" ca="1" si="0"/>
        <v>0</v>
      </c>
      <c r="Y23" s="3">
        <f t="shared" ca="1" si="1"/>
        <v>0</v>
      </c>
      <c r="Z23" s="3">
        <f t="shared" ca="1" si="2"/>
        <v>5</v>
      </c>
      <c r="AA23" s="3">
        <f t="shared" ca="1" si="3"/>
        <v>1</v>
      </c>
      <c r="AB23" s="3">
        <f ca="1">IF(W23="","",COUNTA(T_受験者[])/4-COUNTA($C23:$V23))</f>
        <v>0</v>
      </c>
      <c r="AC23" s="3" cm="1">
        <f t="array" aca="1" ref="AC23" ca="1">IF(W23="","",INDIRECT("'"&amp;試験名&amp;"'!B"&amp;ROW()-2))</f>
        <v>3</v>
      </c>
      <c r="AD23" s="4">
        <f ca="1">IF(W23="","",COUNTIF(AE23:AX23,"〇")/(COUNTA(T_受験者[])/4))</f>
        <v>0.83333333333333337</v>
      </c>
      <c r="AE23" t="str">
        <f t="shared" ca="1" si="9"/>
        <v>×</v>
      </c>
      <c r="AF23" t="str">
        <f t="shared" ca="1" si="9"/>
        <v>×</v>
      </c>
      <c r="AG23" t="str">
        <f t="shared" ca="1" si="24"/>
        <v>〇</v>
      </c>
      <c r="AH23" t="str">
        <f t="shared" ca="1" si="25"/>
        <v>×</v>
      </c>
      <c r="AI23" t="str">
        <f t="shared" ca="1" si="5"/>
        <v>×</v>
      </c>
      <c r="AJ23" t="str">
        <f t="shared" ca="1" si="6"/>
        <v>×</v>
      </c>
      <c r="AK23" t="str">
        <f t="shared" ca="1" si="10"/>
        <v>×</v>
      </c>
      <c r="AL23" t="str">
        <f t="shared" ca="1" si="11"/>
        <v>×</v>
      </c>
      <c r="AM23" t="str">
        <f t="shared" ca="1" si="12"/>
        <v>×</v>
      </c>
      <c r="AN23" t="str">
        <f t="shared" ca="1" si="13"/>
        <v>×</v>
      </c>
      <c r="AO23" t="str">
        <f t="shared" ca="1" si="14"/>
        <v>×</v>
      </c>
      <c r="AP23" t="str">
        <f t="shared" ca="1" si="15"/>
        <v>×</v>
      </c>
      <c r="AQ23" t="str">
        <f t="shared" ca="1" si="16"/>
        <v>〇</v>
      </c>
      <c r="AR23" t="str">
        <f t="shared" ca="1" si="17"/>
        <v>×</v>
      </c>
      <c r="AS23" t="str">
        <f t="shared" ca="1" si="18"/>
        <v>〇</v>
      </c>
      <c r="AT23" t="str">
        <f t="shared" ca="1" si="19"/>
        <v>〇</v>
      </c>
      <c r="AU23" t="str">
        <f t="shared" ca="1" si="20"/>
        <v>×</v>
      </c>
      <c r="AV23" t="str">
        <f t="shared" ca="1" si="21"/>
        <v>×</v>
      </c>
      <c r="AW23" t="str">
        <f t="shared" ca="1" si="22"/>
        <v>×</v>
      </c>
      <c r="AX23" t="str">
        <f t="shared" ca="1" si="23"/>
        <v>〇</v>
      </c>
    </row>
    <row r="24" spans="1:50">
      <c r="A24" t="str" cm="1">
        <f t="array" aca="1" ref="A24" ca="1">INDIRECT("'"&amp;試験名&amp;"'!A"&amp;ROW()-2)</f>
        <v>文字語彙</v>
      </c>
      <c r="B24">
        <f t="shared" ca="1" si="7"/>
        <v>22</v>
      </c>
      <c r="E24">
        <v>2</v>
      </c>
      <c r="O24">
        <v>4</v>
      </c>
      <c r="P24">
        <v>2</v>
      </c>
      <c r="Q24">
        <v>2</v>
      </c>
      <c r="R24">
        <v>2</v>
      </c>
      <c r="V24">
        <v>4</v>
      </c>
      <c r="W24" s="3">
        <f t="shared" ca="1" si="8"/>
        <v>22</v>
      </c>
      <c r="X24" s="3">
        <f t="shared" ca="1" si="0"/>
        <v>0</v>
      </c>
      <c r="Y24" s="3">
        <f t="shared" ca="1" si="1"/>
        <v>4</v>
      </c>
      <c r="Z24" s="3">
        <f t="shared" ca="1" si="2"/>
        <v>0</v>
      </c>
      <c r="AA24" s="3">
        <f t="shared" ca="1" si="3"/>
        <v>2</v>
      </c>
      <c r="AB24" s="3">
        <f ca="1">IF(W24="","",COUNTA(T_受験者[])/4-COUNTA($C24:$V24))</f>
        <v>0</v>
      </c>
      <c r="AC24" s="3" cm="1">
        <f t="array" aca="1" ref="AC24" ca="1">IF(W24="","",INDIRECT("'"&amp;試験名&amp;"'!B"&amp;ROW()-2))</f>
        <v>4</v>
      </c>
      <c r="AD24" s="4">
        <f ca="1">IF(W24="","",COUNTIF(AE24:AX24,"〇")/(COUNTA(T_受験者[])/4))</f>
        <v>0.33333333333333331</v>
      </c>
      <c r="AE24" t="str">
        <f t="shared" ca="1" si="9"/>
        <v>×</v>
      </c>
      <c r="AF24" t="str">
        <f t="shared" ca="1" si="9"/>
        <v>×</v>
      </c>
      <c r="AG24" t="str">
        <f t="shared" ca="1" si="24"/>
        <v>×</v>
      </c>
      <c r="AH24" t="str">
        <f t="shared" ca="1" si="25"/>
        <v>×</v>
      </c>
      <c r="AI24" t="str">
        <f t="shared" ca="1" si="5"/>
        <v>×</v>
      </c>
      <c r="AJ24" t="str">
        <f t="shared" ca="1" si="6"/>
        <v>×</v>
      </c>
      <c r="AK24" t="str">
        <f t="shared" ca="1" si="10"/>
        <v>×</v>
      </c>
      <c r="AL24" t="str">
        <f t="shared" ca="1" si="11"/>
        <v>×</v>
      </c>
      <c r="AM24" t="str">
        <f t="shared" ca="1" si="12"/>
        <v>×</v>
      </c>
      <c r="AN24" t="str">
        <f t="shared" ca="1" si="13"/>
        <v>×</v>
      </c>
      <c r="AO24" t="str">
        <f t="shared" ca="1" si="14"/>
        <v>×</v>
      </c>
      <c r="AP24" t="str">
        <f t="shared" ca="1" si="15"/>
        <v>×</v>
      </c>
      <c r="AQ24" t="str">
        <f t="shared" ca="1" si="16"/>
        <v>〇</v>
      </c>
      <c r="AR24" t="str">
        <f t="shared" ca="1" si="17"/>
        <v>×</v>
      </c>
      <c r="AS24" t="str">
        <f t="shared" ca="1" si="18"/>
        <v>×</v>
      </c>
      <c r="AT24" t="str">
        <f t="shared" ca="1" si="19"/>
        <v>×</v>
      </c>
      <c r="AU24" t="str">
        <f t="shared" ca="1" si="20"/>
        <v>×</v>
      </c>
      <c r="AV24" t="str">
        <f t="shared" ca="1" si="21"/>
        <v>×</v>
      </c>
      <c r="AW24" t="str">
        <f t="shared" ca="1" si="22"/>
        <v>×</v>
      </c>
      <c r="AX24" t="str">
        <f t="shared" ca="1" si="23"/>
        <v>〇</v>
      </c>
    </row>
    <row r="25" spans="1:50">
      <c r="A25" t="str" cm="1">
        <f t="array" aca="1" ref="A25" ca="1">INDIRECT("'"&amp;試験名&amp;"'!A"&amp;ROW()-2)</f>
        <v>文字語彙</v>
      </c>
      <c r="B25">
        <f t="shared" ca="1" si="7"/>
        <v>23</v>
      </c>
      <c r="E25">
        <v>2</v>
      </c>
      <c r="O25">
        <v>3</v>
      </c>
      <c r="P25">
        <v>3</v>
      </c>
      <c r="Q25">
        <v>4</v>
      </c>
      <c r="R25">
        <v>3</v>
      </c>
      <c r="V25">
        <v>3</v>
      </c>
      <c r="W25" s="3">
        <f t="shared" ca="1" si="8"/>
        <v>23</v>
      </c>
      <c r="X25" s="3">
        <f t="shared" ca="1" si="0"/>
        <v>0</v>
      </c>
      <c r="Y25" s="3">
        <f t="shared" ca="1" si="1"/>
        <v>1</v>
      </c>
      <c r="Z25" s="3">
        <f t="shared" ca="1" si="2"/>
        <v>4</v>
      </c>
      <c r="AA25" s="3">
        <f t="shared" ca="1" si="3"/>
        <v>1</v>
      </c>
      <c r="AB25" s="3">
        <f ca="1">IF(W25="","",COUNTA(T_受験者[])/4-COUNTA($C25:$V25))</f>
        <v>0</v>
      </c>
      <c r="AC25" s="3" cm="1">
        <f t="array" aca="1" ref="AC25" ca="1">IF(W25="","",INDIRECT("'"&amp;試験名&amp;"'!B"&amp;ROW()-2))</f>
        <v>3</v>
      </c>
      <c r="AD25" s="4">
        <f ca="1">IF(W25="","",COUNTIF(AE25:AX25,"〇")/(COUNTA(T_受験者[])/4))</f>
        <v>0.66666666666666663</v>
      </c>
      <c r="AE25" t="str">
        <f t="shared" ca="1" si="9"/>
        <v>×</v>
      </c>
      <c r="AF25" t="str">
        <f t="shared" ca="1" si="9"/>
        <v>×</v>
      </c>
      <c r="AG25" t="str">
        <f t="shared" ca="1" si="24"/>
        <v>×</v>
      </c>
      <c r="AH25" t="str">
        <f t="shared" ca="1" si="25"/>
        <v>×</v>
      </c>
      <c r="AI25" t="str">
        <f t="shared" ca="1" si="5"/>
        <v>×</v>
      </c>
      <c r="AJ25" t="str">
        <f t="shared" ca="1" si="6"/>
        <v>×</v>
      </c>
      <c r="AK25" t="str">
        <f t="shared" ca="1" si="10"/>
        <v>×</v>
      </c>
      <c r="AL25" t="str">
        <f t="shared" ca="1" si="11"/>
        <v>×</v>
      </c>
      <c r="AM25" t="str">
        <f t="shared" ca="1" si="12"/>
        <v>×</v>
      </c>
      <c r="AN25" t="str">
        <f t="shared" ca="1" si="13"/>
        <v>×</v>
      </c>
      <c r="AO25" t="str">
        <f t="shared" ca="1" si="14"/>
        <v>×</v>
      </c>
      <c r="AP25" t="str">
        <f t="shared" ca="1" si="15"/>
        <v>×</v>
      </c>
      <c r="AQ25" t="str">
        <f t="shared" ca="1" si="16"/>
        <v>〇</v>
      </c>
      <c r="AR25" t="str">
        <f t="shared" ca="1" si="17"/>
        <v>〇</v>
      </c>
      <c r="AS25" t="str">
        <f t="shared" ca="1" si="18"/>
        <v>×</v>
      </c>
      <c r="AT25" t="str">
        <f t="shared" ca="1" si="19"/>
        <v>〇</v>
      </c>
      <c r="AU25" t="str">
        <f t="shared" ca="1" si="20"/>
        <v>×</v>
      </c>
      <c r="AV25" t="str">
        <f t="shared" ca="1" si="21"/>
        <v>×</v>
      </c>
      <c r="AW25" t="str">
        <f t="shared" ca="1" si="22"/>
        <v>×</v>
      </c>
      <c r="AX25" t="str">
        <f t="shared" ca="1" si="23"/>
        <v>〇</v>
      </c>
    </row>
    <row r="26" spans="1:50">
      <c r="A26" t="str" cm="1">
        <f t="array" aca="1" ref="A26" ca="1">INDIRECT("'"&amp;試験名&amp;"'!A"&amp;ROW()-2)</f>
        <v>文字語彙</v>
      </c>
      <c r="B26">
        <f t="shared" ca="1" si="7"/>
        <v>24</v>
      </c>
      <c r="E26">
        <v>4</v>
      </c>
      <c r="O26">
        <v>3</v>
      </c>
      <c r="P26">
        <v>1</v>
      </c>
      <c r="Q26">
        <v>2</v>
      </c>
      <c r="R26">
        <v>1</v>
      </c>
      <c r="V26">
        <v>4</v>
      </c>
      <c r="W26" s="3">
        <f t="shared" ca="1" si="8"/>
        <v>24</v>
      </c>
      <c r="X26" s="3">
        <f t="shared" ca="1" si="0"/>
        <v>2</v>
      </c>
      <c r="Y26" s="3">
        <f t="shared" ca="1" si="1"/>
        <v>1</v>
      </c>
      <c r="Z26" s="3">
        <f t="shared" ca="1" si="2"/>
        <v>1</v>
      </c>
      <c r="AA26" s="3">
        <f t="shared" ca="1" si="3"/>
        <v>2</v>
      </c>
      <c r="AB26" s="3">
        <f ca="1">IF(W26="","",COUNTA(T_受験者[])/4-COUNTA($C26:$V26))</f>
        <v>0</v>
      </c>
      <c r="AC26" s="3" cm="1">
        <f t="array" aca="1" ref="AC26" ca="1">IF(W26="","",INDIRECT("'"&amp;試験名&amp;"'!B"&amp;ROW()-2))</f>
        <v>4</v>
      </c>
      <c r="AD26" s="4">
        <f ca="1">IF(W26="","",COUNTIF(AE26:AX26,"〇")/(COUNTA(T_受験者[])/4))</f>
        <v>0.33333333333333331</v>
      </c>
      <c r="AE26" t="str">
        <f t="shared" ca="1" si="9"/>
        <v>×</v>
      </c>
      <c r="AF26" t="str">
        <f t="shared" ca="1" si="9"/>
        <v>×</v>
      </c>
      <c r="AG26" t="str">
        <f t="shared" ca="1" si="24"/>
        <v>〇</v>
      </c>
      <c r="AH26" t="str">
        <f t="shared" ca="1" si="25"/>
        <v>×</v>
      </c>
      <c r="AI26" t="str">
        <f t="shared" ca="1" si="5"/>
        <v>×</v>
      </c>
      <c r="AJ26" t="str">
        <f t="shared" ca="1" si="6"/>
        <v>×</v>
      </c>
      <c r="AK26" t="str">
        <f t="shared" ca="1" si="10"/>
        <v>×</v>
      </c>
      <c r="AL26" t="str">
        <f t="shared" ca="1" si="11"/>
        <v>×</v>
      </c>
      <c r="AM26" t="str">
        <f t="shared" ca="1" si="12"/>
        <v>×</v>
      </c>
      <c r="AN26" t="str">
        <f t="shared" ca="1" si="13"/>
        <v>×</v>
      </c>
      <c r="AO26" t="str">
        <f t="shared" ca="1" si="14"/>
        <v>×</v>
      </c>
      <c r="AP26" t="str">
        <f t="shared" ca="1" si="15"/>
        <v>×</v>
      </c>
      <c r="AQ26" t="str">
        <f t="shared" ca="1" si="16"/>
        <v>×</v>
      </c>
      <c r="AR26" t="str">
        <f t="shared" ca="1" si="17"/>
        <v>×</v>
      </c>
      <c r="AS26" t="str">
        <f t="shared" ca="1" si="18"/>
        <v>×</v>
      </c>
      <c r="AT26" t="str">
        <f t="shared" ca="1" si="19"/>
        <v>×</v>
      </c>
      <c r="AU26" t="str">
        <f t="shared" ca="1" si="20"/>
        <v>×</v>
      </c>
      <c r="AV26" t="str">
        <f t="shared" ca="1" si="21"/>
        <v>×</v>
      </c>
      <c r="AW26" t="str">
        <f t="shared" ca="1" si="22"/>
        <v>×</v>
      </c>
      <c r="AX26" t="str">
        <f t="shared" ca="1" si="23"/>
        <v>〇</v>
      </c>
    </row>
    <row r="27" spans="1:50">
      <c r="A27" t="str" cm="1">
        <f t="array" aca="1" ref="A27" ca="1">INDIRECT("'"&amp;試験名&amp;"'!A"&amp;ROW()-2)</f>
        <v>文字語彙</v>
      </c>
      <c r="B27">
        <f t="shared" ca="1" si="7"/>
        <v>25</v>
      </c>
      <c r="E27">
        <v>1</v>
      </c>
      <c r="O27">
        <v>3</v>
      </c>
      <c r="P27">
        <v>4</v>
      </c>
      <c r="Q27">
        <v>2</v>
      </c>
      <c r="R27">
        <v>3</v>
      </c>
      <c r="V27">
        <v>4</v>
      </c>
      <c r="W27" s="3">
        <f t="shared" ca="1" si="8"/>
        <v>25</v>
      </c>
      <c r="X27" s="3">
        <f t="shared" ca="1" si="0"/>
        <v>1</v>
      </c>
      <c r="Y27" s="3">
        <f t="shared" ca="1" si="1"/>
        <v>1</v>
      </c>
      <c r="Z27" s="3">
        <f t="shared" ca="1" si="2"/>
        <v>2</v>
      </c>
      <c r="AA27" s="3">
        <f t="shared" ca="1" si="3"/>
        <v>2</v>
      </c>
      <c r="AB27" s="3">
        <f ca="1">IF(W27="","",COUNTA(T_受験者[])/4-COUNTA($C27:$V27))</f>
        <v>0</v>
      </c>
      <c r="AC27" s="3" cm="1">
        <f t="array" aca="1" ref="AC27" ca="1">IF(W27="","",INDIRECT("'"&amp;試験名&amp;"'!B"&amp;ROW()-2))</f>
        <v>3</v>
      </c>
      <c r="AD27" s="4">
        <f ca="1">IF(W27="","",COUNTIF(AE27:AX27,"〇")/(COUNTA(T_受験者[])/4))</f>
        <v>0.33333333333333331</v>
      </c>
      <c r="AE27" t="str">
        <f t="shared" ca="1" si="9"/>
        <v>×</v>
      </c>
      <c r="AF27" t="str">
        <f t="shared" ca="1" si="9"/>
        <v>×</v>
      </c>
      <c r="AG27" t="str">
        <f t="shared" ca="1" si="24"/>
        <v>×</v>
      </c>
      <c r="AH27" t="str">
        <f t="shared" ca="1" si="25"/>
        <v>×</v>
      </c>
      <c r="AI27" t="str">
        <f t="shared" ca="1" si="5"/>
        <v>×</v>
      </c>
      <c r="AJ27" t="str">
        <f t="shared" ca="1" si="6"/>
        <v>×</v>
      </c>
      <c r="AK27" t="str">
        <f t="shared" ca="1" si="10"/>
        <v>×</v>
      </c>
      <c r="AL27" t="str">
        <f t="shared" ca="1" si="11"/>
        <v>×</v>
      </c>
      <c r="AM27" t="str">
        <f t="shared" ca="1" si="12"/>
        <v>×</v>
      </c>
      <c r="AN27" t="str">
        <f t="shared" ca="1" si="13"/>
        <v>×</v>
      </c>
      <c r="AO27" t="str">
        <f t="shared" ca="1" si="14"/>
        <v>×</v>
      </c>
      <c r="AP27" t="str">
        <f t="shared" ca="1" si="15"/>
        <v>×</v>
      </c>
      <c r="AQ27" t="str">
        <f t="shared" ca="1" si="16"/>
        <v>〇</v>
      </c>
      <c r="AR27" t="str">
        <f t="shared" ca="1" si="17"/>
        <v>×</v>
      </c>
      <c r="AS27" t="str">
        <f t="shared" ca="1" si="18"/>
        <v>×</v>
      </c>
      <c r="AT27" t="str">
        <f t="shared" ca="1" si="19"/>
        <v>〇</v>
      </c>
      <c r="AU27" t="str">
        <f t="shared" ca="1" si="20"/>
        <v>×</v>
      </c>
      <c r="AV27" t="str">
        <f t="shared" ca="1" si="21"/>
        <v>×</v>
      </c>
      <c r="AW27" t="str">
        <f t="shared" ca="1" si="22"/>
        <v>×</v>
      </c>
      <c r="AX27" t="str">
        <f t="shared" ca="1" si="23"/>
        <v>×</v>
      </c>
    </row>
    <row r="28" spans="1:50">
      <c r="A28" t="str" cm="1">
        <f t="array" aca="1" ref="A28" ca="1">INDIRECT("'"&amp;試験名&amp;"'!A"&amp;ROW()-2)</f>
        <v>文字語彙</v>
      </c>
      <c r="B28">
        <f t="shared" ca="1" si="7"/>
        <v>26</v>
      </c>
      <c r="E28">
        <v>1</v>
      </c>
      <c r="O28">
        <v>2</v>
      </c>
      <c r="P28">
        <v>1</v>
      </c>
      <c r="Q28">
        <v>3</v>
      </c>
      <c r="R28">
        <v>2</v>
      </c>
      <c r="V28">
        <v>2</v>
      </c>
      <c r="W28" s="3">
        <f t="shared" ca="1" si="8"/>
        <v>26</v>
      </c>
      <c r="X28" s="3">
        <f t="shared" ca="1" si="0"/>
        <v>2</v>
      </c>
      <c r="Y28" s="3">
        <f t="shared" ca="1" si="1"/>
        <v>3</v>
      </c>
      <c r="Z28" s="3">
        <f t="shared" ca="1" si="2"/>
        <v>1</v>
      </c>
      <c r="AA28" s="3">
        <f t="shared" ca="1" si="3"/>
        <v>0</v>
      </c>
      <c r="AB28" s="3">
        <f ca="1">IF(W28="","",COUNTA(T_受験者[])/4-COUNTA($C28:$V28))</f>
        <v>0</v>
      </c>
      <c r="AC28" s="3" cm="1">
        <f t="array" aca="1" ref="AC28" ca="1">IF(W28="","",INDIRECT("'"&amp;試験名&amp;"'!B"&amp;ROW()-2))</f>
        <v>2</v>
      </c>
      <c r="AD28" s="4">
        <f ca="1">IF(W28="","",COUNTIF(AE28:AX28,"〇")/(COUNTA(T_受験者[])/4))</f>
        <v>0.5</v>
      </c>
      <c r="AE28" t="str">
        <f t="shared" ca="1" si="9"/>
        <v>×</v>
      </c>
      <c r="AF28" t="str">
        <f t="shared" ca="1" si="9"/>
        <v>×</v>
      </c>
      <c r="AG28" t="str">
        <f t="shared" ca="1" si="24"/>
        <v>×</v>
      </c>
      <c r="AH28" t="str">
        <f t="shared" ca="1" si="25"/>
        <v>×</v>
      </c>
      <c r="AI28" t="str">
        <f t="shared" ca="1" si="5"/>
        <v>×</v>
      </c>
      <c r="AJ28" t="str">
        <f t="shared" ca="1" si="6"/>
        <v>×</v>
      </c>
      <c r="AK28" t="str">
        <f t="shared" ca="1" si="10"/>
        <v>×</v>
      </c>
      <c r="AL28" t="str">
        <f t="shared" ca="1" si="11"/>
        <v>×</v>
      </c>
      <c r="AM28" t="str">
        <f t="shared" ca="1" si="12"/>
        <v>×</v>
      </c>
      <c r="AN28" t="str">
        <f t="shared" ca="1" si="13"/>
        <v>×</v>
      </c>
      <c r="AO28" t="str">
        <f t="shared" ca="1" si="14"/>
        <v>×</v>
      </c>
      <c r="AP28" t="str">
        <f t="shared" ca="1" si="15"/>
        <v>×</v>
      </c>
      <c r="AQ28" t="str">
        <f t="shared" ca="1" si="16"/>
        <v>〇</v>
      </c>
      <c r="AR28" t="str">
        <f t="shared" ca="1" si="17"/>
        <v>×</v>
      </c>
      <c r="AS28" t="str">
        <f t="shared" ca="1" si="18"/>
        <v>×</v>
      </c>
      <c r="AT28" t="str">
        <f t="shared" ca="1" si="19"/>
        <v>〇</v>
      </c>
      <c r="AU28" t="str">
        <f t="shared" ca="1" si="20"/>
        <v>×</v>
      </c>
      <c r="AV28" t="str">
        <f t="shared" ca="1" si="21"/>
        <v>×</v>
      </c>
      <c r="AW28" t="str">
        <f t="shared" ca="1" si="22"/>
        <v>×</v>
      </c>
      <c r="AX28" t="str">
        <f t="shared" ca="1" si="23"/>
        <v>〇</v>
      </c>
    </row>
    <row r="29" spans="1:50">
      <c r="A29" t="str" cm="1">
        <f t="array" aca="1" ref="A29" ca="1">INDIRECT("'"&amp;試験名&amp;"'!A"&amp;ROW()-2)</f>
        <v>文字語彙</v>
      </c>
      <c r="B29">
        <f t="shared" ca="1" si="7"/>
        <v>27</v>
      </c>
      <c r="E29">
        <v>2</v>
      </c>
      <c r="O29">
        <v>2</v>
      </c>
      <c r="P29">
        <v>2</v>
      </c>
      <c r="Q29">
        <v>2</v>
      </c>
      <c r="R29">
        <v>2</v>
      </c>
      <c r="V29">
        <v>2</v>
      </c>
      <c r="W29" s="3">
        <f t="shared" ca="1" si="8"/>
        <v>27</v>
      </c>
      <c r="X29" s="3">
        <f t="shared" ca="1" si="0"/>
        <v>0</v>
      </c>
      <c r="Y29" s="3">
        <f t="shared" ca="1" si="1"/>
        <v>6</v>
      </c>
      <c r="Z29" s="3">
        <f t="shared" ca="1" si="2"/>
        <v>0</v>
      </c>
      <c r="AA29" s="3">
        <f t="shared" ca="1" si="3"/>
        <v>0</v>
      </c>
      <c r="AB29" s="3">
        <f ca="1">IF(W29="","",COUNTA(T_受験者[])/4-COUNTA($C29:$V29))</f>
        <v>0</v>
      </c>
      <c r="AC29" s="3" cm="1">
        <f t="array" aca="1" ref="AC29" ca="1">IF(W29="","",INDIRECT("'"&amp;試験名&amp;"'!B"&amp;ROW()-2))</f>
        <v>2</v>
      </c>
      <c r="AD29" s="4">
        <f ca="1">IF(W29="","",COUNTIF(AE29:AX29,"〇")/(COUNTA(T_受験者[])/4))</f>
        <v>1</v>
      </c>
      <c r="AE29" t="str">
        <f t="shared" ca="1" si="9"/>
        <v>×</v>
      </c>
      <c r="AF29" t="str">
        <f t="shared" ca="1" si="9"/>
        <v>×</v>
      </c>
      <c r="AG29" t="str">
        <f t="shared" ca="1" si="24"/>
        <v>〇</v>
      </c>
      <c r="AH29" t="str">
        <f t="shared" ca="1" si="25"/>
        <v>×</v>
      </c>
      <c r="AI29" t="str">
        <f t="shared" ca="1" si="5"/>
        <v>×</v>
      </c>
      <c r="AJ29" t="str">
        <f t="shared" ca="1" si="6"/>
        <v>×</v>
      </c>
      <c r="AK29" t="str">
        <f t="shared" ca="1" si="10"/>
        <v>×</v>
      </c>
      <c r="AL29" t="str">
        <f t="shared" ca="1" si="11"/>
        <v>×</v>
      </c>
      <c r="AM29" t="str">
        <f t="shared" ca="1" si="12"/>
        <v>×</v>
      </c>
      <c r="AN29" t="str">
        <f t="shared" ca="1" si="13"/>
        <v>×</v>
      </c>
      <c r="AO29" t="str">
        <f t="shared" ca="1" si="14"/>
        <v>×</v>
      </c>
      <c r="AP29" t="str">
        <f t="shared" ca="1" si="15"/>
        <v>×</v>
      </c>
      <c r="AQ29" t="str">
        <f t="shared" ca="1" si="16"/>
        <v>〇</v>
      </c>
      <c r="AR29" t="str">
        <f t="shared" ca="1" si="17"/>
        <v>〇</v>
      </c>
      <c r="AS29" t="str">
        <f t="shared" ca="1" si="18"/>
        <v>〇</v>
      </c>
      <c r="AT29" t="str">
        <f t="shared" ca="1" si="19"/>
        <v>〇</v>
      </c>
      <c r="AU29" t="str">
        <f t="shared" ca="1" si="20"/>
        <v>×</v>
      </c>
      <c r="AV29" t="str">
        <f t="shared" ca="1" si="21"/>
        <v>×</v>
      </c>
      <c r="AW29" t="str">
        <f t="shared" ca="1" si="22"/>
        <v>×</v>
      </c>
      <c r="AX29" t="str">
        <f t="shared" ca="1" si="23"/>
        <v>〇</v>
      </c>
    </row>
    <row r="30" spans="1:50">
      <c r="A30" t="str" cm="1">
        <f t="array" aca="1" ref="A30" ca="1">INDIRECT("'"&amp;試験名&amp;"'!A"&amp;ROW()-2)</f>
        <v>文字語彙</v>
      </c>
      <c r="B30">
        <f t="shared" ca="1" si="7"/>
        <v>28</v>
      </c>
      <c r="E30">
        <v>4</v>
      </c>
      <c r="O30">
        <v>2</v>
      </c>
      <c r="P30">
        <v>2</v>
      </c>
      <c r="Q30">
        <v>2</v>
      </c>
      <c r="R30">
        <v>2</v>
      </c>
      <c r="V30">
        <v>2</v>
      </c>
      <c r="W30" s="3">
        <f t="shared" ca="1" si="8"/>
        <v>28</v>
      </c>
      <c r="X30" s="3">
        <f t="shared" ca="1" si="0"/>
        <v>0</v>
      </c>
      <c r="Y30" s="3">
        <f t="shared" ca="1" si="1"/>
        <v>5</v>
      </c>
      <c r="Z30" s="3">
        <f t="shared" ca="1" si="2"/>
        <v>0</v>
      </c>
      <c r="AA30" s="3">
        <f t="shared" ca="1" si="3"/>
        <v>1</v>
      </c>
      <c r="AB30" s="3">
        <f ca="1">IF(W30="","",COUNTA(T_受験者[])/4-COUNTA($C30:$V30))</f>
        <v>0</v>
      </c>
      <c r="AC30" s="3" cm="1">
        <f t="array" aca="1" ref="AC30" ca="1">IF(W30="","",INDIRECT("'"&amp;試験名&amp;"'!B"&amp;ROW()-2))</f>
        <v>2</v>
      </c>
      <c r="AD30" s="4">
        <f ca="1">IF(W30="","",COUNTIF(AE30:AX30,"〇")/(COUNTA(T_受験者[])/4))</f>
        <v>0.83333333333333337</v>
      </c>
      <c r="AE30" t="str">
        <f t="shared" ca="1" si="9"/>
        <v>×</v>
      </c>
      <c r="AF30" t="str">
        <f t="shared" ca="1" si="9"/>
        <v>×</v>
      </c>
      <c r="AG30" t="str">
        <f t="shared" ca="1" si="24"/>
        <v>×</v>
      </c>
      <c r="AH30" t="str">
        <f t="shared" ca="1" si="25"/>
        <v>×</v>
      </c>
      <c r="AI30" t="str">
        <f t="shared" ca="1" si="5"/>
        <v>×</v>
      </c>
      <c r="AJ30" t="str">
        <f t="shared" ca="1" si="6"/>
        <v>×</v>
      </c>
      <c r="AK30" t="str">
        <f t="shared" ca="1" si="10"/>
        <v>×</v>
      </c>
      <c r="AL30" t="str">
        <f t="shared" ca="1" si="11"/>
        <v>×</v>
      </c>
      <c r="AM30" t="str">
        <f t="shared" ca="1" si="12"/>
        <v>×</v>
      </c>
      <c r="AN30" t="str">
        <f t="shared" ca="1" si="13"/>
        <v>×</v>
      </c>
      <c r="AO30" t="str">
        <f t="shared" ca="1" si="14"/>
        <v>×</v>
      </c>
      <c r="AP30" t="str">
        <f t="shared" ca="1" si="15"/>
        <v>×</v>
      </c>
      <c r="AQ30" t="str">
        <f t="shared" ca="1" si="16"/>
        <v>〇</v>
      </c>
      <c r="AR30" t="str">
        <f t="shared" ca="1" si="17"/>
        <v>〇</v>
      </c>
      <c r="AS30" t="str">
        <f t="shared" ca="1" si="18"/>
        <v>〇</v>
      </c>
      <c r="AT30" t="str">
        <f t="shared" ca="1" si="19"/>
        <v>〇</v>
      </c>
      <c r="AU30" t="str">
        <f t="shared" ca="1" si="20"/>
        <v>×</v>
      </c>
      <c r="AV30" t="str">
        <f t="shared" ca="1" si="21"/>
        <v>×</v>
      </c>
      <c r="AW30" t="str">
        <f t="shared" ca="1" si="22"/>
        <v>×</v>
      </c>
      <c r="AX30" t="str">
        <f t="shared" ca="1" si="23"/>
        <v>〇</v>
      </c>
    </row>
    <row r="31" spans="1:50">
      <c r="A31" t="str" cm="1">
        <f t="array" aca="1" ref="A31" ca="1">INDIRECT("'"&amp;試験名&amp;"'!A"&amp;ROW()-2)</f>
        <v>文字語彙</v>
      </c>
      <c r="B31">
        <f t="shared" ca="1" si="7"/>
        <v>29</v>
      </c>
      <c r="E31">
        <v>3</v>
      </c>
      <c r="O31">
        <v>3</v>
      </c>
      <c r="P31">
        <v>3</v>
      </c>
      <c r="Q31">
        <v>3</v>
      </c>
      <c r="R31">
        <v>3</v>
      </c>
      <c r="V31">
        <v>3</v>
      </c>
      <c r="W31" s="3">
        <f t="shared" ca="1" si="8"/>
        <v>29</v>
      </c>
      <c r="X31" s="3">
        <f t="shared" ca="1" si="0"/>
        <v>0</v>
      </c>
      <c r="Y31" s="3">
        <f t="shared" ca="1" si="1"/>
        <v>0</v>
      </c>
      <c r="Z31" s="3">
        <f t="shared" ca="1" si="2"/>
        <v>6</v>
      </c>
      <c r="AA31" s="3">
        <f t="shared" ca="1" si="3"/>
        <v>0</v>
      </c>
      <c r="AB31" s="3">
        <f ca="1">IF(W31="","",COUNTA(T_受験者[])/4-COUNTA($C31:$V31))</f>
        <v>0</v>
      </c>
      <c r="AC31" s="3" cm="1">
        <f t="array" aca="1" ref="AC31" ca="1">IF(W31="","",INDIRECT("'"&amp;試験名&amp;"'!B"&amp;ROW()-2))</f>
        <v>3</v>
      </c>
      <c r="AD31" s="4">
        <f ca="1">IF(W31="","",COUNTIF(AE31:AX31,"〇")/(COUNTA(T_受験者[])/4))</f>
        <v>1</v>
      </c>
      <c r="AE31" t="str">
        <f t="shared" ca="1" si="9"/>
        <v>×</v>
      </c>
      <c r="AF31" t="str">
        <f t="shared" ca="1" si="9"/>
        <v>×</v>
      </c>
      <c r="AG31" t="str">
        <f t="shared" ca="1" si="24"/>
        <v>〇</v>
      </c>
      <c r="AH31" t="str">
        <f t="shared" ca="1" si="25"/>
        <v>×</v>
      </c>
      <c r="AI31" t="str">
        <f t="shared" ca="1" si="5"/>
        <v>×</v>
      </c>
      <c r="AJ31" t="str">
        <f t="shared" ca="1" si="6"/>
        <v>×</v>
      </c>
      <c r="AK31" t="str">
        <f t="shared" ca="1" si="10"/>
        <v>×</v>
      </c>
      <c r="AL31" t="str">
        <f t="shared" ca="1" si="11"/>
        <v>×</v>
      </c>
      <c r="AM31" t="str">
        <f t="shared" ca="1" si="12"/>
        <v>×</v>
      </c>
      <c r="AN31" t="str">
        <f t="shared" ca="1" si="13"/>
        <v>×</v>
      </c>
      <c r="AO31" t="str">
        <f t="shared" ca="1" si="14"/>
        <v>×</v>
      </c>
      <c r="AP31" t="str">
        <f t="shared" ca="1" si="15"/>
        <v>×</v>
      </c>
      <c r="AQ31" t="str">
        <f t="shared" ca="1" si="16"/>
        <v>〇</v>
      </c>
      <c r="AR31" t="str">
        <f t="shared" ca="1" si="17"/>
        <v>〇</v>
      </c>
      <c r="AS31" t="str">
        <f t="shared" ca="1" si="18"/>
        <v>〇</v>
      </c>
      <c r="AT31" t="str">
        <f t="shared" ca="1" si="19"/>
        <v>〇</v>
      </c>
      <c r="AU31" t="str">
        <f t="shared" ca="1" si="20"/>
        <v>×</v>
      </c>
      <c r="AV31" t="str">
        <f t="shared" ca="1" si="21"/>
        <v>×</v>
      </c>
      <c r="AW31" t="str">
        <f t="shared" ca="1" si="22"/>
        <v>×</v>
      </c>
      <c r="AX31" t="str">
        <f t="shared" ca="1" si="23"/>
        <v>〇</v>
      </c>
    </row>
    <row r="32" spans="1:50">
      <c r="A32" t="str" cm="1">
        <f t="array" aca="1" ref="A32" ca="1">INDIRECT("'"&amp;試験名&amp;"'!A"&amp;ROW()-2)</f>
        <v>文字語彙</v>
      </c>
      <c r="B32">
        <f t="shared" ca="1" si="7"/>
        <v>30</v>
      </c>
      <c r="E32">
        <v>1</v>
      </c>
      <c r="O32">
        <v>2</v>
      </c>
      <c r="P32">
        <v>2</v>
      </c>
      <c r="Q32">
        <v>4</v>
      </c>
      <c r="R32">
        <v>2</v>
      </c>
      <c r="V32">
        <v>4</v>
      </c>
      <c r="W32" s="3">
        <f t="shared" ca="1" si="8"/>
        <v>30</v>
      </c>
      <c r="X32" s="3">
        <f t="shared" ca="1" si="0"/>
        <v>1</v>
      </c>
      <c r="Y32" s="3">
        <f t="shared" ca="1" si="1"/>
        <v>3</v>
      </c>
      <c r="Z32" s="3">
        <f t="shared" ca="1" si="2"/>
        <v>0</v>
      </c>
      <c r="AA32" s="3">
        <f t="shared" ca="1" si="3"/>
        <v>2</v>
      </c>
      <c r="AB32" s="3">
        <f ca="1">IF(W32="","",COUNTA(T_受験者[])/4-COUNTA($C32:$V32))</f>
        <v>0</v>
      </c>
      <c r="AC32" s="3" cm="1">
        <f t="array" aca="1" ref="AC32" ca="1">IF(W32="","",INDIRECT("'"&amp;試験名&amp;"'!B"&amp;ROW()-2))</f>
        <v>4</v>
      </c>
      <c r="AD32" s="4">
        <f ca="1">IF(W32="","",COUNTIF(AE32:AX32,"〇")/(COUNTA(T_受験者[])/4))</f>
        <v>0.33333333333333331</v>
      </c>
      <c r="AE32" t="str">
        <f t="shared" ca="1" si="9"/>
        <v>×</v>
      </c>
      <c r="AF32" t="str">
        <f t="shared" ca="1" si="9"/>
        <v>×</v>
      </c>
      <c r="AG32" t="str">
        <f t="shared" ca="1" si="24"/>
        <v>×</v>
      </c>
      <c r="AH32" t="str">
        <f t="shared" ca="1" si="25"/>
        <v>×</v>
      </c>
      <c r="AI32" t="str">
        <f t="shared" ca="1" si="5"/>
        <v>×</v>
      </c>
      <c r="AJ32" t="str">
        <f t="shared" ca="1" si="6"/>
        <v>×</v>
      </c>
      <c r="AK32" t="str">
        <f t="shared" ca="1" si="10"/>
        <v>×</v>
      </c>
      <c r="AL32" t="str">
        <f t="shared" ca="1" si="11"/>
        <v>×</v>
      </c>
      <c r="AM32" t="str">
        <f t="shared" ca="1" si="12"/>
        <v>×</v>
      </c>
      <c r="AN32" t="str">
        <f t="shared" ca="1" si="13"/>
        <v>×</v>
      </c>
      <c r="AO32" t="str">
        <f t="shared" ca="1" si="14"/>
        <v>×</v>
      </c>
      <c r="AP32" t="str">
        <f t="shared" ca="1" si="15"/>
        <v>×</v>
      </c>
      <c r="AQ32" t="str">
        <f t="shared" ca="1" si="16"/>
        <v>×</v>
      </c>
      <c r="AR32" t="str">
        <f t="shared" ca="1" si="17"/>
        <v>×</v>
      </c>
      <c r="AS32" t="str">
        <f t="shared" ca="1" si="18"/>
        <v>〇</v>
      </c>
      <c r="AT32" t="str">
        <f t="shared" ca="1" si="19"/>
        <v>×</v>
      </c>
      <c r="AU32" t="str">
        <f t="shared" ca="1" si="20"/>
        <v>×</v>
      </c>
      <c r="AV32" t="str">
        <f t="shared" ca="1" si="21"/>
        <v>×</v>
      </c>
      <c r="AW32" t="str">
        <f t="shared" ca="1" si="22"/>
        <v>×</v>
      </c>
      <c r="AX32" t="str">
        <f t="shared" ca="1" si="23"/>
        <v>〇</v>
      </c>
    </row>
    <row r="33" spans="1:50">
      <c r="A33" t="str" cm="1">
        <f t="array" aca="1" ref="A33" ca="1">INDIRECT("'"&amp;試験名&amp;"'!A"&amp;ROW()-2)</f>
        <v>文字語彙</v>
      </c>
      <c r="B33">
        <f t="shared" ca="1" si="7"/>
        <v>31</v>
      </c>
      <c r="E33">
        <v>1</v>
      </c>
      <c r="O33">
        <v>1</v>
      </c>
      <c r="P33">
        <v>1</v>
      </c>
      <c r="Q33">
        <v>1</v>
      </c>
      <c r="R33">
        <v>3</v>
      </c>
      <c r="V33">
        <v>1</v>
      </c>
      <c r="W33" s="3">
        <f t="shared" ca="1" si="8"/>
        <v>31</v>
      </c>
      <c r="X33" s="3">
        <f t="shared" ca="1" si="0"/>
        <v>5</v>
      </c>
      <c r="Y33" s="3">
        <f t="shared" ca="1" si="1"/>
        <v>0</v>
      </c>
      <c r="Z33" s="3">
        <f t="shared" ca="1" si="2"/>
        <v>1</v>
      </c>
      <c r="AA33" s="3">
        <f t="shared" ca="1" si="3"/>
        <v>0</v>
      </c>
      <c r="AB33" s="3">
        <f ca="1">IF(W33="","",COUNTA(T_受験者[])/4-COUNTA($C33:$V33))</f>
        <v>0</v>
      </c>
      <c r="AC33" s="3" cm="1">
        <f t="array" aca="1" ref="AC33" ca="1">IF(W33="","",INDIRECT("'"&amp;試験名&amp;"'!B"&amp;ROW()-2))</f>
        <v>1</v>
      </c>
      <c r="AD33" s="4">
        <f ca="1">IF(W33="","",COUNTIF(AE33:AX33,"〇")/(COUNTA(T_受験者[])/4))</f>
        <v>0.83333333333333337</v>
      </c>
      <c r="AE33" t="str">
        <f t="shared" ca="1" si="9"/>
        <v>×</v>
      </c>
      <c r="AF33" t="str">
        <f t="shared" ca="1" si="9"/>
        <v>×</v>
      </c>
      <c r="AG33" t="str">
        <f t="shared" ca="1" si="24"/>
        <v>〇</v>
      </c>
      <c r="AH33" t="str">
        <f t="shared" ca="1" si="25"/>
        <v>×</v>
      </c>
      <c r="AI33" t="str">
        <f t="shared" ca="1" si="5"/>
        <v>×</v>
      </c>
      <c r="AJ33" t="str">
        <f t="shared" ca="1" si="6"/>
        <v>×</v>
      </c>
      <c r="AK33" t="str">
        <f t="shared" ca="1" si="10"/>
        <v>×</v>
      </c>
      <c r="AL33" t="str">
        <f t="shared" ca="1" si="11"/>
        <v>×</v>
      </c>
      <c r="AM33" t="str">
        <f t="shared" ca="1" si="12"/>
        <v>×</v>
      </c>
      <c r="AN33" t="str">
        <f t="shared" ca="1" si="13"/>
        <v>×</v>
      </c>
      <c r="AO33" t="str">
        <f t="shared" ca="1" si="14"/>
        <v>×</v>
      </c>
      <c r="AP33" t="str">
        <f t="shared" ca="1" si="15"/>
        <v>×</v>
      </c>
      <c r="AQ33" t="str">
        <f t="shared" ca="1" si="16"/>
        <v>〇</v>
      </c>
      <c r="AR33" t="str">
        <f t="shared" ca="1" si="17"/>
        <v>〇</v>
      </c>
      <c r="AS33" t="str">
        <f t="shared" ca="1" si="18"/>
        <v>〇</v>
      </c>
      <c r="AT33" t="str">
        <f t="shared" ca="1" si="19"/>
        <v>×</v>
      </c>
      <c r="AU33" t="str">
        <f t="shared" ca="1" si="20"/>
        <v>×</v>
      </c>
      <c r="AV33" t="str">
        <f t="shared" ca="1" si="21"/>
        <v>×</v>
      </c>
      <c r="AW33" t="str">
        <f t="shared" ca="1" si="22"/>
        <v>×</v>
      </c>
      <c r="AX33" t="str">
        <f t="shared" ca="1" si="23"/>
        <v>〇</v>
      </c>
    </row>
    <row r="34" spans="1:50">
      <c r="A34" t="str" cm="1">
        <f t="array" aca="1" ref="A34" ca="1">INDIRECT("'"&amp;試験名&amp;"'!A"&amp;ROW()-2)</f>
        <v>文字語彙</v>
      </c>
      <c r="B34">
        <f t="shared" ca="1" si="7"/>
        <v>32</v>
      </c>
      <c r="E34">
        <v>4</v>
      </c>
      <c r="O34">
        <v>4</v>
      </c>
      <c r="P34">
        <v>4</v>
      </c>
      <c r="Q34">
        <v>4</v>
      </c>
      <c r="R34">
        <v>4</v>
      </c>
      <c r="V34">
        <v>4</v>
      </c>
      <c r="W34" s="3">
        <f t="shared" ca="1" si="8"/>
        <v>32</v>
      </c>
      <c r="X34" s="3">
        <f t="shared" ca="1" si="0"/>
        <v>0</v>
      </c>
      <c r="Y34" s="3">
        <f t="shared" ca="1" si="1"/>
        <v>0</v>
      </c>
      <c r="Z34" s="3">
        <f t="shared" ca="1" si="2"/>
        <v>0</v>
      </c>
      <c r="AA34" s="3">
        <f t="shared" ca="1" si="3"/>
        <v>6</v>
      </c>
      <c r="AB34" s="3">
        <f ca="1">IF(W34="","",COUNTA(T_受験者[])/4-COUNTA($C34:$V34))</f>
        <v>0</v>
      </c>
      <c r="AC34" s="3" cm="1">
        <f t="array" aca="1" ref="AC34" ca="1">IF(W34="","",INDIRECT("'"&amp;試験名&amp;"'!B"&amp;ROW()-2))</f>
        <v>4</v>
      </c>
      <c r="AD34" s="4">
        <f ca="1">IF(W34="","",COUNTIF(AE34:AX34,"〇")/(COUNTA(T_受験者[])/4))</f>
        <v>1</v>
      </c>
      <c r="AE34" t="str">
        <f t="shared" ca="1" si="9"/>
        <v>×</v>
      </c>
      <c r="AF34" t="str">
        <f t="shared" ca="1" si="9"/>
        <v>×</v>
      </c>
      <c r="AG34" t="str">
        <f t="shared" ca="1" si="24"/>
        <v>〇</v>
      </c>
      <c r="AH34" t="str">
        <f t="shared" ca="1" si="25"/>
        <v>×</v>
      </c>
      <c r="AI34" t="str">
        <f t="shared" ca="1" si="5"/>
        <v>×</v>
      </c>
      <c r="AJ34" t="str">
        <f t="shared" ca="1" si="6"/>
        <v>×</v>
      </c>
      <c r="AK34" t="str">
        <f t="shared" ca="1" si="10"/>
        <v>×</v>
      </c>
      <c r="AL34" t="str">
        <f t="shared" ca="1" si="11"/>
        <v>×</v>
      </c>
      <c r="AM34" t="str">
        <f t="shared" ca="1" si="12"/>
        <v>×</v>
      </c>
      <c r="AN34" t="str">
        <f t="shared" ca="1" si="13"/>
        <v>×</v>
      </c>
      <c r="AO34" t="str">
        <f t="shared" ca="1" si="14"/>
        <v>×</v>
      </c>
      <c r="AP34" t="str">
        <f t="shared" ca="1" si="15"/>
        <v>×</v>
      </c>
      <c r="AQ34" t="str">
        <f t="shared" ca="1" si="16"/>
        <v>〇</v>
      </c>
      <c r="AR34" t="str">
        <f t="shared" ca="1" si="17"/>
        <v>〇</v>
      </c>
      <c r="AS34" t="str">
        <f t="shared" ca="1" si="18"/>
        <v>〇</v>
      </c>
      <c r="AT34" t="str">
        <f t="shared" ca="1" si="19"/>
        <v>〇</v>
      </c>
      <c r="AU34" t="str">
        <f t="shared" ca="1" si="20"/>
        <v>×</v>
      </c>
      <c r="AV34" t="str">
        <f t="shared" ca="1" si="21"/>
        <v>×</v>
      </c>
      <c r="AW34" t="str">
        <f t="shared" ca="1" si="22"/>
        <v>×</v>
      </c>
      <c r="AX34" t="str">
        <f t="shared" ca="1" si="23"/>
        <v>〇</v>
      </c>
    </row>
    <row r="35" spans="1:50">
      <c r="A35" t="str" cm="1">
        <f t="array" aca="1" ref="A35" ca="1">INDIRECT("'"&amp;試験名&amp;"'!A"&amp;ROW()-2)</f>
        <v>文字語彙</v>
      </c>
      <c r="B35">
        <f t="shared" ca="1" si="7"/>
        <v>33</v>
      </c>
      <c r="E35">
        <v>4</v>
      </c>
      <c r="O35">
        <v>3</v>
      </c>
      <c r="P35">
        <v>3</v>
      </c>
      <c r="Q35">
        <v>3</v>
      </c>
      <c r="R35">
        <v>3</v>
      </c>
      <c r="V35">
        <v>3</v>
      </c>
      <c r="W35" s="3">
        <f t="shared" ca="1" si="8"/>
        <v>33</v>
      </c>
      <c r="X35" s="3">
        <f t="shared" ca="1" si="0"/>
        <v>0</v>
      </c>
      <c r="Y35" s="3">
        <f t="shared" ca="1" si="1"/>
        <v>0</v>
      </c>
      <c r="Z35" s="3">
        <f t="shared" ca="1" si="2"/>
        <v>5</v>
      </c>
      <c r="AA35" s="3">
        <f t="shared" ca="1" si="3"/>
        <v>1</v>
      </c>
      <c r="AB35" s="3">
        <f ca="1">IF(W35="","",COUNTA(T_受験者[])/4-COUNTA($C35:$V35))</f>
        <v>0</v>
      </c>
      <c r="AC35" s="3" cm="1">
        <f t="array" aca="1" ref="AC35" ca="1">IF(W35="","",INDIRECT("'"&amp;試験名&amp;"'!B"&amp;ROW()-2))</f>
        <v>3</v>
      </c>
      <c r="AD35" s="4">
        <f ca="1">IF(W35="","",COUNTIF(AE35:AX35,"〇")/(COUNTA(T_受験者[])/4))</f>
        <v>0.83333333333333337</v>
      </c>
      <c r="AE35" t="str">
        <f t="shared" ca="1" si="9"/>
        <v>×</v>
      </c>
      <c r="AF35" t="str">
        <f t="shared" ca="1" si="9"/>
        <v>×</v>
      </c>
      <c r="AG35" t="str">
        <f t="shared" ca="1" si="24"/>
        <v>×</v>
      </c>
      <c r="AH35" t="str">
        <f t="shared" ca="1" si="25"/>
        <v>×</v>
      </c>
      <c r="AI35" t="str">
        <f t="shared" ca="1" si="5"/>
        <v>×</v>
      </c>
      <c r="AJ35" t="str">
        <f t="shared" ca="1" si="6"/>
        <v>×</v>
      </c>
      <c r="AK35" t="str">
        <f t="shared" ca="1" si="10"/>
        <v>×</v>
      </c>
      <c r="AL35" t="str">
        <f t="shared" ca="1" si="11"/>
        <v>×</v>
      </c>
      <c r="AM35" t="str">
        <f t="shared" ca="1" si="12"/>
        <v>×</v>
      </c>
      <c r="AN35" t="str">
        <f t="shared" ca="1" si="13"/>
        <v>×</v>
      </c>
      <c r="AO35" t="str">
        <f t="shared" ca="1" si="14"/>
        <v>×</v>
      </c>
      <c r="AP35" t="str">
        <f t="shared" ca="1" si="15"/>
        <v>×</v>
      </c>
      <c r="AQ35" t="str">
        <f t="shared" ca="1" si="16"/>
        <v>〇</v>
      </c>
      <c r="AR35" t="str">
        <f t="shared" ca="1" si="17"/>
        <v>〇</v>
      </c>
      <c r="AS35" t="str">
        <f t="shared" ca="1" si="18"/>
        <v>〇</v>
      </c>
      <c r="AT35" t="str">
        <f t="shared" ca="1" si="19"/>
        <v>〇</v>
      </c>
      <c r="AU35" t="str">
        <f t="shared" ca="1" si="20"/>
        <v>×</v>
      </c>
      <c r="AV35" t="str">
        <f t="shared" ca="1" si="21"/>
        <v>×</v>
      </c>
      <c r="AW35" t="str">
        <f t="shared" ca="1" si="22"/>
        <v>×</v>
      </c>
      <c r="AX35" t="str">
        <f t="shared" ca="1" si="23"/>
        <v>〇</v>
      </c>
    </row>
    <row r="36" spans="1:50">
      <c r="A36" t="str" cm="1">
        <f t="array" aca="1" ref="A36" ca="1">INDIRECT("'"&amp;試験名&amp;"'!A"&amp;ROW()-2)</f>
        <v>文字語彙</v>
      </c>
      <c r="B36">
        <f t="shared" ca="1" si="7"/>
        <v>34</v>
      </c>
      <c r="E36">
        <v>2</v>
      </c>
      <c r="O36">
        <v>3</v>
      </c>
      <c r="P36">
        <v>4</v>
      </c>
      <c r="Q36">
        <v>4</v>
      </c>
      <c r="R36">
        <v>3</v>
      </c>
      <c r="V36">
        <v>3</v>
      </c>
      <c r="W36" s="3">
        <f t="shared" ca="1" si="8"/>
        <v>34</v>
      </c>
      <c r="X36" s="3">
        <f t="shared" ca="1" si="0"/>
        <v>0</v>
      </c>
      <c r="Y36" s="3">
        <f t="shared" ca="1" si="1"/>
        <v>1</v>
      </c>
      <c r="Z36" s="3">
        <f t="shared" ca="1" si="2"/>
        <v>3</v>
      </c>
      <c r="AA36" s="3">
        <f t="shared" ca="1" si="3"/>
        <v>2</v>
      </c>
      <c r="AB36" s="3">
        <f ca="1">IF(W36="","",COUNTA(T_受験者[])/4-COUNTA($C36:$V36))</f>
        <v>0</v>
      </c>
      <c r="AC36" s="3" cm="1">
        <f t="array" aca="1" ref="AC36" ca="1">IF(W36="","",INDIRECT("'"&amp;試験名&amp;"'!B"&amp;ROW()-2))</f>
        <v>3</v>
      </c>
      <c r="AD36" s="4">
        <f ca="1">IF(W36="","",COUNTIF(AE36:AX36,"〇")/(COUNTA(T_受験者[])/4))</f>
        <v>0.5</v>
      </c>
      <c r="AE36" t="str">
        <f t="shared" ca="1" si="9"/>
        <v>×</v>
      </c>
      <c r="AF36" t="str">
        <f t="shared" ca="1" si="9"/>
        <v>×</v>
      </c>
      <c r="AG36" t="str">
        <f t="shared" ca="1" si="24"/>
        <v>×</v>
      </c>
      <c r="AH36" t="str">
        <f t="shared" ca="1" si="25"/>
        <v>×</v>
      </c>
      <c r="AI36" t="str">
        <f t="shared" ca="1" si="5"/>
        <v>×</v>
      </c>
      <c r="AJ36" t="str">
        <f t="shared" ca="1" si="6"/>
        <v>×</v>
      </c>
      <c r="AK36" t="str">
        <f t="shared" ca="1" si="10"/>
        <v>×</v>
      </c>
      <c r="AL36" t="str">
        <f t="shared" ca="1" si="11"/>
        <v>×</v>
      </c>
      <c r="AM36" t="str">
        <f t="shared" ca="1" si="12"/>
        <v>×</v>
      </c>
      <c r="AN36" t="str">
        <f t="shared" ca="1" si="13"/>
        <v>×</v>
      </c>
      <c r="AO36" t="str">
        <f t="shared" ca="1" si="14"/>
        <v>×</v>
      </c>
      <c r="AP36" t="str">
        <f t="shared" ca="1" si="15"/>
        <v>×</v>
      </c>
      <c r="AQ36" t="str">
        <f t="shared" ca="1" si="16"/>
        <v>〇</v>
      </c>
      <c r="AR36" t="str">
        <f t="shared" ca="1" si="17"/>
        <v>×</v>
      </c>
      <c r="AS36" t="str">
        <f t="shared" ca="1" si="18"/>
        <v>×</v>
      </c>
      <c r="AT36" t="str">
        <f t="shared" ca="1" si="19"/>
        <v>〇</v>
      </c>
      <c r="AU36" t="str">
        <f t="shared" ca="1" si="20"/>
        <v>×</v>
      </c>
      <c r="AV36" t="str">
        <f t="shared" ca="1" si="21"/>
        <v>×</v>
      </c>
      <c r="AW36" t="str">
        <f t="shared" ca="1" si="22"/>
        <v>×</v>
      </c>
      <c r="AX36" t="str">
        <f t="shared" ca="1" si="23"/>
        <v>〇</v>
      </c>
    </row>
    <row r="37" spans="1:50">
      <c r="A37" t="str" cm="1">
        <f t="array" aca="1" ref="A37" ca="1">INDIRECT("'"&amp;試験名&amp;"'!A"&amp;ROW()-2)</f>
        <v>文法</v>
      </c>
      <c r="B37">
        <f t="shared" ca="1" si="7"/>
        <v>1</v>
      </c>
      <c r="E37">
        <v>3</v>
      </c>
      <c r="O37">
        <v>3</v>
      </c>
      <c r="P37">
        <v>3</v>
      </c>
      <c r="Q37">
        <v>3</v>
      </c>
      <c r="R37">
        <v>3</v>
      </c>
      <c r="V37">
        <v>3</v>
      </c>
      <c r="W37" s="3">
        <f t="shared" ca="1" si="8"/>
        <v>1</v>
      </c>
      <c r="X37" s="3">
        <f t="shared" ca="1" si="0"/>
        <v>0</v>
      </c>
      <c r="Y37" s="3">
        <f t="shared" ca="1" si="1"/>
        <v>0</v>
      </c>
      <c r="Z37" s="3">
        <f t="shared" ca="1" si="2"/>
        <v>6</v>
      </c>
      <c r="AA37" s="3">
        <f t="shared" ca="1" si="3"/>
        <v>0</v>
      </c>
      <c r="AB37" s="3">
        <f ca="1">IF(W37="","",COUNTA(T_受験者[])/4-COUNTA($C37:$V37))</f>
        <v>0</v>
      </c>
      <c r="AC37" s="3" cm="1">
        <f t="array" aca="1" ref="AC37" ca="1">IF(W37="","",INDIRECT("'"&amp;試験名&amp;"'!B"&amp;ROW()-2))</f>
        <v>3</v>
      </c>
      <c r="AD37" s="4">
        <f ca="1">IF(W37="","",COUNTIF(AE37:AX37,"〇")/(COUNTA(T_受験者[])/4))</f>
        <v>1</v>
      </c>
      <c r="AE37" t="str">
        <f t="shared" ca="1" si="9"/>
        <v>×</v>
      </c>
      <c r="AF37" t="str">
        <f t="shared" ca="1" si="9"/>
        <v>×</v>
      </c>
      <c r="AG37" t="str">
        <f t="shared" ca="1" si="24"/>
        <v>〇</v>
      </c>
      <c r="AH37" t="str">
        <f t="shared" ca="1" si="25"/>
        <v>×</v>
      </c>
      <c r="AI37" t="str">
        <f t="shared" ca="1" si="5"/>
        <v>×</v>
      </c>
      <c r="AJ37" t="str">
        <f t="shared" ca="1" si="6"/>
        <v>×</v>
      </c>
      <c r="AK37" t="str">
        <f t="shared" ca="1" si="10"/>
        <v>×</v>
      </c>
      <c r="AL37" t="str">
        <f t="shared" ca="1" si="11"/>
        <v>×</v>
      </c>
      <c r="AM37" t="str">
        <f t="shared" ca="1" si="12"/>
        <v>×</v>
      </c>
      <c r="AN37" t="str">
        <f t="shared" ca="1" si="13"/>
        <v>×</v>
      </c>
      <c r="AO37" t="str">
        <f t="shared" ca="1" si="14"/>
        <v>×</v>
      </c>
      <c r="AP37" t="str">
        <f t="shared" ca="1" si="15"/>
        <v>×</v>
      </c>
      <c r="AQ37" t="str">
        <f t="shared" ca="1" si="16"/>
        <v>〇</v>
      </c>
      <c r="AR37" t="str">
        <f t="shared" ca="1" si="17"/>
        <v>〇</v>
      </c>
      <c r="AS37" t="str">
        <f t="shared" ca="1" si="18"/>
        <v>〇</v>
      </c>
      <c r="AT37" t="str">
        <f t="shared" ca="1" si="19"/>
        <v>〇</v>
      </c>
      <c r="AU37" t="str">
        <f t="shared" ca="1" si="20"/>
        <v>×</v>
      </c>
      <c r="AV37" t="str">
        <f t="shared" ca="1" si="21"/>
        <v>×</v>
      </c>
      <c r="AW37" t="str">
        <f t="shared" ca="1" si="22"/>
        <v>×</v>
      </c>
      <c r="AX37" t="str">
        <f t="shared" ca="1" si="23"/>
        <v>〇</v>
      </c>
    </row>
    <row r="38" spans="1:50">
      <c r="A38" t="str" cm="1">
        <f t="array" aca="1" ref="A38" ca="1">INDIRECT("'"&amp;試験名&amp;"'!A"&amp;ROW()-2)</f>
        <v>文法</v>
      </c>
      <c r="B38">
        <f t="shared" ca="1" si="7"/>
        <v>2</v>
      </c>
      <c r="E38">
        <v>4</v>
      </c>
      <c r="O38">
        <v>3</v>
      </c>
      <c r="P38">
        <v>4</v>
      </c>
      <c r="Q38">
        <v>2</v>
      </c>
      <c r="R38">
        <v>3</v>
      </c>
      <c r="V38">
        <v>3</v>
      </c>
      <c r="W38" s="3">
        <f t="shared" ca="1" si="8"/>
        <v>2</v>
      </c>
      <c r="X38" s="3">
        <f t="shared" ca="1" si="0"/>
        <v>0</v>
      </c>
      <c r="Y38" s="3">
        <f t="shared" ca="1" si="1"/>
        <v>1</v>
      </c>
      <c r="Z38" s="3">
        <f t="shared" ca="1" si="2"/>
        <v>3</v>
      </c>
      <c r="AA38" s="3">
        <f t="shared" ca="1" si="3"/>
        <v>2</v>
      </c>
      <c r="AB38" s="3">
        <f ca="1">IF(W38="","",COUNTA(T_受験者[])/4-COUNTA($C38:$V38))</f>
        <v>0</v>
      </c>
      <c r="AC38" s="3" cm="1">
        <f t="array" aca="1" ref="AC38" ca="1">IF(W38="","",INDIRECT("'"&amp;試験名&amp;"'!B"&amp;ROW()-2))</f>
        <v>3</v>
      </c>
      <c r="AD38" s="4">
        <f ca="1">IF(W38="","",COUNTIF(AE38:AX38,"〇")/(COUNTA(T_受験者[])/4))</f>
        <v>0.5</v>
      </c>
      <c r="AE38" t="str">
        <f t="shared" ca="1" si="9"/>
        <v>×</v>
      </c>
      <c r="AF38" t="str">
        <f t="shared" ca="1" si="9"/>
        <v>×</v>
      </c>
      <c r="AG38" t="str">
        <f t="shared" ca="1" si="24"/>
        <v>×</v>
      </c>
      <c r="AH38" t="str">
        <f t="shared" ca="1" si="25"/>
        <v>×</v>
      </c>
      <c r="AI38" t="str">
        <f t="shared" ca="1" si="5"/>
        <v>×</v>
      </c>
      <c r="AJ38" t="str">
        <f t="shared" ca="1" si="6"/>
        <v>×</v>
      </c>
      <c r="AK38" t="str">
        <f t="shared" ca="1" si="10"/>
        <v>×</v>
      </c>
      <c r="AL38" t="str">
        <f t="shared" ca="1" si="11"/>
        <v>×</v>
      </c>
      <c r="AM38" t="str">
        <f t="shared" ca="1" si="12"/>
        <v>×</v>
      </c>
      <c r="AN38" t="str">
        <f t="shared" ca="1" si="13"/>
        <v>×</v>
      </c>
      <c r="AO38" t="str">
        <f t="shared" ca="1" si="14"/>
        <v>×</v>
      </c>
      <c r="AP38" t="str">
        <f t="shared" ca="1" si="15"/>
        <v>×</v>
      </c>
      <c r="AQ38" t="str">
        <f t="shared" ca="1" si="16"/>
        <v>〇</v>
      </c>
      <c r="AR38" t="str">
        <f t="shared" ca="1" si="17"/>
        <v>×</v>
      </c>
      <c r="AS38" t="str">
        <f t="shared" ca="1" si="18"/>
        <v>×</v>
      </c>
      <c r="AT38" t="str">
        <f t="shared" ca="1" si="19"/>
        <v>〇</v>
      </c>
      <c r="AU38" t="str">
        <f t="shared" ca="1" si="20"/>
        <v>×</v>
      </c>
      <c r="AV38" t="str">
        <f t="shared" ca="1" si="21"/>
        <v>×</v>
      </c>
      <c r="AW38" t="str">
        <f t="shared" ca="1" si="22"/>
        <v>×</v>
      </c>
      <c r="AX38" t="str">
        <f t="shared" ca="1" si="23"/>
        <v>〇</v>
      </c>
    </row>
    <row r="39" spans="1:50">
      <c r="A39" t="str" cm="1">
        <f t="array" aca="1" ref="A39" ca="1">INDIRECT("'"&amp;試験名&amp;"'!A"&amp;ROW()-2)</f>
        <v>文法</v>
      </c>
      <c r="B39">
        <f t="shared" ca="1" si="7"/>
        <v>3</v>
      </c>
      <c r="E39">
        <v>2</v>
      </c>
      <c r="O39">
        <v>2</v>
      </c>
      <c r="P39">
        <v>4</v>
      </c>
      <c r="Q39">
        <v>2</v>
      </c>
      <c r="R39">
        <v>2</v>
      </c>
      <c r="V39">
        <v>4</v>
      </c>
      <c r="W39" s="3">
        <f t="shared" ca="1" si="8"/>
        <v>3</v>
      </c>
      <c r="X39" s="3">
        <f t="shared" ca="1" si="0"/>
        <v>0</v>
      </c>
      <c r="Y39" s="3">
        <f t="shared" ca="1" si="1"/>
        <v>4</v>
      </c>
      <c r="Z39" s="3">
        <f t="shared" ca="1" si="2"/>
        <v>0</v>
      </c>
      <c r="AA39" s="3">
        <f t="shared" ca="1" si="3"/>
        <v>2</v>
      </c>
      <c r="AB39" s="3">
        <f ca="1">IF(W39="","",COUNTA(T_受験者[])/4-COUNTA($C39:$V39))</f>
        <v>0</v>
      </c>
      <c r="AC39" s="3" cm="1">
        <f t="array" aca="1" ref="AC39" ca="1">IF(W39="","",INDIRECT("'"&amp;試験名&amp;"'!B"&amp;ROW()-2))</f>
        <v>2</v>
      </c>
      <c r="AD39" s="4">
        <f ca="1">IF(W39="","",COUNTIF(AE39:AX39,"〇")/(COUNTA(T_受験者[])/4))</f>
        <v>0.66666666666666663</v>
      </c>
      <c r="AE39" t="str">
        <f t="shared" ca="1" si="9"/>
        <v>×</v>
      </c>
      <c r="AF39" t="str">
        <f t="shared" ca="1" si="9"/>
        <v>×</v>
      </c>
      <c r="AG39" t="str">
        <f t="shared" ca="1" si="24"/>
        <v>〇</v>
      </c>
      <c r="AH39" t="str">
        <f t="shared" ca="1" si="25"/>
        <v>×</v>
      </c>
      <c r="AI39" t="str">
        <f t="shared" ca="1" si="5"/>
        <v>×</v>
      </c>
      <c r="AJ39" t="str">
        <f t="shared" ca="1" si="6"/>
        <v>×</v>
      </c>
      <c r="AK39" t="str">
        <f t="shared" ca="1" si="10"/>
        <v>×</v>
      </c>
      <c r="AL39" t="str">
        <f t="shared" ca="1" si="11"/>
        <v>×</v>
      </c>
      <c r="AM39" t="str">
        <f t="shared" ca="1" si="12"/>
        <v>×</v>
      </c>
      <c r="AN39" t="str">
        <f t="shared" ca="1" si="13"/>
        <v>×</v>
      </c>
      <c r="AO39" t="str">
        <f t="shared" ca="1" si="14"/>
        <v>×</v>
      </c>
      <c r="AP39" t="str">
        <f t="shared" ca="1" si="15"/>
        <v>×</v>
      </c>
      <c r="AQ39" t="str">
        <f t="shared" ca="1" si="16"/>
        <v>〇</v>
      </c>
      <c r="AR39" t="str">
        <f t="shared" ca="1" si="17"/>
        <v>×</v>
      </c>
      <c r="AS39" t="str">
        <f t="shared" ca="1" si="18"/>
        <v>〇</v>
      </c>
      <c r="AT39" t="str">
        <f t="shared" ca="1" si="19"/>
        <v>〇</v>
      </c>
      <c r="AU39" t="str">
        <f t="shared" ca="1" si="20"/>
        <v>×</v>
      </c>
      <c r="AV39" t="str">
        <f t="shared" ca="1" si="21"/>
        <v>×</v>
      </c>
      <c r="AW39" t="str">
        <f t="shared" ca="1" si="22"/>
        <v>×</v>
      </c>
      <c r="AX39" t="str">
        <f t="shared" ca="1" si="23"/>
        <v>×</v>
      </c>
    </row>
    <row r="40" spans="1:50">
      <c r="A40" t="str" cm="1">
        <f t="array" aca="1" ref="A40" ca="1">INDIRECT("'"&amp;試験名&amp;"'!A"&amp;ROW()-2)</f>
        <v>文法</v>
      </c>
      <c r="B40">
        <f t="shared" ca="1" si="7"/>
        <v>4</v>
      </c>
      <c r="E40">
        <v>1</v>
      </c>
      <c r="O40">
        <v>3</v>
      </c>
      <c r="P40">
        <v>3</v>
      </c>
      <c r="Q40">
        <v>3</v>
      </c>
      <c r="R40">
        <v>3</v>
      </c>
      <c r="V40">
        <v>1</v>
      </c>
      <c r="W40" s="3">
        <f t="shared" ca="1" si="8"/>
        <v>4</v>
      </c>
      <c r="X40" s="3">
        <f t="shared" ca="1" si="0"/>
        <v>2</v>
      </c>
      <c r="Y40" s="3">
        <f t="shared" ca="1" si="1"/>
        <v>0</v>
      </c>
      <c r="Z40" s="3">
        <f t="shared" ca="1" si="2"/>
        <v>4</v>
      </c>
      <c r="AA40" s="3">
        <f t="shared" ca="1" si="3"/>
        <v>0</v>
      </c>
      <c r="AB40" s="3">
        <f ca="1">IF(W40="","",COUNTA(T_受験者[])/4-COUNTA($C40:$V40))</f>
        <v>0</v>
      </c>
      <c r="AC40" s="3" cm="1">
        <f t="array" aca="1" ref="AC40" ca="1">IF(W40="","",INDIRECT("'"&amp;試験名&amp;"'!B"&amp;ROW()-2))</f>
        <v>1</v>
      </c>
      <c r="AD40" s="4">
        <f ca="1">IF(W40="","",COUNTIF(AE40:AX40,"〇")/(COUNTA(T_受験者[])/4))</f>
        <v>0.33333333333333331</v>
      </c>
      <c r="AE40" t="str">
        <f t="shared" ca="1" si="9"/>
        <v>×</v>
      </c>
      <c r="AF40" t="str">
        <f t="shared" ca="1" si="9"/>
        <v>×</v>
      </c>
      <c r="AG40" t="str">
        <f t="shared" ca="1" si="24"/>
        <v>〇</v>
      </c>
      <c r="AH40" t="str">
        <f t="shared" ca="1" si="25"/>
        <v>×</v>
      </c>
      <c r="AI40" t="str">
        <f t="shared" ca="1" si="5"/>
        <v>×</v>
      </c>
      <c r="AJ40" t="str">
        <f t="shared" ca="1" si="6"/>
        <v>×</v>
      </c>
      <c r="AK40" t="str">
        <f t="shared" ca="1" si="10"/>
        <v>×</v>
      </c>
      <c r="AL40" t="str">
        <f t="shared" ca="1" si="11"/>
        <v>×</v>
      </c>
      <c r="AM40" t="str">
        <f t="shared" ca="1" si="12"/>
        <v>×</v>
      </c>
      <c r="AN40" t="str">
        <f t="shared" ca="1" si="13"/>
        <v>×</v>
      </c>
      <c r="AO40" t="str">
        <f t="shared" ca="1" si="14"/>
        <v>×</v>
      </c>
      <c r="AP40" t="str">
        <f t="shared" ca="1" si="15"/>
        <v>×</v>
      </c>
      <c r="AQ40" t="str">
        <f t="shared" ca="1" si="16"/>
        <v>×</v>
      </c>
      <c r="AR40" t="str">
        <f t="shared" ca="1" si="17"/>
        <v>×</v>
      </c>
      <c r="AS40" t="str">
        <f t="shared" ca="1" si="18"/>
        <v>×</v>
      </c>
      <c r="AT40" t="str">
        <f t="shared" ca="1" si="19"/>
        <v>×</v>
      </c>
      <c r="AU40" t="str">
        <f t="shared" ca="1" si="20"/>
        <v>×</v>
      </c>
      <c r="AV40" t="str">
        <f t="shared" ca="1" si="21"/>
        <v>×</v>
      </c>
      <c r="AW40" t="str">
        <f t="shared" ca="1" si="22"/>
        <v>×</v>
      </c>
      <c r="AX40" t="str">
        <f t="shared" ca="1" si="23"/>
        <v>〇</v>
      </c>
    </row>
    <row r="41" spans="1:50">
      <c r="A41" t="str" cm="1">
        <f t="array" aca="1" ref="A41" ca="1">INDIRECT("'"&amp;試験名&amp;"'!A"&amp;ROW()-2)</f>
        <v>文法</v>
      </c>
      <c r="B41">
        <f t="shared" ca="1" si="7"/>
        <v>5</v>
      </c>
      <c r="E41">
        <v>2</v>
      </c>
      <c r="O41">
        <v>4</v>
      </c>
      <c r="P41">
        <v>4</v>
      </c>
      <c r="Q41">
        <v>4</v>
      </c>
      <c r="R41">
        <v>4</v>
      </c>
      <c r="V41">
        <v>4</v>
      </c>
      <c r="W41" s="3">
        <f t="shared" ca="1" si="8"/>
        <v>5</v>
      </c>
      <c r="X41" s="3">
        <f t="shared" ca="1" si="0"/>
        <v>0</v>
      </c>
      <c r="Y41" s="3">
        <f t="shared" ca="1" si="1"/>
        <v>1</v>
      </c>
      <c r="Z41" s="3">
        <f t="shared" ca="1" si="2"/>
        <v>0</v>
      </c>
      <c r="AA41" s="3">
        <f t="shared" ca="1" si="3"/>
        <v>5</v>
      </c>
      <c r="AB41" s="3">
        <f ca="1">IF(W41="","",COUNTA(T_受験者[])/4-COUNTA($C41:$V41))</f>
        <v>0</v>
      </c>
      <c r="AC41" s="3" cm="1">
        <f t="array" aca="1" ref="AC41" ca="1">IF(W41="","",INDIRECT("'"&amp;試験名&amp;"'!B"&amp;ROW()-2))</f>
        <v>4</v>
      </c>
      <c r="AD41" s="4">
        <f ca="1">IF(W41="","",COUNTIF(AE41:AX41,"〇")/(COUNTA(T_受験者[])/4))</f>
        <v>0.83333333333333337</v>
      </c>
      <c r="AE41" t="str">
        <f t="shared" ca="1" si="9"/>
        <v>×</v>
      </c>
      <c r="AF41" t="str">
        <f t="shared" ca="1" si="9"/>
        <v>×</v>
      </c>
      <c r="AG41" t="str">
        <f t="shared" ca="1" si="24"/>
        <v>×</v>
      </c>
      <c r="AH41" t="str">
        <f t="shared" ca="1" si="25"/>
        <v>×</v>
      </c>
      <c r="AI41" t="str">
        <f t="shared" ca="1" si="5"/>
        <v>×</v>
      </c>
      <c r="AJ41" t="str">
        <f t="shared" ca="1" si="6"/>
        <v>×</v>
      </c>
      <c r="AK41" t="str">
        <f t="shared" ca="1" si="10"/>
        <v>×</v>
      </c>
      <c r="AL41" t="str">
        <f t="shared" ca="1" si="11"/>
        <v>×</v>
      </c>
      <c r="AM41" t="str">
        <f t="shared" ca="1" si="12"/>
        <v>×</v>
      </c>
      <c r="AN41" t="str">
        <f t="shared" ca="1" si="13"/>
        <v>×</v>
      </c>
      <c r="AO41" t="str">
        <f t="shared" ca="1" si="14"/>
        <v>×</v>
      </c>
      <c r="AP41" t="str">
        <f t="shared" ca="1" si="15"/>
        <v>×</v>
      </c>
      <c r="AQ41" t="str">
        <f t="shared" ca="1" si="16"/>
        <v>〇</v>
      </c>
      <c r="AR41" t="str">
        <f t="shared" ca="1" si="17"/>
        <v>〇</v>
      </c>
      <c r="AS41" t="str">
        <f t="shared" ca="1" si="18"/>
        <v>〇</v>
      </c>
      <c r="AT41" t="str">
        <f t="shared" ca="1" si="19"/>
        <v>〇</v>
      </c>
      <c r="AU41" t="str">
        <f t="shared" ca="1" si="20"/>
        <v>×</v>
      </c>
      <c r="AV41" t="str">
        <f t="shared" ca="1" si="21"/>
        <v>×</v>
      </c>
      <c r="AW41" t="str">
        <f t="shared" ca="1" si="22"/>
        <v>×</v>
      </c>
      <c r="AX41" t="str">
        <f t="shared" ca="1" si="23"/>
        <v>〇</v>
      </c>
    </row>
    <row r="42" spans="1:50">
      <c r="A42" t="str" cm="1">
        <f t="array" aca="1" ref="A42" ca="1">INDIRECT("'"&amp;試験名&amp;"'!A"&amp;ROW()-2)</f>
        <v>文法</v>
      </c>
      <c r="B42">
        <f t="shared" ca="1" si="7"/>
        <v>6</v>
      </c>
      <c r="E42">
        <v>4</v>
      </c>
      <c r="O42">
        <v>1</v>
      </c>
      <c r="P42">
        <v>4</v>
      </c>
      <c r="Q42">
        <v>2</v>
      </c>
      <c r="R42">
        <v>1</v>
      </c>
      <c r="V42">
        <v>4</v>
      </c>
      <c r="W42" s="3">
        <f t="shared" ca="1" si="8"/>
        <v>6</v>
      </c>
      <c r="X42" s="3">
        <f t="shared" ca="1" si="0"/>
        <v>2</v>
      </c>
      <c r="Y42" s="3">
        <f t="shared" ca="1" si="1"/>
        <v>1</v>
      </c>
      <c r="Z42" s="3">
        <f t="shared" ca="1" si="2"/>
        <v>0</v>
      </c>
      <c r="AA42" s="3">
        <f t="shared" ca="1" si="3"/>
        <v>3</v>
      </c>
      <c r="AB42" s="3">
        <f ca="1">IF(W42="","",COUNTA(T_受験者[])/4-COUNTA($C42:$V42))</f>
        <v>0</v>
      </c>
      <c r="AC42" s="3" cm="1">
        <f t="array" aca="1" ref="AC42" ca="1">IF(W42="","",INDIRECT("'"&amp;試験名&amp;"'!B"&amp;ROW()-2))</f>
        <v>4</v>
      </c>
      <c r="AD42" s="4">
        <f ca="1">IF(W42="","",COUNTIF(AE42:AX42,"〇")/(COUNTA(T_受験者[])/4))</f>
        <v>0.5</v>
      </c>
      <c r="AE42" t="str">
        <f t="shared" ca="1" si="9"/>
        <v>×</v>
      </c>
      <c r="AF42" t="str">
        <f t="shared" ca="1" si="9"/>
        <v>×</v>
      </c>
      <c r="AG42" t="str">
        <f t="shared" ca="1" si="24"/>
        <v>〇</v>
      </c>
      <c r="AH42" t="str">
        <f t="shared" ca="1" si="25"/>
        <v>×</v>
      </c>
      <c r="AI42" t="str">
        <f t="shared" ca="1" si="5"/>
        <v>×</v>
      </c>
      <c r="AJ42" t="str">
        <f t="shared" ca="1" si="6"/>
        <v>×</v>
      </c>
      <c r="AK42" t="str">
        <f t="shared" ca="1" si="10"/>
        <v>×</v>
      </c>
      <c r="AL42" t="str">
        <f t="shared" ca="1" si="11"/>
        <v>×</v>
      </c>
      <c r="AM42" t="str">
        <f t="shared" ca="1" si="12"/>
        <v>×</v>
      </c>
      <c r="AN42" t="str">
        <f t="shared" ca="1" si="13"/>
        <v>×</v>
      </c>
      <c r="AO42" t="str">
        <f t="shared" ca="1" si="14"/>
        <v>×</v>
      </c>
      <c r="AP42" t="str">
        <f t="shared" ca="1" si="15"/>
        <v>×</v>
      </c>
      <c r="AQ42" t="str">
        <f t="shared" ca="1" si="16"/>
        <v>×</v>
      </c>
      <c r="AR42" t="str">
        <f t="shared" ca="1" si="17"/>
        <v>〇</v>
      </c>
      <c r="AS42" t="str">
        <f t="shared" ca="1" si="18"/>
        <v>×</v>
      </c>
      <c r="AT42" t="str">
        <f t="shared" ca="1" si="19"/>
        <v>×</v>
      </c>
      <c r="AU42" t="str">
        <f t="shared" ca="1" si="20"/>
        <v>×</v>
      </c>
      <c r="AV42" t="str">
        <f t="shared" ca="1" si="21"/>
        <v>×</v>
      </c>
      <c r="AW42" t="str">
        <f t="shared" ca="1" si="22"/>
        <v>×</v>
      </c>
      <c r="AX42" t="str">
        <f t="shared" ca="1" si="23"/>
        <v>〇</v>
      </c>
    </row>
    <row r="43" spans="1:50">
      <c r="A43" t="str" cm="1">
        <f t="array" aca="1" ref="A43" ca="1">INDIRECT("'"&amp;試験名&amp;"'!A"&amp;ROW()-2)</f>
        <v>文法</v>
      </c>
      <c r="B43">
        <f t="shared" ca="1" si="7"/>
        <v>7</v>
      </c>
      <c r="E43">
        <v>4</v>
      </c>
      <c r="O43">
        <v>1</v>
      </c>
      <c r="P43">
        <v>1</v>
      </c>
      <c r="Q43">
        <v>1</v>
      </c>
      <c r="R43">
        <v>1</v>
      </c>
      <c r="V43">
        <v>1</v>
      </c>
      <c r="W43" s="3">
        <f t="shared" ca="1" si="8"/>
        <v>7</v>
      </c>
      <c r="X43" s="3">
        <f t="shared" ca="1" si="0"/>
        <v>5</v>
      </c>
      <c r="Y43" s="3">
        <f t="shared" ca="1" si="1"/>
        <v>0</v>
      </c>
      <c r="Z43" s="3">
        <f t="shared" ca="1" si="2"/>
        <v>0</v>
      </c>
      <c r="AA43" s="3">
        <f t="shared" ca="1" si="3"/>
        <v>1</v>
      </c>
      <c r="AB43" s="3">
        <f ca="1">IF(W43="","",COUNTA(T_受験者[])/4-COUNTA($C43:$V43))</f>
        <v>0</v>
      </c>
      <c r="AC43" s="3" cm="1">
        <f t="array" aca="1" ref="AC43" ca="1">IF(W43="","",INDIRECT("'"&amp;試験名&amp;"'!B"&amp;ROW()-2))</f>
        <v>1</v>
      </c>
      <c r="AD43" s="4">
        <f ca="1">IF(W43="","",COUNTIF(AE43:AX43,"〇")/(COUNTA(T_受験者[])/4))</f>
        <v>0.83333333333333337</v>
      </c>
      <c r="AE43" t="str">
        <f t="shared" ca="1" si="9"/>
        <v>×</v>
      </c>
      <c r="AF43" t="str">
        <f t="shared" ca="1" si="9"/>
        <v>×</v>
      </c>
      <c r="AG43" t="str">
        <f t="shared" ca="1" si="24"/>
        <v>×</v>
      </c>
      <c r="AH43" t="str">
        <f t="shared" ca="1" si="25"/>
        <v>×</v>
      </c>
      <c r="AI43" t="str">
        <f t="shared" ca="1" si="5"/>
        <v>×</v>
      </c>
      <c r="AJ43" t="str">
        <f t="shared" ca="1" si="6"/>
        <v>×</v>
      </c>
      <c r="AK43" t="str">
        <f t="shared" ca="1" si="10"/>
        <v>×</v>
      </c>
      <c r="AL43" t="str">
        <f t="shared" ca="1" si="11"/>
        <v>×</v>
      </c>
      <c r="AM43" t="str">
        <f t="shared" ca="1" si="12"/>
        <v>×</v>
      </c>
      <c r="AN43" t="str">
        <f t="shared" ca="1" si="13"/>
        <v>×</v>
      </c>
      <c r="AO43" t="str">
        <f t="shared" ca="1" si="14"/>
        <v>×</v>
      </c>
      <c r="AP43" t="str">
        <f t="shared" ca="1" si="15"/>
        <v>×</v>
      </c>
      <c r="AQ43" t="str">
        <f t="shared" ca="1" si="16"/>
        <v>〇</v>
      </c>
      <c r="AR43" t="str">
        <f t="shared" ca="1" si="17"/>
        <v>〇</v>
      </c>
      <c r="AS43" t="str">
        <f t="shared" ca="1" si="18"/>
        <v>〇</v>
      </c>
      <c r="AT43" t="str">
        <f t="shared" ca="1" si="19"/>
        <v>〇</v>
      </c>
      <c r="AU43" t="str">
        <f t="shared" ca="1" si="20"/>
        <v>×</v>
      </c>
      <c r="AV43" t="str">
        <f t="shared" ca="1" si="21"/>
        <v>×</v>
      </c>
      <c r="AW43" t="str">
        <f t="shared" ca="1" si="22"/>
        <v>×</v>
      </c>
      <c r="AX43" t="str">
        <f t="shared" ca="1" si="23"/>
        <v>〇</v>
      </c>
    </row>
    <row r="44" spans="1:50">
      <c r="A44" t="str" cm="1">
        <f t="array" aca="1" ref="A44" ca="1">INDIRECT("'"&amp;試験名&amp;"'!A"&amp;ROW()-2)</f>
        <v>文法</v>
      </c>
      <c r="B44">
        <f t="shared" ca="1" si="7"/>
        <v>8</v>
      </c>
      <c r="E44">
        <v>1</v>
      </c>
      <c r="O44">
        <v>2</v>
      </c>
      <c r="P44">
        <v>2</v>
      </c>
      <c r="Q44">
        <v>1</v>
      </c>
      <c r="R44">
        <v>3</v>
      </c>
      <c r="V44">
        <v>1</v>
      </c>
      <c r="W44" s="3">
        <f t="shared" ca="1" si="8"/>
        <v>8</v>
      </c>
      <c r="X44" s="3">
        <f t="shared" ca="1" si="0"/>
        <v>3</v>
      </c>
      <c r="Y44" s="3">
        <f t="shared" ca="1" si="1"/>
        <v>2</v>
      </c>
      <c r="Z44" s="3">
        <f t="shared" ca="1" si="2"/>
        <v>1</v>
      </c>
      <c r="AA44" s="3">
        <f t="shared" ca="1" si="3"/>
        <v>0</v>
      </c>
      <c r="AB44" s="3">
        <f ca="1">IF(W44="","",COUNTA(T_受験者[])/4-COUNTA($C44:$V44))</f>
        <v>0</v>
      </c>
      <c r="AC44" s="3" cm="1">
        <f t="array" aca="1" ref="AC44" ca="1">IF(W44="","",INDIRECT("'"&amp;試験名&amp;"'!B"&amp;ROW()-2))</f>
        <v>4</v>
      </c>
      <c r="AD44" s="4">
        <f ca="1">IF(W44="","",COUNTIF(AE44:AX44,"〇")/(COUNTA(T_受験者[])/4))</f>
        <v>0</v>
      </c>
      <c r="AE44" t="str">
        <f t="shared" ca="1" si="9"/>
        <v>×</v>
      </c>
      <c r="AF44" t="str">
        <f t="shared" ca="1" si="9"/>
        <v>×</v>
      </c>
      <c r="AG44" t="str">
        <f t="shared" ca="1" si="24"/>
        <v>×</v>
      </c>
      <c r="AH44" t="str">
        <f t="shared" ca="1" si="25"/>
        <v>×</v>
      </c>
      <c r="AI44" t="str">
        <f t="shared" ca="1" si="5"/>
        <v>×</v>
      </c>
      <c r="AJ44" t="str">
        <f t="shared" ca="1" si="6"/>
        <v>×</v>
      </c>
      <c r="AK44" t="str">
        <f t="shared" ca="1" si="10"/>
        <v>×</v>
      </c>
      <c r="AL44" t="str">
        <f t="shared" ca="1" si="11"/>
        <v>×</v>
      </c>
      <c r="AM44" t="str">
        <f t="shared" ca="1" si="12"/>
        <v>×</v>
      </c>
      <c r="AN44" t="str">
        <f t="shared" ca="1" si="13"/>
        <v>×</v>
      </c>
      <c r="AO44" t="str">
        <f t="shared" ca="1" si="14"/>
        <v>×</v>
      </c>
      <c r="AP44" t="str">
        <f t="shared" ca="1" si="15"/>
        <v>×</v>
      </c>
      <c r="AQ44" t="str">
        <f t="shared" ca="1" si="16"/>
        <v>×</v>
      </c>
      <c r="AR44" t="str">
        <f t="shared" ca="1" si="17"/>
        <v>×</v>
      </c>
      <c r="AS44" t="str">
        <f t="shared" ca="1" si="18"/>
        <v>×</v>
      </c>
      <c r="AT44" t="str">
        <f t="shared" ca="1" si="19"/>
        <v>×</v>
      </c>
      <c r="AU44" t="str">
        <f t="shared" ca="1" si="20"/>
        <v>×</v>
      </c>
      <c r="AV44" t="str">
        <f t="shared" ca="1" si="21"/>
        <v>×</v>
      </c>
      <c r="AW44" t="str">
        <f t="shared" ca="1" si="22"/>
        <v>×</v>
      </c>
      <c r="AX44" t="str">
        <f t="shared" ca="1" si="23"/>
        <v>×</v>
      </c>
    </row>
    <row r="45" spans="1:50">
      <c r="A45" t="str" cm="1">
        <f t="array" aca="1" ref="A45" ca="1">INDIRECT("'"&amp;試験名&amp;"'!A"&amp;ROW()-2)</f>
        <v>文法</v>
      </c>
      <c r="B45">
        <f t="shared" ca="1" si="7"/>
        <v>9</v>
      </c>
      <c r="E45">
        <v>3</v>
      </c>
      <c r="O45">
        <v>3</v>
      </c>
      <c r="P45">
        <v>1</v>
      </c>
      <c r="Q45">
        <v>3</v>
      </c>
      <c r="R45">
        <v>4</v>
      </c>
      <c r="V45">
        <v>3</v>
      </c>
      <c r="W45" s="3">
        <f t="shared" ca="1" si="8"/>
        <v>9</v>
      </c>
      <c r="X45" s="3">
        <f t="shared" ca="1" si="0"/>
        <v>1</v>
      </c>
      <c r="Y45" s="3">
        <f t="shared" ca="1" si="1"/>
        <v>0</v>
      </c>
      <c r="Z45" s="3">
        <f t="shared" ca="1" si="2"/>
        <v>4</v>
      </c>
      <c r="AA45" s="3">
        <f t="shared" ca="1" si="3"/>
        <v>1</v>
      </c>
      <c r="AB45" s="3">
        <f ca="1">IF(W45="","",COUNTA(T_受験者[])/4-COUNTA($C45:$V45))</f>
        <v>0</v>
      </c>
      <c r="AC45" s="3" cm="1">
        <f t="array" aca="1" ref="AC45" ca="1">IF(W45="","",INDIRECT("'"&amp;試験名&amp;"'!B"&amp;ROW()-2))</f>
        <v>3</v>
      </c>
      <c r="AD45" s="4">
        <f ca="1">IF(W45="","",COUNTIF(AE45:AX45,"〇")/(COUNTA(T_受験者[])/4))</f>
        <v>0.66666666666666663</v>
      </c>
      <c r="AE45" t="str">
        <f t="shared" ca="1" si="9"/>
        <v>×</v>
      </c>
      <c r="AF45" t="str">
        <f t="shared" ca="1" si="9"/>
        <v>×</v>
      </c>
      <c r="AG45" t="str">
        <f t="shared" ca="1" si="24"/>
        <v>〇</v>
      </c>
      <c r="AH45" t="str">
        <f t="shared" ca="1" si="25"/>
        <v>×</v>
      </c>
      <c r="AI45" t="str">
        <f t="shared" ca="1" si="5"/>
        <v>×</v>
      </c>
      <c r="AJ45" t="str">
        <f t="shared" ca="1" si="6"/>
        <v>×</v>
      </c>
      <c r="AK45" t="str">
        <f t="shared" ca="1" si="10"/>
        <v>×</v>
      </c>
      <c r="AL45" t="str">
        <f t="shared" ca="1" si="11"/>
        <v>×</v>
      </c>
      <c r="AM45" t="str">
        <f t="shared" ca="1" si="12"/>
        <v>×</v>
      </c>
      <c r="AN45" t="str">
        <f t="shared" ca="1" si="13"/>
        <v>×</v>
      </c>
      <c r="AO45" t="str">
        <f t="shared" ca="1" si="14"/>
        <v>×</v>
      </c>
      <c r="AP45" t="str">
        <f t="shared" ca="1" si="15"/>
        <v>×</v>
      </c>
      <c r="AQ45" t="str">
        <f t="shared" ca="1" si="16"/>
        <v>〇</v>
      </c>
      <c r="AR45" t="str">
        <f t="shared" ca="1" si="17"/>
        <v>×</v>
      </c>
      <c r="AS45" t="str">
        <f t="shared" ca="1" si="18"/>
        <v>〇</v>
      </c>
      <c r="AT45" t="str">
        <f t="shared" ca="1" si="19"/>
        <v>×</v>
      </c>
      <c r="AU45" t="str">
        <f t="shared" ca="1" si="20"/>
        <v>×</v>
      </c>
      <c r="AV45" t="str">
        <f t="shared" ca="1" si="21"/>
        <v>×</v>
      </c>
      <c r="AW45" t="str">
        <f t="shared" ca="1" si="22"/>
        <v>×</v>
      </c>
      <c r="AX45" t="str">
        <f t="shared" ca="1" si="23"/>
        <v>〇</v>
      </c>
    </row>
    <row r="46" spans="1:50">
      <c r="A46" t="str" cm="1">
        <f t="array" aca="1" ref="A46" ca="1">INDIRECT("'"&amp;試験名&amp;"'!A"&amp;ROW()-2)</f>
        <v>文法</v>
      </c>
      <c r="B46">
        <f t="shared" ca="1" si="7"/>
        <v>10</v>
      </c>
      <c r="E46">
        <v>1</v>
      </c>
      <c r="O46">
        <v>4</v>
      </c>
      <c r="P46">
        <v>2</v>
      </c>
      <c r="Q46">
        <v>2</v>
      </c>
      <c r="R46">
        <v>4</v>
      </c>
      <c r="V46">
        <v>4</v>
      </c>
      <c r="W46" s="3">
        <f t="shared" ca="1" si="8"/>
        <v>10</v>
      </c>
      <c r="X46" s="3">
        <f t="shared" ca="1" si="0"/>
        <v>1</v>
      </c>
      <c r="Y46" s="3">
        <f t="shared" ca="1" si="1"/>
        <v>2</v>
      </c>
      <c r="Z46" s="3">
        <f t="shared" ca="1" si="2"/>
        <v>0</v>
      </c>
      <c r="AA46" s="3">
        <f t="shared" ca="1" si="3"/>
        <v>3</v>
      </c>
      <c r="AB46" s="3">
        <f ca="1">IF(W46="","",COUNTA(T_受験者[])/4-COUNTA($C46:$V46))</f>
        <v>0</v>
      </c>
      <c r="AC46" s="3" cm="1">
        <f t="array" aca="1" ref="AC46" ca="1">IF(W46="","",INDIRECT("'"&amp;試験名&amp;"'!B"&amp;ROW()-2))</f>
        <v>4</v>
      </c>
      <c r="AD46" s="4">
        <f ca="1">IF(W46="","",COUNTIF(AE46:AX46,"〇")/(COUNTA(T_受験者[])/4))</f>
        <v>0.5</v>
      </c>
      <c r="AE46" t="str">
        <f t="shared" ca="1" si="9"/>
        <v>×</v>
      </c>
      <c r="AF46" t="str">
        <f t="shared" ca="1" si="9"/>
        <v>×</v>
      </c>
      <c r="AG46" t="str">
        <f t="shared" ca="1" si="24"/>
        <v>×</v>
      </c>
      <c r="AH46" t="str">
        <f t="shared" ca="1" si="25"/>
        <v>×</v>
      </c>
      <c r="AI46" t="str">
        <f t="shared" ca="1" si="5"/>
        <v>×</v>
      </c>
      <c r="AJ46" t="str">
        <f t="shared" ca="1" si="6"/>
        <v>×</v>
      </c>
      <c r="AK46" t="str">
        <f t="shared" ca="1" si="10"/>
        <v>×</v>
      </c>
      <c r="AL46" t="str">
        <f t="shared" ca="1" si="11"/>
        <v>×</v>
      </c>
      <c r="AM46" t="str">
        <f t="shared" ca="1" si="12"/>
        <v>×</v>
      </c>
      <c r="AN46" t="str">
        <f t="shared" ca="1" si="13"/>
        <v>×</v>
      </c>
      <c r="AO46" t="str">
        <f t="shared" ca="1" si="14"/>
        <v>×</v>
      </c>
      <c r="AP46" t="str">
        <f t="shared" ca="1" si="15"/>
        <v>×</v>
      </c>
      <c r="AQ46" t="str">
        <f t="shared" ca="1" si="16"/>
        <v>〇</v>
      </c>
      <c r="AR46" t="str">
        <f t="shared" ca="1" si="17"/>
        <v>×</v>
      </c>
      <c r="AS46" t="str">
        <f t="shared" ca="1" si="18"/>
        <v>×</v>
      </c>
      <c r="AT46" t="str">
        <f t="shared" ca="1" si="19"/>
        <v>〇</v>
      </c>
      <c r="AU46" t="str">
        <f t="shared" ca="1" si="20"/>
        <v>×</v>
      </c>
      <c r="AV46" t="str">
        <f t="shared" ca="1" si="21"/>
        <v>×</v>
      </c>
      <c r="AW46" t="str">
        <f t="shared" ca="1" si="22"/>
        <v>×</v>
      </c>
      <c r="AX46" t="str">
        <f t="shared" ca="1" si="23"/>
        <v>〇</v>
      </c>
    </row>
    <row r="47" spans="1:50">
      <c r="A47" t="str" cm="1">
        <f t="array" aca="1" ref="A47" ca="1">INDIRECT("'"&amp;試験名&amp;"'!A"&amp;ROW()-2)</f>
        <v>文法</v>
      </c>
      <c r="B47">
        <f t="shared" ca="1" si="7"/>
        <v>11</v>
      </c>
      <c r="E47">
        <v>1</v>
      </c>
      <c r="O47">
        <v>1</v>
      </c>
      <c r="P47">
        <v>1</v>
      </c>
      <c r="Q47">
        <v>2</v>
      </c>
      <c r="R47">
        <v>2</v>
      </c>
      <c r="V47">
        <v>3</v>
      </c>
      <c r="W47" s="3">
        <f t="shared" ca="1" si="8"/>
        <v>11</v>
      </c>
      <c r="X47" s="3">
        <f t="shared" ca="1" si="0"/>
        <v>3</v>
      </c>
      <c r="Y47" s="3">
        <f t="shared" ca="1" si="1"/>
        <v>2</v>
      </c>
      <c r="Z47" s="3">
        <f t="shared" ca="1" si="2"/>
        <v>1</v>
      </c>
      <c r="AA47" s="3">
        <f t="shared" ca="1" si="3"/>
        <v>0</v>
      </c>
      <c r="AB47" s="3">
        <f ca="1">IF(W47="","",COUNTA(T_受験者[])/4-COUNTA($C47:$V47))</f>
        <v>0</v>
      </c>
      <c r="AC47" s="3" cm="1">
        <f t="array" aca="1" ref="AC47" ca="1">IF(W47="","",INDIRECT("'"&amp;試験名&amp;"'!B"&amp;ROW()-2))</f>
        <v>4</v>
      </c>
      <c r="AD47" s="4">
        <f ca="1">IF(W47="","",COUNTIF(AE47:AX47,"〇")/(COUNTA(T_受験者[])/4))</f>
        <v>0</v>
      </c>
      <c r="AE47" t="str">
        <f t="shared" ca="1" si="9"/>
        <v>×</v>
      </c>
      <c r="AF47" t="str">
        <f t="shared" ca="1" si="9"/>
        <v>×</v>
      </c>
      <c r="AG47" t="str">
        <f t="shared" ca="1" si="24"/>
        <v>×</v>
      </c>
      <c r="AH47" t="str">
        <f t="shared" ca="1" si="25"/>
        <v>×</v>
      </c>
      <c r="AI47" t="str">
        <f t="shared" ca="1" si="5"/>
        <v>×</v>
      </c>
      <c r="AJ47" t="str">
        <f t="shared" ca="1" si="6"/>
        <v>×</v>
      </c>
      <c r="AK47" t="str">
        <f t="shared" ca="1" si="10"/>
        <v>×</v>
      </c>
      <c r="AL47" t="str">
        <f t="shared" ca="1" si="11"/>
        <v>×</v>
      </c>
      <c r="AM47" t="str">
        <f t="shared" ca="1" si="12"/>
        <v>×</v>
      </c>
      <c r="AN47" t="str">
        <f t="shared" ca="1" si="13"/>
        <v>×</v>
      </c>
      <c r="AO47" t="str">
        <f t="shared" ca="1" si="14"/>
        <v>×</v>
      </c>
      <c r="AP47" t="str">
        <f t="shared" ca="1" si="15"/>
        <v>×</v>
      </c>
      <c r="AQ47" t="str">
        <f t="shared" ca="1" si="16"/>
        <v>×</v>
      </c>
      <c r="AR47" t="str">
        <f t="shared" ca="1" si="17"/>
        <v>×</v>
      </c>
      <c r="AS47" t="str">
        <f t="shared" ca="1" si="18"/>
        <v>×</v>
      </c>
      <c r="AT47" t="str">
        <f t="shared" ca="1" si="19"/>
        <v>×</v>
      </c>
      <c r="AU47" t="str">
        <f t="shared" ca="1" si="20"/>
        <v>×</v>
      </c>
      <c r="AV47" t="str">
        <f t="shared" ca="1" si="21"/>
        <v>×</v>
      </c>
      <c r="AW47" t="str">
        <f t="shared" ca="1" si="22"/>
        <v>×</v>
      </c>
      <c r="AX47" t="str">
        <f t="shared" ca="1" si="23"/>
        <v>×</v>
      </c>
    </row>
    <row r="48" spans="1:50">
      <c r="A48" t="str" cm="1">
        <f t="array" aca="1" ref="A48" ca="1">INDIRECT("'"&amp;試験名&amp;"'!A"&amp;ROW()-2)</f>
        <v>文法</v>
      </c>
      <c r="B48">
        <f t="shared" ca="1" si="7"/>
        <v>12</v>
      </c>
      <c r="E48">
        <v>2</v>
      </c>
      <c r="O48">
        <v>2</v>
      </c>
      <c r="P48">
        <v>2</v>
      </c>
      <c r="Q48">
        <v>4</v>
      </c>
      <c r="R48">
        <v>3</v>
      </c>
      <c r="V48">
        <v>3</v>
      </c>
      <c r="W48" s="3">
        <f t="shared" ca="1" si="8"/>
        <v>12</v>
      </c>
      <c r="X48" s="3">
        <f t="shared" ca="1" si="0"/>
        <v>0</v>
      </c>
      <c r="Y48" s="3">
        <f t="shared" ca="1" si="1"/>
        <v>3</v>
      </c>
      <c r="Z48" s="3">
        <f t="shared" ca="1" si="2"/>
        <v>2</v>
      </c>
      <c r="AA48" s="3">
        <f t="shared" ca="1" si="3"/>
        <v>1</v>
      </c>
      <c r="AB48" s="3">
        <f ca="1">IF(W48="","",COUNTA(T_受験者[])/4-COUNTA($C48:$V48))</f>
        <v>0</v>
      </c>
      <c r="AC48" s="3" cm="1">
        <f t="array" aca="1" ref="AC48" ca="1">IF(W48="","",INDIRECT("'"&amp;試験名&amp;"'!B"&amp;ROW()-2))</f>
        <v>3</v>
      </c>
      <c r="AD48" s="4">
        <f ca="1">IF(W48="","",COUNTIF(AE48:AX48,"〇")/(COUNTA(T_受験者[])/4))</f>
        <v>0.33333333333333331</v>
      </c>
      <c r="AE48" t="str">
        <f t="shared" ca="1" si="9"/>
        <v>×</v>
      </c>
      <c r="AF48" t="str">
        <f t="shared" ca="1" si="9"/>
        <v>×</v>
      </c>
      <c r="AG48" t="str">
        <f t="shared" ca="1" si="24"/>
        <v>×</v>
      </c>
      <c r="AH48" t="str">
        <f t="shared" ca="1" si="25"/>
        <v>×</v>
      </c>
      <c r="AI48" t="str">
        <f t="shared" ca="1" si="5"/>
        <v>×</v>
      </c>
      <c r="AJ48" t="str">
        <f t="shared" ca="1" si="6"/>
        <v>×</v>
      </c>
      <c r="AK48" t="str">
        <f t="shared" ca="1" si="10"/>
        <v>×</v>
      </c>
      <c r="AL48" t="str">
        <f t="shared" ca="1" si="11"/>
        <v>×</v>
      </c>
      <c r="AM48" t="str">
        <f t="shared" ca="1" si="12"/>
        <v>×</v>
      </c>
      <c r="AN48" t="str">
        <f t="shared" ca="1" si="13"/>
        <v>×</v>
      </c>
      <c r="AO48" t="str">
        <f t="shared" ca="1" si="14"/>
        <v>×</v>
      </c>
      <c r="AP48" t="str">
        <f t="shared" ca="1" si="15"/>
        <v>×</v>
      </c>
      <c r="AQ48" t="str">
        <f t="shared" ca="1" si="16"/>
        <v>×</v>
      </c>
      <c r="AR48" t="str">
        <f t="shared" ca="1" si="17"/>
        <v>×</v>
      </c>
      <c r="AS48" t="str">
        <f t="shared" ca="1" si="18"/>
        <v>×</v>
      </c>
      <c r="AT48" t="str">
        <f t="shared" ca="1" si="19"/>
        <v>〇</v>
      </c>
      <c r="AU48" t="str">
        <f t="shared" ca="1" si="20"/>
        <v>×</v>
      </c>
      <c r="AV48" t="str">
        <f t="shared" ca="1" si="21"/>
        <v>×</v>
      </c>
      <c r="AW48" t="str">
        <f t="shared" ca="1" si="22"/>
        <v>×</v>
      </c>
      <c r="AX48" t="str">
        <f t="shared" ca="1" si="23"/>
        <v>〇</v>
      </c>
    </row>
    <row r="49" spans="1:50">
      <c r="A49" t="str" cm="1">
        <f t="array" aca="1" ref="A49" ca="1">INDIRECT("'"&amp;試験名&amp;"'!A"&amp;ROW()-2)</f>
        <v>文法</v>
      </c>
      <c r="B49">
        <f t="shared" ca="1" si="7"/>
        <v>13</v>
      </c>
      <c r="E49">
        <v>3</v>
      </c>
      <c r="O49">
        <v>3</v>
      </c>
      <c r="P49">
        <v>2</v>
      </c>
      <c r="Q49">
        <v>3</v>
      </c>
      <c r="R49">
        <v>4</v>
      </c>
      <c r="V49">
        <v>3</v>
      </c>
      <c r="W49" s="3">
        <f t="shared" ca="1" si="8"/>
        <v>13</v>
      </c>
      <c r="X49" s="3">
        <f t="shared" ca="1" si="0"/>
        <v>0</v>
      </c>
      <c r="Y49" s="3">
        <f t="shared" ca="1" si="1"/>
        <v>1</v>
      </c>
      <c r="Z49" s="3">
        <f t="shared" ca="1" si="2"/>
        <v>4</v>
      </c>
      <c r="AA49" s="3">
        <f t="shared" ca="1" si="3"/>
        <v>1</v>
      </c>
      <c r="AB49" s="3">
        <f ca="1">IF(W49="","",COUNTA(T_受験者[])/4-COUNTA($C49:$V49))</f>
        <v>0</v>
      </c>
      <c r="AC49" s="3" cm="1">
        <f t="array" aca="1" ref="AC49" ca="1">IF(W49="","",INDIRECT("'"&amp;試験名&amp;"'!B"&amp;ROW()-2))</f>
        <v>3</v>
      </c>
      <c r="AD49" s="4">
        <f ca="1">IF(W49="","",COUNTIF(AE49:AX49,"〇")/(COUNTA(T_受験者[])/4))</f>
        <v>0.66666666666666663</v>
      </c>
      <c r="AE49" t="str">
        <f t="shared" ca="1" si="9"/>
        <v>×</v>
      </c>
      <c r="AF49" t="str">
        <f t="shared" ca="1" si="9"/>
        <v>×</v>
      </c>
      <c r="AG49" t="str">
        <f t="shared" ca="1" si="24"/>
        <v>〇</v>
      </c>
      <c r="AH49" t="str">
        <f t="shared" ca="1" si="25"/>
        <v>×</v>
      </c>
      <c r="AI49" t="str">
        <f t="shared" ca="1" si="5"/>
        <v>×</v>
      </c>
      <c r="AJ49" t="str">
        <f t="shared" ca="1" si="6"/>
        <v>×</v>
      </c>
      <c r="AK49" t="str">
        <f t="shared" ca="1" si="10"/>
        <v>×</v>
      </c>
      <c r="AL49" t="str">
        <f t="shared" ca="1" si="11"/>
        <v>×</v>
      </c>
      <c r="AM49" t="str">
        <f t="shared" ca="1" si="12"/>
        <v>×</v>
      </c>
      <c r="AN49" t="str">
        <f t="shared" ca="1" si="13"/>
        <v>×</v>
      </c>
      <c r="AO49" t="str">
        <f t="shared" ca="1" si="14"/>
        <v>×</v>
      </c>
      <c r="AP49" t="str">
        <f t="shared" ca="1" si="15"/>
        <v>×</v>
      </c>
      <c r="AQ49" t="str">
        <f t="shared" ca="1" si="16"/>
        <v>〇</v>
      </c>
      <c r="AR49" t="str">
        <f t="shared" ca="1" si="17"/>
        <v>×</v>
      </c>
      <c r="AS49" t="str">
        <f t="shared" ca="1" si="18"/>
        <v>〇</v>
      </c>
      <c r="AT49" t="str">
        <f t="shared" ca="1" si="19"/>
        <v>×</v>
      </c>
      <c r="AU49" t="str">
        <f t="shared" ca="1" si="20"/>
        <v>×</v>
      </c>
      <c r="AV49" t="str">
        <f t="shared" ca="1" si="21"/>
        <v>×</v>
      </c>
      <c r="AW49" t="str">
        <f t="shared" ca="1" si="22"/>
        <v>×</v>
      </c>
      <c r="AX49" t="str">
        <f t="shared" ca="1" si="23"/>
        <v>〇</v>
      </c>
    </row>
    <row r="50" spans="1:50">
      <c r="A50" t="str" cm="1">
        <f t="array" aca="1" ref="A50" ca="1">INDIRECT("'"&amp;試験名&amp;"'!A"&amp;ROW()-2)</f>
        <v>文法</v>
      </c>
      <c r="B50">
        <f t="shared" ca="1" si="7"/>
        <v>14</v>
      </c>
      <c r="E50">
        <v>3</v>
      </c>
      <c r="O50">
        <v>1</v>
      </c>
      <c r="P50">
        <v>2</v>
      </c>
      <c r="Q50">
        <v>3</v>
      </c>
      <c r="R50">
        <v>2</v>
      </c>
      <c r="V50">
        <v>4</v>
      </c>
      <c r="W50" s="3">
        <f t="shared" ca="1" si="8"/>
        <v>14</v>
      </c>
      <c r="X50" s="3">
        <f t="shared" ca="1" si="0"/>
        <v>1</v>
      </c>
      <c r="Y50" s="3">
        <f t="shared" ca="1" si="1"/>
        <v>2</v>
      </c>
      <c r="Z50" s="3">
        <f t="shared" ca="1" si="2"/>
        <v>2</v>
      </c>
      <c r="AA50" s="3">
        <f t="shared" ca="1" si="3"/>
        <v>1</v>
      </c>
      <c r="AB50" s="3">
        <f ca="1">IF(W50="","",COUNTA(T_受験者[])/4-COUNTA($C50:$V50))</f>
        <v>0</v>
      </c>
      <c r="AC50" s="3" cm="1">
        <f t="array" aca="1" ref="AC50" ca="1">IF(W50="","",INDIRECT("'"&amp;試験名&amp;"'!B"&amp;ROW()-2))</f>
        <v>2</v>
      </c>
      <c r="AD50" s="4">
        <f ca="1">IF(W50="","",COUNTIF(AE50:AX50,"〇")/(COUNTA(T_受験者[])/4))</f>
        <v>0.33333333333333331</v>
      </c>
      <c r="AE50" t="str">
        <f t="shared" ca="1" si="9"/>
        <v>×</v>
      </c>
      <c r="AF50" t="str">
        <f t="shared" ca="1" si="9"/>
        <v>×</v>
      </c>
      <c r="AG50" t="str">
        <f t="shared" ca="1" si="24"/>
        <v>×</v>
      </c>
      <c r="AH50" t="str">
        <f t="shared" ca="1" si="25"/>
        <v>×</v>
      </c>
      <c r="AI50" t="str">
        <f t="shared" ca="1" si="5"/>
        <v>×</v>
      </c>
      <c r="AJ50" t="str">
        <f t="shared" ca="1" si="6"/>
        <v>×</v>
      </c>
      <c r="AK50" t="str">
        <f t="shared" ca="1" si="10"/>
        <v>×</v>
      </c>
      <c r="AL50" t="str">
        <f t="shared" ca="1" si="11"/>
        <v>×</v>
      </c>
      <c r="AM50" t="str">
        <f t="shared" ca="1" si="12"/>
        <v>×</v>
      </c>
      <c r="AN50" t="str">
        <f t="shared" ca="1" si="13"/>
        <v>×</v>
      </c>
      <c r="AO50" t="str">
        <f t="shared" ca="1" si="14"/>
        <v>×</v>
      </c>
      <c r="AP50" t="str">
        <f t="shared" ca="1" si="15"/>
        <v>×</v>
      </c>
      <c r="AQ50" t="str">
        <f t="shared" ca="1" si="16"/>
        <v>×</v>
      </c>
      <c r="AR50" t="str">
        <f t="shared" ca="1" si="17"/>
        <v>〇</v>
      </c>
      <c r="AS50" t="str">
        <f t="shared" ca="1" si="18"/>
        <v>×</v>
      </c>
      <c r="AT50" t="str">
        <f t="shared" ca="1" si="19"/>
        <v>〇</v>
      </c>
      <c r="AU50" t="str">
        <f t="shared" ca="1" si="20"/>
        <v>×</v>
      </c>
      <c r="AV50" t="str">
        <f t="shared" ca="1" si="21"/>
        <v>×</v>
      </c>
      <c r="AW50" t="str">
        <f t="shared" ca="1" si="22"/>
        <v>×</v>
      </c>
      <c r="AX50" t="str">
        <f t="shared" ca="1" si="23"/>
        <v>×</v>
      </c>
    </row>
    <row r="51" spans="1:50">
      <c r="A51" t="str" cm="1">
        <f t="array" aca="1" ref="A51" ca="1">INDIRECT("'"&amp;試験名&amp;"'!A"&amp;ROW()-2)</f>
        <v>文法</v>
      </c>
      <c r="B51">
        <f t="shared" ca="1" si="7"/>
        <v>15</v>
      </c>
      <c r="E51">
        <v>1</v>
      </c>
      <c r="O51">
        <v>3</v>
      </c>
      <c r="P51">
        <v>1</v>
      </c>
      <c r="Q51">
        <v>2</v>
      </c>
      <c r="R51">
        <v>3</v>
      </c>
      <c r="V51">
        <v>2</v>
      </c>
      <c r="W51" s="3">
        <f t="shared" ca="1" si="8"/>
        <v>15</v>
      </c>
      <c r="X51" s="3">
        <f t="shared" ca="1" si="0"/>
        <v>2</v>
      </c>
      <c r="Y51" s="3">
        <f t="shared" ca="1" si="1"/>
        <v>2</v>
      </c>
      <c r="Z51" s="3">
        <f t="shared" ca="1" si="2"/>
        <v>2</v>
      </c>
      <c r="AA51" s="3">
        <f t="shared" ca="1" si="3"/>
        <v>0</v>
      </c>
      <c r="AB51" s="3">
        <f ca="1">IF(W51="","",COUNTA(T_受験者[])/4-COUNTA($C51:$V51))</f>
        <v>0</v>
      </c>
      <c r="AC51" s="3" cm="1">
        <f t="array" aca="1" ref="AC51" ca="1">IF(W51="","",INDIRECT("'"&amp;試験名&amp;"'!B"&amp;ROW()-2))</f>
        <v>2</v>
      </c>
      <c r="AD51" s="4">
        <f ca="1">IF(W51="","",COUNTIF(AE51:AX51,"〇")/(COUNTA(T_受験者[])/4))</f>
        <v>0.33333333333333331</v>
      </c>
      <c r="AE51" t="str">
        <f t="shared" ca="1" si="9"/>
        <v>×</v>
      </c>
      <c r="AF51" t="str">
        <f t="shared" ca="1" si="9"/>
        <v>×</v>
      </c>
      <c r="AG51" t="str">
        <f t="shared" ca="1" si="24"/>
        <v>×</v>
      </c>
      <c r="AH51" t="str">
        <f t="shared" ca="1" si="25"/>
        <v>×</v>
      </c>
      <c r="AI51" t="str">
        <f t="shared" ca="1" si="5"/>
        <v>×</v>
      </c>
      <c r="AJ51" t="str">
        <f t="shared" ca="1" si="6"/>
        <v>×</v>
      </c>
      <c r="AK51" t="str">
        <f t="shared" ca="1" si="10"/>
        <v>×</v>
      </c>
      <c r="AL51" t="str">
        <f t="shared" ca="1" si="11"/>
        <v>×</v>
      </c>
      <c r="AM51" t="str">
        <f t="shared" ca="1" si="12"/>
        <v>×</v>
      </c>
      <c r="AN51" t="str">
        <f t="shared" ca="1" si="13"/>
        <v>×</v>
      </c>
      <c r="AO51" t="str">
        <f t="shared" ca="1" si="14"/>
        <v>×</v>
      </c>
      <c r="AP51" t="str">
        <f t="shared" ca="1" si="15"/>
        <v>×</v>
      </c>
      <c r="AQ51" t="str">
        <f t="shared" ca="1" si="16"/>
        <v>×</v>
      </c>
      <c r="AR51" t="str">
        <f t="shared" ca="1" si="17"/>
        <v>×</v>
      </c>
      <c r="AS51" t="str">
        <f t="shared" ca="1" si="18"/>
        <v>〇</v>
      </c>
      <c r="AT51" t="str">
        <f t="shared" ca="1" si="19"/>
        <v>×</v>
      </c>
      <c r="AU51" t="str">
        <f t="shared" ca="1" si="20"/>
        <v>×</v>
      </c>
      <c r="AV51" t="str">
        <f t="shared" ca="1" si="21"/>
        <v>×</v>
      </c>
      <c r="AW51" t="str">
        <f t="shared" ca="1" si="22"/>
        <v>×</v>
      </c>
      <c r="AX51" t="str">
        <f t="shared" ca="1" si="23"/>
        <v>〇</v>
      </c>
    </row>
    <row r="52" spans="1:50">
      <c r="A52" t="str" cm="1">
        <f t="array" aca="1" ref="A52" ca="1">INDIRECT("'"&amp;試験名&amp;"'!A"&amp;ROW()-2)</f>
        <v>文法</v>
      </c>
      <c r="B52">
        <f t="shared" ca="1" si="7"/>
        <v>16</v>
      </c>
      <c r="E52">
        <v>2</v>
      </c>
      <c r="O52">
        <v>3</v>
      </c>
      <c r="P52">
        <v>3</v>
      </c>
      <c r="Q52">
        <v>4</v>
      </c>
      <c r="R52">
        <v>3</v>
      </c>
      <c r="V52">
        <v>3</v>
      </c>
      <c r="W52" s="3">
        <f t="shared" ca="1" si="8"/>
        <v>16</v>
      </c>
      <c r="X52" s="3">
        <f t="shared" ca="1" si="0"/>
        <v>0</v>
      </c>
      <c r="Y52" s="3">
        <f t="shared" ca="1" si="1"/>
        <v>1</v>
      </c>
      <c r="Z52" s="3">
        <f t="shared" ca="1" si="2"/>
        <v>4</v>
      </c>
      <c r="AA52" s="3">
        <f t="shared" ca="1" si="3"/>
        <v>1</v>
      </c>
      <c r="AB52" s="3">
        <f ca="1">IF(W52="","",COUNTA(T_受験者[])/4-COUNTA($C52:$V52))</f>
        <v>0</v>
      </c>
      <c r="AC52" s="3" cm="1">
        <f t="array" aca="1" ref="AC52" ca="1">IF(W52="","",INDIRECT("'"&amp;試験名&amp;"'!B"&amp;ROW()-2))</f>
        <v>3</v>
      </c>
      <c r="AD52" s="4">
        <f ca="1">IF(W52="","",COUNTIF(AE52:AX52,"〇")/(COUNTA(T_受験者[])/4))</f>
        <v>0.66666666666666663</v>
      </c>
      <c r="AE52" t="str">
        <f t="shared" ca="1" si="9"/>
        <v>×</v>
      </c>
      <c r="AF52" t="str">
        <f t="shared" ca="1" si="9"/>
        <v>×</v>
      </c>
      <c r="AG52" t="str">
        <f t="shared" ca="1" si="24"/>
        <v>×</v>
      </c>
      <c r="AH52" t="str">
        <f t="shared" ca="1" si="25"/>
        <v>×</v>
      </c>
      <c r="AI52" t="str">
        <f t="shared" ca="1" si="5"/>
        <v>×</v>
      </c>
      <c r="AJ52" t="str">
        <f t="shared" ca="1" si="6"/>
        <v>×</v>
      </c>
      <c r="AK52" t="str">
        <f t="shared" ca="1" si="10"/>
        <v>×</v>
      </c>
      <c r="AL52" t="str">
        <f t="shared" ca="1" si="11"/>
        <v>×</v>
      </c>
      <c r="AM52" t="str">
        <f t="shared" ca="1" si="12"/>
        <v>×</v>
      </c>
      <c r="AN52" t="str">
        <f t="shared" ca="1" si="13"/>
        <v>×</v>
      </c>
      <c r="AO52" t="str">
        <f t="shared" ca="1" si="14"/>
        <v>×</v>
      </c>
      <c r="AP52" t="str">
        <f t="shared" ca="1" si="15"/>
        <v>×</v>
      </c>
      <c r="AQ52" t="str">
        <f t="shared" ca="1" si="16"/>
        <v>〇</v>
      </c>
      <c r="AR52" t="str">
        <f t="shared" ca="1" si="17"/>
        <v>〇</v>
      </c>
      <c r="AS52" t="str">
        <f t="shared" ca="1" si="18"/>
        <v>×</v>
      </c>
      <c r="AT52" t="str">
        <f t="shared" ca="1" si="19"/>
        <v>〇</v>
      </c>
      <c r="AU52" t="str">
        <f t="shared" ca="1" si="20"/>
        <v>×</v>
      </c>
      <c r="AV52" t="str">
        <f t="shared" ca="1" si="21"/>
        <v>×</v>
      </c>
      <c r="AW52" t="str">
        <f t="shared" ca="1" si="22"/>
        <v>×</v>
      </c>
      <c r="AX52" t="str">
        <f t="shared" ca="1" si="23"/>
        <v>〇</v>
      </c>
    </row>
    <row r="53" spans="1:50">
      <c r="A53" t="str" cm="1">
        <f t="array" aca="1" ref="A53" ca="1">INDIRECT("'"&amp;試験名&amp;"'!A"&amp;ROW()-2)</f>
        <v>文法</v>
      </c>
      <c r="B53">
        <f t="shared" ca="1" si="7"/>
        <v>17</v>
      </c>
      <c r="E53">
        <v>2</v>
      </c>
      <c r="O53">
        <v>1</v>
      </c>
      <c r="P53">
        <v>4</v>
      </c>
      <c r="Q53">
        <v>3</v>
      </c>
      <c r="R53">
        <v>3</v>
      </c>
      <c r="V53">
        <v>3</v>
      </c>
      <c r="W53" s="3">
        <f t="shared" ca="1" si="8"/>
        <v>17</v>
      </c>
      <c r="X53" s="3">
        <f t="shared" ca="1" si="0"/>
        <v>1</v>
      </c>
      <c r="Y53" s="3">
        <f t="shared" ca="1" si="1"/>
        <v>1</v>
      </c>
      <c r="Z53" s="3">
        <f t="shared" ca="1" si="2"/>
        <v>3</v>
      </c>
      <c r="AA53" s="3">
        <f t="shared" ca="1" si="3"/>
        <v>1</v>
      </c>
      <c r="AB53" s="3">
        <f ca="1">IF(W53="","",COUNTA(T_受験者[])/4-COUNTA($C53:$V53))</f>
        <v>0</v>
      </c>
      <c r="AC53" s="3" cm="1">
        <f t="array" aca="1" ref="AC53" ca="1">IF(W53="","",INDIRECT("'"&amp;試験名&amp;"'!B"&amp;ROW()-2))</f>
        <v>3</v>
      </c>
      <c r="AD53" s="4">
        <f ca="1">IF(W53="","",COUNTIF(AE53:AX53,"〇")/(COUNTA(T_受験者[])/4))</f>
        <v>0.5</v>
      </c>
      <c r="AE53" t="str">
        <f t="shared" ca="1" si="9"/>
        <v>×</v>
      </c>
      <c r="AF53" t="str">
        <f t="shared" ca="1" si="9"/>
        <v>×</v>
      </c>
      <c r="AG53" t="str">
        <f t="shared" ca="1" si="24"/>
        <v>×</v>
      </c>
      <c r="AH53" t="str">
        <f t="shared" ca="1" si="25"/>
        <v>×</v>
      </c>
      <c r="AI53" t="str">
        <f t="shared" ca="1" si="5"/>
        <v>×</v>
      </c>
      <c r="AJ53" t="str">
        <f t="shared" ca="1" si="6"/>
        <v>×</v>
      </c>
      <c r="AK53" t="str">
        <f t="shared" ca="1" si="10"/>
        <v>×</v>
      </c>
      <c r="AL53" t="str">
        <f t="shared" ca="1" si="11"/>
        <v>×</v>
      </c>
      <c r="AM53" t="str">
        <f t="shared" ca="1" si="12"/>
        <v>×</v>
      </c>
      <c r="AN53" t="str">
        <f t="shared" ca="1" si="13"/>
        <v>×</v>
      </c>
      <c r="AO53" t="str">
        <f t="shared" ca="1" si="14"/>
        <v>×</v>
      </c>
      <c r="AP53" t="str">
        <f t="shared" ca="1" si="15"/>
        <v>×</v>
      </c>
      <c r="AQ53" t="str">
        <f t="shared" ca="1" si="16"/>
        <v>×</v>
      </c>
      <c r="AR53" t="str">
        <f t="shared" ca="1" si="17"/>
        <v>×</v>
      </c>
      <c r="AS53" t="str">
        <f t="shared" ca="1" si="18"/>
        <v>〇</v>
      </c>
      <c r="AT53" t="str">
        <f t="shared" ca="1" si="19"/>
        <v>〇</v>
      </c>
      <c r="AU53" t="str">
        <f t="shared" ca="1" si="20"/>
        <v>×</v>
      </c>
      <c r="AV53" t="str">
        <f t="shared" ca="1" si="21"/>
        <v>×</v>
      </c>
      <c r="AW53" t="str">
        <f t="shared" ca="1" si="22"/>
        <v>×</v>
      </c>
      <c r="AX53" t="str">
        <f t="shared" ca="1" si="23"/>
        <v>〇</v>
      </c>
    </row>
    <row r="54" spans="1:50">
      <c r="A54" t="str" cm="1">
        <f t="array" aca="1" ref="A54" ca="1">INDIRECT("'"&amp;試験名&amp;"'!A"&amp;ROW()-2)</f>
        <v>文法</v>
      </c>
      <c r="B54">
        <f t="shared" ca="1" si="7"/>
        <v>18</v>
      </c>
      <c r="E54">
        <v>4</v>
      </c>
      <c r="O54">
        <v>4</v>
      </c>
      <c r="P54">
        <v>2</v>
      </c>
      <c r="Q54">
        <v>2</v>
      </c>
      <c r="R54">
        <v>4</v>
      </c>
      <c r="V54">
        <v>2</v>
      </c>
      <c r="W54" s="3">
        <f t="shared" ca="1" si="8"/>
        <v>18</v>
      </c>
      <c r="X54" s="3">
        <f t="shared" ca="1" si="0"/>
        <v>0</v>
      </c>
      <c r="Y54" s="3">
        <f t="shared" ca="1" si="1"/>
        <v>3</v>
      </c>
      <c r="Z54" s="3">
        <f t="shared" ca="1" si="2"/>
        <v>0</v>
      </c>
      <c r="AA54" s="3">
        <f t="shared" ca="1" si="3"/>
        <v>3</v>
      </c>
      <c r="AB54" s="3">
        <f ca="1">IF(W54="","",COUNTA(T_受験者[])/4-COUNTA($C54:$V54))</f>
        <v>0</v>
      </c>
      <c r="AC54" s="3" cm="1">
        <f t="array" aca="1" ref="AC54" ca="1">IF(W54="","",INDIRECT("'"&amp;試験名&amp;"'!B"&amp;ROW()-2))</f>
        <v>2</v>
      </c>
      <c r="AD54" s="4">
        <f ca="1">IF(W54="","",COUNTIF(AE54:AX54,"〇")/(COUNTA(T_受験者[])/4))</f>
        <v>0.5</v>
      </c>
      <c r="AE54" t="str">
        <f t="shared" ca="1" si="9"/>
        <v>×</v>
      </c>
      <c r="AF54" t="str">
        <f t="shared" ca="1" si="9"/>
        <v>×</v>
      </c>
      <c r="AG54" t="str">
        <f t="shared" ca="1" si="24"/>
        <v>×</v>
      </c>
      <c r="AH54" t="str">
        <f t="shared" ca="1" si="25"/>
        <v>×</v>
      </c>
      <c r="AI54" t="str">
        <f t="shared" ca="1" si="5"/>
        <v>×</v>
      </c>
      <c r="AJ54" t="str">
        <f t="shared" ca="1" si="6"/>
        <v>×</v>
      </c>
      <c r="AK54" t="str">
        <f t="shared" ca="1" si="10"/>
        <v>×</v>
      </c>
      <c r="AL54" t="str">
        <f t="shared" ca="1" si="11"/>
        <v>×</v>
      </c>
      <c r="AM54" t="str">
        <f t="shared" ca="1" si="12"/>
        <v>×</v>
      </c>
      <c r="AN54" t="str">
        <f t="shared" ca="1" si="13"/>
        <v>×</v>
      </c>
      <c r="AO54" t="str">
        <f t="shared" ca="1" si="14"/>
        <v>×</v>
      </c>
      <c r="AP54" t="str">
        <f t="shared" ca="1" si="15"/>
        <v>×</v>
      </c>
      <c r="AQ54" t="str">
        <f t="shared" ca="1" si="16"/>
        <v>×</v>
      </c>
      <c r="AR54" t="str">
        <f t="shared" ca="1" si="17"/>
        <v>〇</v>
      </c>
      <c r="AS54" t="str">
        <f t="shared" ca="1" si="18"/>
        <v>〇</v>
      </c>
      <c r="AT54" t="str">
        <f t="shared" ca="1" si="19"/>
        <v>×</v>
      </c>
      <c r="AU54" t="str">
        <f t="shared" ca="1" si="20"/>
        <v>×</v>
      </c>
      <c r="AV54" t="str">
        <f t="shared" ca="1" si="21"/>
        <v>×</v>
      </c>
      <c r="AW54" t="str">
        <f t="shared" ca="1" si="22"/>
        <v>×</v>
      </c>
      <c r="AX54" t="str">
        <f t="shared" ca="1" si="23"/>
        <v>〇</v>
      </c>
    </row>
    <row r="55" spans="1:50">
      <c r="A55" t="str" cm="1">
        <f t="array" aca="1" ref="A55" ca="1">INDIRECT("'"&amp;試験名&amp;"'!A"&amp;ROW()-2)</f>
        <v>文法</v>
      </c>
      <c r="B55">
        <f t="shared" ca="1" si="7"/>
        <v>19</v>
      </c>
      <c r="E55">
        <v>1</v>
      </c>
      <c r="O55">
        <v>1</v>
      </c>
      <c r="P55">
        <v>1</v>
      </c>
      <c r="Q55">
        <v>1</v>
      </c>
      <c r="R55">
        <v>1</v>
      </c>
      <c r="V55">
        <v>1</v>
      </c>
      <c r="W55" s="3">
        <f t="shared" ca="1" si="8"/>
        <v>19</v>
      </c>
      <c r="X55" s="3">
        <f t="shared" ca="1" si="0"/>
        <v>6</v>
      </c>
      <c r="Y55" s="3">
        <f t="shared" ca="1" si="1"/>
        <v>0</v>
      </c>
      <c r="Z55" s="3">
        <f t="shared" ca="1" si="2"/>
        <v>0</v>
      </c>
      <c r="AA55" s="3">
        <f t="shared" ca="1" si="3"/>
        <v>0</v>
      </c>
      <c r="AB55" s="3">
        <f ca="1">IF(W55="","",COUNTA(T_受験者[])/4-COUNTA($C55:$V55))</f>
        <v>0</v>
      </c>
      <c r="AC55" s="3" cm="1">
        <f t="array" aca="1" ref="AC55" ca="1">IF(W55="","",INDIRECT("'"&amp;試験名&amp;"'!B"&amp;ROW()-2))</f>
        <v>1</v>
      </c>
      <c r="AD55" s="4">
        <f ca="1">IF(W55="","",COUNTIF(AE55:AX55,"〇")/(COUNTA(T_受験者[])/4))</f>
        <v>1</v>
      </c>
      <c r="AE55" t="str">
        <f t="shared" ca="1" si="9"/>
        <v>×</v>
      </c>
      <c r="AF55" t="str">
        <f t="shared" ca="1" si="9"/>
        <v>×</v>
      </c>
      <c r="AG55" t="str">
        <f t="shared" ca="1" si="24"/>
        <v>〇</v>
      </c>
      <c r="AH55" t="str">
        <f t="shared" ca="1" si="25"/>
        <v>×</v>
      </c>
      <c r="AI55" t="str">
        <f t="shared" ca="1" si="5"/>
        <v>×</v>
      </c>
      <c r="AJ55" t="str">
        <f t="shared" ca="1" si="6"/>
        <v>×</v>
      </c>
      <c r="AK55" t="str">
        <f t="shared" ca="1" si="10"/>
        <v>×</v>
      </c>
      <c r="AL55" t="str">
        <f t="shared" ca="1" si="11"/>
        <v>×</v>
      </c>
      <c r="AM55" t="str">
        <f t="shared" ca="1" si="12"/>
        <v>×</v>
      </c>
      <c r="AN55" t="str">
        <f t="shared" ca="1" si="13"/>
        <v>×</v>
      </c>
      <c r="AO55" t="str">
        <f t="shared" ca="1" si="14"/>
        <v>×</v>
      </c>
      <c r="AP55" t="str">
        <f t="shared" ca="1" si="15"/>
        <v>×</v>
      </c>
      <c r="AQ55" t="str">
        <f t="shared" ca="1" si="16"/>
        <v>〇</v>
      </c>
      <c r="AR55" t="str">
        <f t="shared" ca="1" si="17"/>
        <v>〇</v>
      </c>
      <c r="AS55" t="str">
        <f t="shared" ca="1" si="18"/>
        <v>〇</v>
      </c>
      <c r="AT55" t="str">
        <f t="shared" ca="1" si="19"/>
        <v>〇</v>
      </c>
      <c r="AU55" t="str">
        <f t="shared" ca="1" si="20"/>
        <v>×</v>
      </c>
      <c r="AV55" t="str">
        <f t="shared" ca="1" si="21"/>
        <v>×</v>
      </c>
      <c r="AW55" t="str">
        <f t="shared" ca="1" si="22"/>
        <v>×</v>
      </c>
      <c r="AX55" t="str">
        <f t="shared" ca="1" si="23"/>
        <v>〇</v>
      </c>
    </row>
    <row r="56" spans="1:50">
      <c r="A56" t="str" cm="1">
        <f t="array" aca="1" ref="A56" ca="1">INDIRECT("'"&amp;試験名&amp;"'!A"&amp;ROW()-2)</f>
        <v>文法</v>
      </c>
      <c r="B56">
        <f t="shared" ca="1" si="7"/>
        <v>20</v>
      </c>
      <c r="E56">
        <v>3</v>
      </c>
      <c r="O56">
        <v>3</v>
      </c>
      <c r="P56">
        <v>1</v>
      </c>
      <c r="Q56">
        <v>3</v>
      </c>
      <c r="R56">
        <v>3</v>
      </c>
      <c r="V56">
        <v>3</v>
      </c>
      <c r="W56" s="3">
        <f t="shared" ca="1" si="8"/>
        <v>20</v>
      </c>
      <c r="X56" s="3">
        <f t="shared" ca="1" si="0"/>
        <v>1</v>
      </c>
      <c r="Y56" s="3">
        <f t="shared" ca="1" si="1"/>
        <v>0</v>
      </c>
      <c r="Z56" s="3">
        <f t="shared" ca="1" si="2"/>
        <v>5</v>
      </c>
      <c r="AA56" s="3">
        <f t="shared" ca="1" si="3"/>
        <v>0</v>
      </c>
      <c r="AB56" s="3">
        <f ca="1">IF(W56="","",COUNTA(T_受験者[])/4-COUNTA($C56:$V56))</f>
        <v>0</v>
      </c>
      <c r="AC56" s="3" cm="1">
        <f t="array" aca="1" ref="AC56" ca="1">IF(W56="","",INDIRECT("'"&amp;試験名&amp;"'!B"&amp;ROW()-2))</f>
        <v>3</v>
      </c>
      <c r="AD56" s="4">
        <f ca="1">IF(W56="","",COUNTIF(AE56:AX56,"〇")/(COUNTA(T_受験者[])/4))</f>
        <v>0.83333333333333337</v>
      </c>
      <c r="AE56" t="str">
        <f t="shared" ca="1" si="9"/>
        <v>×</v>
      </c>
      <c r="AF56" t="str">
        <f t="shared" ca="1" si="9"/>
        <v>×</v>
      </c>
      <c r="AG56" t="str">
        <f t="shared" ca="1" si="24"/>
        <v>〇</v>
      </c>
      <c r="AH56" t="str">
        <f t="shared" ca="1" si="25"/>
        <v>×</v>
      </c>
      <c r="AI56" t="str">
        <f t="shared" ca="1" si="5"/>
        <v>×</v>
      </c>
      <c r="AJ56" t="str">
        <f t="shared" ca="1" si="6"/>
        <v>×</v>
      </c>
      <c r="AK56" t="str">
        <f t="shared" ca="1" si="10"/>
        <v>×</v>
      </c>
      <c r="AL56" t="str">
        <f t="shared" ca="1" si="11"/>
        <v>×</v>
      </c>
      <c r="AM56" t="str">
        <f t="shared" ca="1" si="12"/>
        <v>×</v>
      </c>
      <c r="AN56" t="str">
        <f t="shared" ca="1" si="13"/>
        <v>×</v>
      </c>
      <c r="AO56" t="str">
        <f t="shared" ca="1" si="14"/>
        <v>×</v>
      </c>
      <c r="AP56" t="str">
        <f t="shared" ca="1" si="15"/>
        <v>×</v>
      </c>
      <c r="AQ56" t="str">
        <f t="shared" ca="1" si="16"/>
        <v>〇</v>
      </c>
      <c r="AR56" t="str">
        <f t="shared" ca="1" si="17"/>
        <v>×</v>
      </c>
      <c r="AS56" t="str">
        <f t="shared" ca="1" si="18"/>
        <v>〇</v>
      </c>
      <c r="AT56" t="str">
        <f t="shared" ca="1" si="19"/>
        <v>〇</v>
      </c>
      <c r="AU56" t="str">
        <f t="shared" ca="1" si="20"/>
        <v>×</v>
      </c>
      <c r="AV56" t="str">
        <f t="shared" ca="1" si="21"/>
        <v>×</v>
      </c>
      <c r="AW56" t="str">
        <f t="shared" ca="1" si="22"/>
        <v>×</v>
      </c>
      <c r="AX56" t="str">
        <f t="shared" ca="1" si="23"/>
        <v>〇</v>
      </c>
    </row>
    <row r="57" spans="1:50">
      <c r="A57" t="str" cm="1">
        <f t="array" aca="1" ref="A57" ca="1">INDIRECT("'"&amp;試験名&amp;"'!A"&amp;ROW()-2)</f>
        <v>文法</v>
      </c>
      <c r="B57">
        <f t="shared" ca="1" si="7"/>
        <v>21</v>
      </c>
      <c r="E57">
        <v>2</v>
      </c>
      <c r="O57">
        <v>4</v>
      </c>
      <c r="P57">
        <v>2</v>
      </c>
      <c r="Q57">
        <v>4</v>
      </c>
      <c r="R57">
        <v>2</v>
      </c>
      <c r="V57">
        <v>1</v>
      </c>
      <c r="W57" s="3">
        <f t="shared" ca="1" si="8"/>
        <v>21</v>
      </c>
      <c r="X57" s="3">
        <f t="shared" ca="1" si="0"/>
        <v>1</v>
      </c>
      <c r="Y57" s="3">
        <f t="shared" ca="1" si="1"/>
        <v>3</v>
      </c>
      <c r="Z57" s="3">
        <f t="shared" ca="1" si="2"/>
        <v>0</v>
      </c>
      <c r="AA57" s="3">
        <f t="shared" ca="1" si="3"/>
        <v>2</v>
      </c>
      <c r="AB57" s="3">
        <f ca="1">IF(W57="","",COUNTA(T_受験者[])/4-COUNTA($C57:$V57))</f>
        <v>0</v>
      </c>
      <c r="AC57" s="3" cm="1">
        <f t="array" aca="1" ref="AC57" ca="1">IF(W57="","",INDIRECT("'"&amp;試験名&amp;"'!B"&amp;ROW()-2))</f>
        <v>1</v>
      </c>
      <c r="AD57" s="4">
        <f ca="1">IF(W57="","",COUNTIF(AE57:AX57,"〇")/(COUNTA(T_受験者[])/4))</f>
        <v>0.16666666666666666</v>
      </c>
      <c r="AE57" t="str">
        <f t="shared" ca="1" si="9"/>
        <v>×</v>
      </c>
      <c r="AF57" t="str">
        <f t="shared" ca="1" si="9"/>
        <v>×</v>
      </c>
      <c r="AG57" t="str">
        <f t="shared" ca="1" si="24"/>
        <v>×</v>
      </c>
      <c r="AH57" t="str">
        <f t="shared" ca="1" si="25"/>
        <v>×</v>
      </c>
      <c r="AI57" t="str">
        <f t="shared" ca="1" si="5"/>
        <v>×</v>
      </c>
      <c r="AJ57" t="str">
        <f t="shared" ca="1" si="6"/>
        <v>×</v>
      </c>
      <c r="AK57" t="str">
        <f t="shared" ca="1" si="10"/>
        <v>×</v>
      </c>
      <c r="AL57" t="str">
        <f t="shared" ca="1" si="11"/>
        <v>×</v>
      </c>
      <c r="AM57" t="str">
        <f t="shared" ca="1" si="12"/>
        <v>×</v>
      </c>
      <c r="AN57" t="str">
        <f t="shared" ca="1" si="13"/>
        <v>×</v>
      </c>
      <c r="AO57" t="str">
        <f t="shared" ca="1" si="14"/>
        <v>×</v>
      </c>
      <c r="AP57" t="str">
        <f t="shared" ca="1" si="15"/>
        <v>×</v>
      </c>
      <c r="AQ57" t="str">
        <f t="shared" ca="1" si="16"/>
        <v>×</v>
      </c>
      <c r="AR57" t="str">
        <f t="shared" ca="1" si="17"/>
        <v>×</v>
      </c>
      <c r="AS57" t="str">
        <f t="shared" ca="1" si="18"/>
        <v>×</v>
      </c>
      <c r="AT57" t="str">
        <f t="shared" ca="1" si="19"/>
        <v>×</v>
      </c>
      <c r="AU57" t="str">
        <f t="shared" ca="1" si="20"/>
        <v>×</v>
      </c>
      <c r="AV57" t="str">
        <f t="shared" ca="1" si="21"/>
        <v>×</v>
      </c>
      <c r="AW57" t="str">
        <f t="shared" ca="1" si="22"/>
        <v>×</v>
      </c>
      <c r="AX57" t="str">
        <f t="shared" ca="1" si="23"/>
        <v>〇</v>
      </c>
    </row>
    <row r="58" spans="1:50">
      <c r="A58" t="str" cm="1">
        <f t="array" aca="1" ref="A58" ca="1">INDIRECT("'"&amp;試験名&amp;"'!A"&amp;ROW()-2)</f>
        <v>文法</v>
      </c>
      <c r="B58">
        <f t="shared" ca="1" si="7"/>
        <v>22</v>
      </c>
      <c r="E58">
        <v>3</v>
      </c>
      <c r="O58">
        <v>2</v>
      </c>
      <c r="P58">
        <v>1</v>
      </c>
      <c r="Q58">
        <v>2</v>
      </c>
      <c r="R58">
        <v>3</v>
      </c>
      <c r="V58">
        <v>3</v>
      </c>
      <c r="W58" s="3">
        <f t="shared" ca="1" si="8"/>
        <v>22</v>
      </c>
      <c r="X58" s="3">
        <f t="shared" ca="1" si="0"/>
        <v>1</v>
      </c>
      <c r="Y58" s="3">
        <f t="shared" ca="1" si="1"/>
        <v>2</v>
      </c>
      <c r="Z58" s="3">
        <f t="shared" ca="1" si="2"/>
        <v>3</v>
      </c>
      <c r="AA58" s="3">
        <f t="shared" ca="1" si="3"/>
        <v>0</v>
      </c>
      <c r="AB58" s="3">
        <f ca="1">IF(W58="","",COUNTA(T_受験者[])/4-COUNTA($C58:$V58))</f>
        <v>0</v>
      </c>
      <c r="AC58" s="3" cm="1">
        <f t="array" aca="1" ref="AC58" ca="1">IF(W58="","",INDIRECT("'"&amp;試験名&amp;"'!B"&amp;ROW()-2))</f>
        <v>1</v>
      </c>
      <c r="AD58" s="4">
        <f ca="1">IF(W58="","",COUNTIF(AE58:AX58,"〇")/(COUNTA(T_受験者[])/4))</f>
        <v>0.16666666666666666</v>
      </c>
      <c r="AE58" t="str">
        <f t="shared" ca="1" si="9"/>
        <v>×</v>
      </c>
      <c r="AF58" t="str">
        <f t="shared" ca="1" si="9"/>
        <v>×</v>
      </c>
      <c r="AG58" t="str">
        <f t="shared" ca="1" si="24"/>
        <v>×</v>
      </c>
      <c r="AH58" t="str">
        <f t="shared" ca="1" si="25"/>
        <v>×</v>
      </c>
      <c r="AI58" t="str">
        <f t="shared" ca="1" si="5"/>
        <v>×</v>
      </c>
      <c r="AJ58" t="str">
        <f t="shared" ca="1" si="6"/>
        <v>×</v>
      </c>
      <c r="AK58" t="str">
        <f t="shared" ca="1" si="10"/>
        <v>×</v>
      </c>
      <c r="AL58" t="str">
        <f t="shared" ca="1" si="11"/>
        <v>×</v>
      </c>
      <c r="AM58" t="str">
        <f t="shared" ca="1" si="12"/>
        <v>×</v>
      </c>
      <c r="AN58" t="str">
        <f t="shared" ca="1" si="13"/>
        <v>×</v>
      </c>
      <c r="AO58" t="str">
        <f t="shared" ca="1" si="14"/>
        <v>×</v>
      </c>
      <c r="AP58" t="str">
        <f t="shared" ca="1" si="15"/>
        <v>×</v>
      </c>
      <c r="AQ58" t="str">
        <f t="shared" ca="1" si="16"/>
        <v>×</v>
      </c>
      <c r="AR58" t="str">
        <f t="shared" ca="1" si="17"/>
        <v>〇</v>
      </c>
      <c r="AS58" t="str">
        <f t="shared" ca="1" si="18"/>
        <v>×</v>
      </c>
      <c r="AT58" t="str">
        <f t="shared" ca="1" si="19"/>
        <v>×</v>
      </c>
      <c r="AU58" t="str">
        <f t="shared" ca="1" si="20"/>
        <v>×</v>
      </c>
      <c r="AV58" t="str">
        <f t="shared" ca="1" si="21"/>
        <v>×</v>
      </c>
      <c r="AW58" t="str">
        <f t="shared" ca="1" si="22"/>
        <v>×</v>
      </c>
      <c r="AX58" t="str">
        <f t="shared" ca="1" si="23"/>
        <v>×</v>
      </c>
    </row>
    <row r="59" spans="1:50">
      <c r="A59" t="str" cm="1">
        <f t="array" aca="1" ref="A59" ca="1">INDIRECT("'"&amp;試験名&amp;"'!A"&amp;ROW()-2)</f>
        <v>文法</v>
      </c>
      <c r="B59">
        <f t="shared" ca="1" si="7"/>
        <v>23</v>
      </c>
      <c r="E59">
        <v>1</v>
      </c>
      <c r="O59">
        <v>2</v>
      </c>
      <c r="P59">
        <v>1</v>
      </c>
      <c r="Q59">
        <v>4</v>
      </c>
      <c r="R59">
        <v>1</v>
      </c>
      <c r="V59">
        <v>4</v>
      </c>
      <c r="W59" s="3">
        <f t="shared" ca="1" si="8"/>
        <v>23</v>
      </c>
      <c r="X59" s="3">
        <f t="shared" ca="1" si="0"/>
        <v>3</v>
      </c>
      <c r="Y59" s="3">
        <f t="shared" ca="1" si="1"/>
        <v>1</v>
      </c>
      <c r="Z59" s="3">
        <f t="shared" ca="1" si="2"/>
        <v>0</v>
      </c>
      <c r="AA59" s="3">
        <f t="shared" ca="1" si="3"/>
        <v>2</v>
      </c>
      <c r="AB59" s="3">
        <f ca="1">IF(W59="","",COUNTA(T_受験者[])/4-COUNTA($C59:$V59))</f>
        <v>0</v>
      </c>
      <c r="AC59" s="3" cm="1">
        <f t="array" aca="1" ref="AC59" ca="1">IF(W59="","",INDIRECT("'"&amp;試験名&amp;"'!B"&amp;ROW()-2))</f>
        <v>1</v>
      </c>
      <c r="AD59" s="4">
        <f ca="1">IF(W59="","",COUNTIF(AE59:AX59,"〇")/(COUNTA(T_受験者[])/4))</f>
        <v>0.5</v>
      </c>
      <c r="AE59" t="str">
        <f t="shared" ca="1" si="9"/>
        <v>×</v>
      </c>
      <c r="AF59" t="str">
        <f t="shared" ca="1" si="9"/>
        <v>×</v>
      </c>
      <c r="AG59" t="str">
        <f t="shared" ca="1" si="24"/>
        <v>〇</v>
      </c>
      <c r="AH59" t="str">
        <f t="shared" ca="1" si="25"/>
        <v>×</v>
      </c>
      <c r="AI59" t="str">
        <f t="shared" ca="1" si="5"/>
        <v>×</v>
      </c>
      <c r="AJ59" t="str">
        <f t="shared" ca="1" si="6"/>
        <v>×</v>
      </c>
      <c r="AK59" t="str">
        <f t="shared" ca="1" si="10"/>
        <v>×</v>
      </c>
      <c r="AL59" t="str">
        <f t="shared" ca="1" si="11"/>
        <v>×</v>
      </c>
      <c r="AM59" t="str">
        <f t="shared" ca="1" si="12"/>
        <v>×</v>
      </c>
      <c r="AN59" t="str">
        <f t="shared" ca="1" si="13"/>
        <v>×</v>
      </c>
      <c r="AO59" t="str">
        <f t="shared" ca="1" si="14"/>
        <v>×</v>
      </c>
      <c r="AP59" t="str">
        <f t="shared" ca="1" si="15"/>
        <v>×</v>
      </c>
      <c r="AQ59" t="str">
        <f t="shared" ca="1" si="16"/>
        <v>×</v>
      </c>
      <c r="AR59" t="str">
        <f t="shared" ca="1" si="17"/>
        <v>〇</v>
      </c>
      <c r="AS59" t="str">
        <f t="shared" ca="1" si="18"/>
        <v>×</v>
      </c>
      <c r="AT59" t="str">
        <f t="shared" ca="1" si="19"/>
        <v>〇</v>
      </c>
      <c r="AU59" t="str">
        <f t="shared" ca="1" si="20"/>
        <v>×</v>
      </c>
      <c r="AV59" t="str">
        <f t="shared" ca="1" si="21"/>
        <v>×</v>
      </c>
      <c r="AW59" t="str">
        <f t="shared" ca="1" si="22"/>
        <v>×</v>
      </c>
      <c r="AX59" t="str">
        <f t="shared" ca="1" si="23"/>
        <v>×</v>
      </c>
    </row>
    <row r="60" spans="1:50">
      <c r="A60" t="str" cm="1">
        <f t="array" aca="1" ref="A60" ca="1">INDIRECT("'"&amp;試験名&amp;"'!A"&amp;ROW()-2)</f>
        <v>文法</v>
      </c>
      <c r="B60">
        <f t="shared" ca="1" si="7"/>
        <v>24</v>
      </c>
      <c r="E60">
        <v>2</v>
      </c>
      <c r="O60">
        <v>3</v>
      </c>
      <c r="P60">
        <v>2</v>
      </c>
      <c r="Q60">
        <v>2</v>
      </c>
      <c r="R60">
        <v>2</v>
      </c>
      <c r="W60" s="3">
        <f t="shared" ca="1" si="8"/>
        <v>24</v>
      </c>
      <c r="X60" s="3">
        <f t="shared" ca="1" si="0"/>
        <v>0</v>
      </c>
      <c r="Y60" s="3">
        <f t="shared" ca="1" si="1"/>
        <v>4</v>
      </c>
      <c r="Z60" s="3">
        <f t="shared" ca="1" si="2"/>
        <v>1</v>
      </c>
      <c r="AA60" s="3">
        <f t="shared" ca="1" si="3"/>
        <v>0</v>
      </c>
      <c r="AB60" s="3">
        <f ca="1">IF(W60="","",COUNTA(T_受験者[])/4-COUNTA($C60:$V60))</f>
        <v>1</v>
      </c>
      <c r="AC60" s="3" cm="1">
        <f t="array" aca="1" ref="AC60" ca="1">IF(W60="","",INDIRECT("'"&amp;試験名&amp;"'!B"&amp;ROW()-2))</f>
        <v>2</v>
      </c>
      <c r="AD60" s="4">
        <f ca="1">IF(W60="","",COUNTIF(AE60:AX60,"〇")/(COUNTA(T_受験者[])/4))</f>
        <v>0.66666666666666663</v>
      </c>
      <c r="AE60" t="str">
        <f t="shared" ca="1" si="9"/>
        <v>×</v>
      </c>
      <c r="AF60" t="str">
        <f t="shared" ca="1" si="9"/>
        <v>×</v>
      </c>
      <c r="AG60" t="str">
        <f t="shared" ca="1" si="24"/>
        <v>〇</v>
      </c>
      <c r="AH60" t="str">
        <f t="shared" ca="1" si="25"/>
        <v>×</v>
      </c>
      <c r="AI60" t="str">
        <f t="shared" ca="1" si="5"/>
        <v>×</v>
      </c>
      <c r="AJ60" t="str">
        <f t="shared" ca="1" si="6"/>
        <v>×</v>
      </c>
      <c r="AK60" t="str">
        <f t="shared" ca="1" si="10"/>
        <v>×</v>
      </c>
      <c r="AL60" t="str">
        <f t="shared" ca="1" si="11"/>
        <v>×</v>
      </c>
      <c r="AM60" t="str">
        <f t="shared" ca="1" si="12"/>
        <v>×</v>
      </c>
      <c r="AN60" t="str">
        <f t="shared" ca="1" si="13"/>
        <v>×</v>
      </c>
      <c r="AO60" t="str">
        <f t="shared" ca="1" si="14"/>
        <v>×</v>
      </c>
      <c r="AP60" t="str">
        <f t="shared" ca="1" si="15"/>
        <v>×</v>
      </c>
      <c r="AQ60" t="str">
        <f t="shared" ca="1" si="16"/>
        <v>×</v>
      </c>
      <c r="AR60" t="str">
        <f t="shared" ca="1" si="17"/>
        <v>〇</v>
      </c>
      <c r="AS60" t="str">
        <f t="shared" ca="1" si="18"/>
        <v>〇</v>
      </c>
      <c r="AT60" t="str">
        <f t="shared" ca="1" si="19"/>
        <v>〇</v>
      </c>
      <c r="AU60" t="str">
        <f t="shared" ca="1" si="20"/>
        <v>×</v>
      </c>
      <c r="AV60" t="str">
        <f t="shared" ca="1" si="21"/>
        <v>×</v>
      </c>
      <c r="AW60" t="str">
        <f t="shared" ca="1" si="22"/>
        <v>×</v>
      </c>
      <c r="AX60" t="str">
        <f t="shared" ca="1" si="23"/>
        <v>×</v>
      </c>
    </row>
    <row r="61" spans="1:50">
      <c r="A61" t="str" cm="1">
        <f t="array" aca="1" ref="A61" ca="1">INDIRECT("'"&amp;試験名&amp;"'!A"&amp;ROW()-2)</f>
        <v>文法</v>
      </c>
      <c r="B61">
        <f t="shared" ca="1" si="7"/>
        <v>25</v>
      </c>
      <c r="E61">
        <v>4</v>
      </c>
      <c r="O61">
        <v>4</v>
      </c>
      <c r="P61">
        <v>1</v>
      </c>
      <c r="Q61">
        <v>3</v>
      </c>
      <c r="R61">
        <v>1</v>
      </c>
      <c r="V61">
        <v>1</v>
      </c>
      <c r="W61" s="3">
        <f t="shared" ca="1" si="8"/>
        <v>25</v>
      </c>
      <c r="X61" s="3">
        <f t="shared" ca="1" si="0"/>
        <v>3</v>
      </c>
      <c r="Y61" s="3">
        <f t="shared" ca="1" si="1"/>
        <v>0</v>
      </c>
      <c r="Z61" s="3">
        <f t="shared" ca="1" si="2"/>
        <v>1</v>
      </c>
      <c r="AA61" s="3">
        <f t="shared" ca="1" si="3"/>
        <v>2</v>
      </c>
      <c r="AB61" s="3">
        <f ca="1">IF(W61="","",COUNTA(T_受験者[])/4-COUNTA($C61:$V61))</f>
        <v>0</v>
      </c>
      <c r="AC61" s="3" cm="1">
        <f t="array" aca="1" ref="AC61" ca="1">IF(W61="","",INDIRECT("'"&amp;試験名&amp;"'!B"&amp;ROW()-2))</f>
        <v>3</v>
      </c>
      <c r="AD61" s="4">
        <f ca="1">IF(W61="","",COUNTIF(AE61:AX61,"〇")/(COUNTA(T_受験者[])/4))</f>
        <v>0.16666666666666666</v>
      </c>
      <c r="AE61" t="str">
        <f t="shared" ca="1" si="9"/>
        <v>×</v>
      </c>
      <c r="AF61" t="str">
        <f t="shared" ca="1" si="9"/>
        <v>×</v>
      </c>
      <c r="AG61" t="str">
        <f t="shared" ca="1" si="24"/>
        <v>×</v>
      </c>
      <c r="AH61" t="str">
        <f t="shared" ca="1" si="25"/>
        <v>×</v>
      </c>
      <c r="AI61" t="str">
        <f t="shared" ca="1" si="5"/>
        <v>×</v>
      </c>
      <c r="AJ61" t="str">
        <f t="shared" ca="1" si="6"/>
        <v>×</v>
      </c>
      <c r="AK61" t="str">
        <f t="shared" ca="1" si="10"/>
        <v>×</v>
      </c>
      <c r="AL61" t="str">
        <f t="shared" ca="1" si="11"/>
        <v>×</v>
      </c>
      <c r="AM61" t="str">
        <f t="shared" ca="1" si="12"/>
        <v>×</v>
      </c>
      <c r="AN61" t="str">
        <f t="shared" ca="1" si="13"/>
        <v>×</v>
      </c>
      <c r="AO61" t="str">
        <f t="shared" ca="1" si="14"/>
        <v>×</v>
      </c>
      <c r="AP61" t="str">
        <f t="shared" ca="1" si="15"/>
        <v>×</v>
      </c>
      <c r="AQ61" t="str">
        <f t="shared" ca="1" si="16"/>
        <v>×</v>
      </c>
      <c r="AR61" t="str">
        <f t="shared" ca="1" si="17"/>
        <v>×</v>
      </c>
      <c r="AS61" t="str">
        <f t="shared" ca="1" si="18"/>
        <v>〇</v>
      </c>
      <c r="AT61" t="str">
        <f t="shared" ca="1" si="19"/>
        <v>×</v>
      </c>
      <c r="AU61" t="str">
        <f t="shared" ca="1" si="20"/>
        <v>×</v>
      </c>
      <c r="AV61" t="str">
        <f t="shared" ca="1" si="21"/>
        <v>×</v>
      </c>
      <c r="AW61" t="str">
        <f t="shared" ca="1" si="22"/>
        <v>×</v>
      </c>
      <c r="AX61" t="str">
        <f t="shared" ca="1" si="23"/>
        <v>×</v>
      </c>
    </row>
    <row r="62" spans="1:50">
      <c r="A62" t="str" cm="1">
        <f t="array" aca="1" ref="A62" ca="1">INDIRECT("'"&amp;試験名&amp;"'!A"&amp;ROW()-2)</f>
        <v>読解</v>
      </c>
      <c r="B62">
        <f t="shared" ca="1" si="7"/>
        <v>1</v>
      </c>
      <c r="E62">
        <v>3</v>
      </c>
      <c r="O62">
        <v>4</v>
      </c>
      <c r="P62">
        <v>4</v>
      </c>
      <c r="Q62">
        <v>4</v>
      </c>
      <c r="R62">
        <v>1</v>
      </c>
      <c r="V62">
        <v>4</v>
      </c>
      <c r="W62" s="3">
        <f t="shared" ca="1" si="8"/>
        <v>1</v>
      </c>
      <c r="X62" s="3">
        <f t="shared" ca="1" si="0"/>
        <v>1</v>
      </c>
      <c r="Y62" s="3">
        <f t="shared" ca="1" si="1"/>
        <v>0</v>
      </c>
      <c r="Z62" s="3">
        <f t="shared" ca="1" si="2"/>
        <v>1</v>
      </c>
      <c r="AA62" s="3">
        <f t="shared" ca="1" si="3"/>
        <v>4</v>
      </c>
      <c r="AB62" s="3">
        <f ca="1">IF(W62="","",COUNTA(T_受験者[])/4-COUNTA($C62:$V62))</f>
        <v>0</v>
      </c>
      <c r="AC62" s="3" cm="1">
        <f t="array" aca="1" ref="AC62" ca="1">IF(W62="","",INDIRECT("'"&amp;試験名&amp;"'!B"&amp;ROW()-2))</f>
        <v>1</v>
      </c>
      <c r="AD62" s="4">
        <f ca="1">IF(W62="","",COUNTIF(AE62:AX62,"〇")/(COUNTA(T_受験者[])/4))</f>
        <v>0.16666666666666666</v>
      </c>
      <c r="AE62" t="str">
        <f t="shared" ca="1" si="9"/>
        <v>×</v>
      </c>
      <c r="AF62" t="str">
        <f t="shared" ca="1" si="9"/>
        <v>×</v>
      </c>
      <c r="AG62" t="str">
        <f t="shared" ca="1" si="24"/>
        <v>×</v>
      </c>
      <c r="AH62" t="str">
        <f t="shared" ca="1" si="25"/>
        <v>×</v>
      </c>
      <c r="AI62" t="str">
        <f t="shared" ca="1" si="5"/>
        <v>×</v>
      </c>
      <c r="AJ62" t="str">
        <f t="shared" ca="1" si="6"/>
        <v>×</v>
      </c>
      <c r="AK62" t="str">
        <f t="shared" ca="1" si="10"/>
        <v>×</v>
      </c>
      <c r="AL62" t="str">
        <f t="shared" ca="1" si="11"/>
        <v>×</v>
      </c>
      <c r="AM62" t="str">
        <f t="shared" ca="1" si="12"/>
        <v>×</v>
      </c>
      <c r="AN62" t="str">
        <f t="shared" ca="1" si="13"/>
        <v>×</v>
      </c>
      <c r="AO62" t="str">
        <f t="shared" ca="1" si="14"/>
        <v>×</v>
      </c>
      <c r="AP62" t="str">
        <f t="shared" ca="1" si="15"/>
        <v>×</v>
      </c>
      <c r="AQ62" t="str">
        <f t="shared" ca="1" si="16"/>
        <v>×</v>
      </c>
      <c r="AR62" t="str">
        <f t="shared" ca="1" si="17"/>
        <v>×</v>
      </c>
      <c r="AS62" t="str">
        <f t="shared" ca="1" si="18"/>
        <v>×</v>
      </c>
      <c r="AT62" t="str">
        <f t="shared" ca="1" si="19"/>
        <v>〇</v>
      </c>
      <c r="AU62" t="str">
        <f t="shared" ca="1" si="20"/>
        <v>×</v>
      </c>
      <c r="AV62" t="str">
        <f t="shared" ca="1" si="21"/>
        <v>×</v>
      </c>
      <c r="AW62" t="str">
        <f t="shared" ca="1" si="22"/>
        <v>×</v>
      </c>
      <c r="AX62" t="str">
        <f t="shared" ca="1" si="23"/>
        <v>×</v>
      </c>
    </row>
    <row r="63" spans="1:50">
      <c r="A63" t="str" cm="1">
        <f t="array" aca="1" ref="A63" ca="1">INDIRECT("'"&amp;試験名&amp;"'!A"&amp;ROW()-2)</f>
        <v>読解</v>
      </c>
      <c r="B63">
        <f t="shared" ca="1" si="7"/>
        <v>2</v>
      </c>
      <c r="E63">
        <v>1</v>
      </c>
      <c r="O63">
        <v>4</v>
      </c>
      <c r="P63">
        <v>1</v>
      </c>
      <c r="Q63">
        <v>3</v>
      </c>
      <c r="R63">
        <v>4</v>
      </c>
      <c r="V63">
        <v>2</v>
      </c>
      <c r="W63" s="3">
        <f t="shared" ca="1" si="8"/>
        <v>2</v>
      </c>
      <c r="X63" s="3">
        <f t="shared" ca="1" si="0"/>
        <v>2</v>
      </c>
      <c r="Y63" s="3">
        <f t="shared" ca="1" si="1"/>
        <v>1</v>
      </c>
      <c r="Z63" s="3">
        <f t="shared" ca="1" si="2"/>
        <v>1</v>
      </c>
      <c r="AA63" s="3">
        <f t="shared" ca="1" si="3"/>
        <v>2</v>
      </c>
      <c r="AB63" s="3">
        <f ca="1">IF(W63="","",COUNTA(T_受験者[])/4-COUNTA($C63:$V63))</f>
        <v>0</v>
      </c>
      <c r="AC63" s="3" cm="1">
        <f t="array" aca="1" ref="AC63" ca="1">IF(W63="","",INDIRECT("'"&amp;試験名&amp;"'!B"&amp;ROW()-2))</f>
        <v>4</v>
      </c>
      <c r="AD63" s="4">
        <f ca="1">IF(W63="","",COUNTIF(AE63:AX63,"〇")/(COUNTA(T_受験者[])/4))</f>
        <v>0.33333333333333331</v>
      </c>
      <c r="AE63" t="str">
        <f t="shared" ca="1" si="9"/>
        <v>×</v>
      </c>
      <c r="AF63" t="str">
        <f t="shared" ca="1" si="9"/>
        <v>×</v>
      </c>
      <c r="AG63" t="str">
        <f t="shared" ca="1" si="24"/>
        <v>×</v>
      </c>
      <c r="AH63" t="str">
        <f t="shared" ca="1" si="25"/>
        <v>×</v>
      </c>
      <c r="AI63" t="str">
        <f t="shared" ca="1" si="5"/>
        <v>×</v>
      </c>
      <c r="AJ63" t="str">
        <f t="shared" ca="1" si="6"/>
        <v>×</v>
      </c>
      <c r="AK63" t="str">
        <f t="shared" ca="1" si="10"/>
        <v>×</v>
      </c>
      <c r="AL63" t="str">
        <f t="shared" ca="1" si="11"/>
        <v>×</v>
      </c>
      <c r="AM63" t="str">
        <f t="shared" ca="1" si="12"/>
        <v>×</v>
      </c>
      <c r="AN63" t="str">
        <f t="shared" ca="1" si="13"/>
        <v>×</v>
      </c>
      <c r="AO63" t="str">
        <f t="shared" ca="1" si="14"/>
        <v>×</v>
      </c>
      <c r="AP63" t="str">
        <f t="shared" ca="1" si="15"/>
        <v>×</v>
      </c>
      <c r="AQ63" t="str">
        <f t="shared" ca="1" si="16"/>
        <v>〇</v>
      </c>
      <c r="AR63" t="str">
        <f t="shared" ca="1" si="17"/>
        <v>×</v>
      </c>
      <c r="AS63" t="str">
        <f t="shared" ca="1" si="18"/>
        <v>×</v>
      </c>
      <c r="AT63" t="str">
        <f t="shared" ca="1" si="19"/>
        <v>〇</v>
      </c>
      <c r="AU63" t="str">
        <f t="shared" ca="1" si="20"/>
        <v>×</v>
      </c>
      <c r="AV63" t="str">
        <f t="shared" ca="1" si="21"/>
        <v>×</v>
      </c>
      <c r="AW63" t="str">
        <f t="shared" ca="1" si="22"/>
        <v>×</v>
      </c>
      <c r="AX63" t="str">
        <f t="shared" ca="1" si="23"/>
        <v>×</v>
      </c>
    </row>
    <row r="64" spans="1:50">
      <c r="A64" t="str" cm="1">
        <f t="array" aca="1" ref="A64" ca="1">INDIRECT("'"&amp;試験名&amp;"'!A"&amp;ROW()-2)</f>
        <v>読解</v>
      </c>
      <c r="B64">
        <f t="shared" ca="1" si="7"/>
        <v>3</v>
      </c>
      <c r="E64">
        <v>2</v>
      </c>
      <c r="O64">
        <v>2</v>
      </c>
      <c r="P64">
        <v>4</v>
      </c>
      <c r="Q64">
        <v>2</v>
      </c>
      <c r="R64">
        <v>2</v>
      </c>
      <c r="V64">
        <v>1</v>
      </c>
      <c r="W64" s="3">
        <f t="shared" ca="1" si="8"/>
        <v>3</v>
      </c>
      <c r="X64" s="3">
        <f t="shared" ca="1" si="0"/>
        <v>1</v>
      </c>
      <c r="Y64" s="3">
        <f t="shared" ca="1" si="1"/>
        <v>4</v>
      </c>
      <c r="Z64" s="3">
        <f t="shared" ca="1" si="2"/>
        <v>0</v>
      </c>
      <c r="AA64" s="3">
        <f t="shared" ca="1" si="3"/>
        <v>1</v>
      </c>
      <c r="AB64" s="3">
        <f ca="1">IF(W64="","",COUNTA(T_受験者[])/4-COUNTA($C64:$V64))</f>
        <v>0</v>
      </c>
      <c r="AC64" s="3" cm="1">
        <f t="array" aca="1" ref="AC64" ca="1">IF(W64="","",INDIRECT("'"&amp;試験名&amp;"'!B"&amp;ROW()-2))</f>
        <v>2</v>
      </c>
      <c r="AD64" s="4">
        <f ca="1">IF(W64="","",COUNTIF(AE64:AX64,"〇")/(COUNTA(T_受験者[])/4))</f>
        <v>0.66666666666666663</v>
      </c>
      <c r="AE64" t="str">
        <f t="shared" ca="1" si="9"/>
        <v>×</v>
      </c>
      <c r="AF64" t="str">
        <f t="shared" ca="1" si="9"/>
        <v>×</v>
      </c>
      <c r="AG64" t="str">
        <f t="shared" ca="1" si="24"/>
        <v>〇</v>
      </c>
      <c r="AH64" t="str">
        <f t="shared" ca="1" si="25"/>
        <v>×</v>
      </c>
      <c r="AI64" t="str">
        <f t="shared" ca="1" si="5"/>
        <v>×</v>
      </c>
      <c r="AJ64" t="str">
        <f t="shared" ca="1" si="6"/>
        <v>×</v>
      </c>
      <c r="AK64" t="str">
        <f t="shared" ca="1" si="10"/>
        <v>×</v>
      </c>
      <c r="AL64" t="str">
        <f t="shared" ca="1" si="11"/>
        <v>×</v>
      </c>
      <c r="AM64" t="str">
        <f t="shared" ca="1" si="12"/>
        <v>×</v>
      </c>
      <c r="AN64" t="str">
        <f t="shared" ca="1" si="13"/>
        <v>×</v>
      </c>
      <c r="AO64" t="str">
        <f t="shared" ca="1" si="14"/>
        <v>×</v>
      </c>
      <c r="AP64" t="str">
        <f t="shared" ca="1" si="15"/>
        <v>×</v>
      </c>
      <c r="AQ64" t="str">
        <f t="shared" ca="1" si="16"/>
        <v>〇</v>
      </c>
      <c r="AR64" t="str">
        <f t="shared" ca="1" si="17"/>
        <v>×</v>
      </c>
      <c r="AS64" t="str">
        <f t="shared" ca="1" si="18"/>
        <v>〇</v>
      </c>
      <c r="AT64" t="str">
        <f t="shared" ca="1" si="19"/>
        <v>〇</v>
      </c>
      <c r="AU64" t="str">
        <f t="shared" ca="1" si="20"/>
        <v>×</v>
      </c>
      <c r="AV64" t="str">
        <f t="shared" ca="1" si="21"/>
        <v>×</v>
      </c>
      <c r="AW64" t="str">
        <f t="shared" ca="1" si="22"/>
        <v>×</v>
      </c>
      <c r="AX64" t="str">
        <f t="shared" ca="1" si="23"/>
        <v>×</v>
      </c>
    </row>
    <row r="65" spans="1:50">
      <c r="A65" t="str" cm="1">
        <f t="array" aca="1" ref="A65" ca="1">INDIRECT("'"&amp;試験名&amp;"'!A"&amp;ROW()-2)</f>
        <v>読解</v>
      </c>
      <c r="B65">
        <f t="shared" ca="1" si="7"/>
        <v>4</v>
      </c>
      <c r="E65">
        <v>2</v>
      </c>
      <c r="O65">
        <v>4</v>
      </c>
      <c r="P65">
        <v>4</v>
      </c>
      <c r="Q65">
        <v>3</v>
      </c>
      <c r="R65">
        <v>3</v>
      </c>
      <c r="V65">
        <v>2</v>
      </c>
      <c r="W65" s="3">
        <f t="shared" ca="1" si="8"/>
        <v>4</v>
      </c>
      <c r="X65" s="3">
        <f t="shared" ca="1" si="0"/>
        <v>0</v>
      </c>
      <c r="Y65" s="3">
        <f t="shared" ca="1" si="1"/>
        <v>2</v>
      </c>
      <c r="Z65" s="3">
        <f t="shared" ca="1" si="2"/>
        <v>2</v>
      </c>
      <c r="AA65" s="3">
        <f t="shared" ca="1" si="3"/>
        <v>2</v>
      </c>
      <c r="AB65" s="3">
        <f ca="1">IF(W65="","",COUNTA(T_受験者[])/4-COUNTA($C65:$V65))</f>
        <v>0</v>
      </c>
      <c r="AC65" s="3" cm="1">
        <f t="array" aca="1" ref="AC65" ca="1">IF(W65="","",INDIRECT("'"&amp;試験名&amp;"'!B"&amp;ROW()-2))</f>
        <v>2</v>
      </c>
      <c r="AD65" s="4">
        <f ca="1">IF(W65="","",COUNTIF(AE65:AX65,"〇")/(COUNTA(T_受験者[])/4))</f>
        <v>0.33333333333333331</v>
      </c>
      <c r="AE65" t="str">
        <f t="shared" ca="1" si="9"/>
        <v>×</v>
      </c>
      <c r="AF65" t="str">
        <f t="shared" ca="1" si="9"/>
        <v>×</v>
      </c>
      <c r="AG65" t="str">
        <f t="shared" ca="1" si="24"/>
        <v>〇</v>
      </c>
      <c r="AH65" t="str">
        <f t="shared" ca="1" si="25"/>
        <v>×</v>
      </c>
      <c r="AI65" t="str">
        <f t="shared" ca="1" si="5"/>
        <v>×</v>
      </c>
      <c r="AJ65" t="str">
        <f t="shared" ca="1" si="6"/>
        <v>×</v>
      </c>
      <c r="AK65" t="str">
        <f t="shared" ca="1" si="10"/>
        <v>×</v>
      </c>
      <c r="AL65" t="str">
        <f t="shared" ca="1" si="11"/>
        <v>×</v>
      </c>
      <c r="AM65" t="str">
        <f t="shared" ca="1" si="12"/>
        <v>×</v>
      </c>
      <c r="AN65" t="str">
        <f t="shared" ca="1" si="13"/>
        <v>×</v>
      </c>
      <c r="AO65" t="str">
        <f t="shared" ca="1" si="14"/>
        <v>×</v>
      </c>
      <c r="AP65" t="str">
        <f t="shared" ca="1" si="15"/>
        <v>×</v>
      </c>
      <c r="AQ65" t="str">
        <f t="shared" ca="1" si="16"/>
        <v>×</v>
      </c>
      <c r="AR65" t="str">
        <f t="shared" ca="1" si="17"/>
        <v>×</v>
      </c>
      <c r="AS65" t="str">
        <f t="shared" ca="1" si="18"/>
        <v>×</v>
      </c>
      <c r="AT65" t="str">
        <f t="shared" ca="1" si="19"/>
        <v>×</v>
      </c>
      <c r="AU65" t="str">
        <f t="shared" ca="1" si="20"/>
        <v>×</v>
      </c>
      <c r="AV65" t="str">
        <f t="shared" ca="1" si="21"/>
        <v>×</v>
      </c>
      <c r="AW65" t="str">
        <f t="shared" ca="1" si="22"/>
        <v>×</v>
      </c>
      <c r="AX65" t="str">
        <f t="shared" ca="1" si="23"/>
        <v>〇</v>
      </c>
    </row>
    <row r="66" spans="1:50">
      <c r="A66" t="str" cm="1">
        <f t="array" aca="1" ref="A66" ca="1">INDIRECT("'"&amp;試験名&amp;"'!A"&amp;ROW()-2)</f>
        <v>読解</v>
      </c>
      <c r="B66">
        <f t="shared" ca="1" si="7"/>
        <v>5</v>
      </c>
      <c r="E66">
        <v>1</v>
      </c>
      <c r="O66">
        <v>1</v>
      </c>
      <c r="P66">
        <v>2</v>
      </c>
      <c r="Q66">
        <v>3</v>
      </c>
      <c r="R66">
        <v>2</v>
      </c>
      <c r="V66">
        <v>2</v>
      </c>
      <c r="W66" s="3">
        <f t="shared" ca="1" si="8"/>
        <v>5</v>
      </c>
      <c r="X66" s="3">
        <f t="shared" ca="1" si="0"/>
        <v>2</v>
      </c>
      <c r="Y66" s="3">
        <f t="shared" ca="1" si="1"/>
        <v>3</v>
      </c>
      <c r="Z66" s="3">
        <f t="shared" ca="1" si="2"/>
        <v>1</v>
      </c>
      <c r="AA66" s="3">
        <f t="shared" ca="1" si="3"/>
        <v>0</v>
      </c>
      <c r="AB66" s="3">
        <f ca="1">IF(W66="","",COUNTA(T_受験者[])/4-COUNTA($C66:$V66))</f>
        <v>0</v>
      </c>
      <c r="AC66" s="3" cm="1">
        <f t="array" aca="1" ref="AC66" ca="1">IF(W66="","",INDIRECT("'"&amp;試験名&amp;"'!B"&amp;ROW()-2))</f>
        <v>4</v>
      </c>
      <c r="AD66" s="4">
        <f ca="1">IF(W66="","",COUNTIF(AE66:AX66,"〇")/(COUNTA(T_受験者[])/4))</f>
        <v>0</v>
      </c>
      <c r="AE66" t="str">
        <f t="shared" ca="1" si="9"/>
        <v>×</v>
      </c>
      <c r="AF66" t="str">
        <f t="shared" ca="1" si="9"/>
        <v>×</v>
      </c>
      <c r="AG66" t="str">
        <f t="shared" ca="1" si="24"/>
        <v>×</v>
      </c>
      <c r="AH66" t="str">
        <f t="shared" ca="1" si="25"/>
        <v>×</v>
      </c>
      <c r="AI66" t="str">
        <f t="shared" ca="1" si="5"/>
        <v>×</v>
      </c>
      <c r="AJ66" t="str">
        <f t="shared" ca="1" si="6"/>
        <v>×</v>
      </c>
      <c r="AK66" t="str">
        <f t="shared" ca="1" si="10"/>
        <v>×</v>
      </c>
      <c r="AL66" t="str">
        <f t="shared" ca="1" si="11"/>
        <v>×</v>
      </c>
      <c r="AM66" t="str">
        <f t="shared" ca="1" si="12"/>
        <v>×</v>
      </c>
      <c r="AN66" t="str">
        <f t="shared" ca="1" si="13"/>
        <v>×</v>
      </c>
      <c r="AO66" t="str">
        <f t="shared" ca="1" si="14"/>
        <v>×</v>
      </c>
      <c r="AP66" t="str">
        <f t="shared" ca="1" si="15"/>
        <v>×</v>
      </c>
      <c r="AQ66" t="str">
        <f t="shared" ca="1" si="16"/>
        <v>×</v>
      </c>
      <c r="AR66" t="str">
        <f t="shared" ca="1" si="17"/>
        <v>×</v>
      </c>
      <c r="AS66" t="str">
        <f t="shared" ca="1" si="18"/>
        <v>×</v>
      </c>
      <c r="AT66" t="str">
        <f t="shared" ca="1" si="19"/>
        <v>×</v>
      </c>
      <c r="AU66" t="str">
        <f t="shared" ca="1" si="20"/>
        <v>×</v>
      </c>
      <c r="AV66" t="str">
        <f t="shared" ca="1" si="21"/>
        <v>×</v>
      </c>
      <c r="AW66" t="str">
        <f t="shared" ca="1" si="22"/>
        <v>×</v>
      </c>
      <c r="AX66" t="str">
        <f t="shared" ca="1" si="23"/>
        <v>×</v>
      </c>
    </row>
    <row r="67" spans="1:50">
      <c r="A67" t="str" cm="1">
        <f t="array" aca="1" ref="A67" ca="1">INDIRECT("'"&amp;試験名&amp;"'!A"&amp;ROW()-2)</f>
        <v>読解</v>
      </c>
      <c r="B67">
        <f t="shared" ca="1" si="7"/>
        <v>6</v>
      </c>
      <c r="E67">
        <v>3</v>
      </c>
      <c r="O67">
        <v>2</v>
      </c>
      <c r="P67">
        <v>4</v>
      </c>
      <c r="Q67">
        <v>2</v>
      </c>
      <c r="R67">
        <v>4</v>
      </c>
      <c r="V67">
        <v>1</v>
      </c>
      <c r="W67" s="3">
        <f t="shared" ca="1" si="8"/>
        <v>6</v>
      </c>
      <c r="X67" s="3">
        <f t="shared" ref="X67:X90" ca="1" si="26">IF(W67="","",COUNTIF($C67:$V67,X$2))</f>
        <v>1</v>
      </c>
      <c r="Y67" s="3">
        <f t="shared" ref="Y67:Y116" ca="1" si="27">IF(W67="","",COUNTIF($C67:$V67,Y$2))</f>
        <v>2</v>
      </c>
      <c r="Z67" s="3">
        <f t="shared" ref="Z67:Z116" ca="1" si="28">IF(W67="","",COUNTIF($C67:$V67,Z$2))</f>
        <v>1</v>
      </c>
      <c r="AA67" s="3">
        <f t="shared" ref="AA67:AA116" ca="1" si="29">IF(W67="","",COUNTIF($C67:$V67,AA$2))</f>
        <v>2</v>
      </c>
      <c r="AB67" s="3">
        <f ca="1">IF(W67="","",COUNTA(T_受験者[])/4-COUNTA($C67:$V67))</f>
        <v>0</v>
      </c>
      <c r="AC67" s="3" cm="1">
        <f t="array" aca="1" ref="AC67" ca="1">IF(W67="","",INDIRECT("'"&amp;試験名&amp;"'!B"&amp;ROW()-2))</f>
        <v>1</v>
      </c>
      <c r="AD67" s="4">
        <f ca="1">IF(W67="","",COUNTIF(AE67:AX67,"〇")/(COUNTA(T_受験者[])/4))</f>
        <v>0.16666666666666666</v>
      </c>
      <c r="AE67" t="str">
        <f t="shared" ca="1" si="9"/>
        <v>×</v>
      </c>
      <c r="AF67" t="str">
        <f t="shared" ca="1" si="9"/>
        <v>×</v>
      </c>
      <c r="AG67" t="str">
        <f t="shared" ca="1" si="24"/>
        <v>×</v>
      </c>
      <c r="AH67" t="str">
        <f t="shared" ca="1" si="25"/>
        <v>×</v>
      </c>
      <c r="AI67" t="str">
        <f t="shared" ref="AI67:AI117" ca="1" si="30">IF($W67="","",IF(G67=$AC67,"〇","×"))</f>
        <v>×</v>
      </c>
      <c r="AJ67" t="str">
        <f t="shared" ref="AJ67:AJ117" ca="1" si="31">IF($W67="","",IF(H67=$AC67,"〇","×"))</f>
        <v>×</v>
      </c>
      <c r="AK67" t="str">
        <f t="shared" ca="1" si="10"/>
        <v>×</v>
      </c>
      <c r="AL67" t="str">
        <f t="shared" ca="1" si="11"/>
        <v>×</v>
      </c>
      <c r="AM67" t="str">
        <f t="shared" ca="1" si="12"/>
        <v>×</v>
      </c>
      <c r="AN67" t="str">
        <f t="shared" ca="1" si="13"/>
        <v>×</v>
      </c>
      <c r="AO67" t="str">
        <f t="shared" ca="1" si="14"/>
        <v>×</v>
      </c>
      <c r="AP67" t="str">
        <f t="shared" ca="1" si="15"/>
        <v>×</v>
      </c>
      <c r="AQ67" t="str">
        <f t="shared" ca="1" si="16"/>
        <v>×</v>
      </c>
      <c r="AR67" t="str">
        <f t="shared" ca="1" si="17"/>
        <v>×</v>
      </c>
      <c r="AS67" t="str">
        <f t="shared" ca="1" si="18"/>
        <v>×</v>
      </c>
      <c r="AT67" t="str">
        <f t="shared" ca="1" si="19"/>
        <v>×</v>
      </c>
      <c r="AU67" t="str">
        <f t="shared" ca="1" si="20"/>
        <v>×</v>
      </c>
      <c r="AV67" t="str">
        <f t="shared" ca="1" si="21"/>
        <v>×</v>
      </c>
      <c r="AW67" t="str">
        <f t="shared" ca="1" si="22"/>
        <v>×</v>
      </c>
      <c r="AX67" t="str">
        <f t="shared" ca="1" si="23"/>
        <v>〇</v>
      </c>
    </row>
    <row r="68" spans="1:50">
      <c r="A68" t="str" cm="1">
        <f t="array" aca="1" ref="A68" ca="1">INDIRECT("'"&amp;試験名&amp;"'!A"&amp;ROW()-2)</f>
        <v>読解</v>
      </c>
      <c r="B68">
        <f t="shared" ref="B68:B117" ca="1" si="32">IF(A68="","",IF(A67=A68,B67+1,1))</f>
        <v>7</v>
      </c>
      <c r="E68">
        <v>4</v>
      </c>
      <c r="O68">
        <v>4</v>
      </c>
      <c r="P68">
        <v>4</v>
      </c>
      <c r="Q68">
        <v>4</v>
      </c>
      <c r="R68">
        <v>1</v>
      </c>
      <c r="V68">
        <v>3</v>
      </c>
      <c r="W68" s="3">
        <f t="shared" ref="W68:W117" ca="1" si="33">B68</f>
        <v>7</v>
      </c>
      <c r="X68" s="3">
        <f t="shared" ca="1" si="26"/>
        <v>1</v>
      </c>
      <c r="Y68" s="3">
        <f t="shared" ca="1" si="27"/>
        <v>0</v>
      </c>
      <c r="Z68" s="3">
        <f t="shared" ca="1" si="28"/>
        <v>1</v>
      </c>
      <c r="AA68" s="3">
        <f t="shared" ca="1" si="29"/>
        <v>4</v>
      </c>
      <c r="AB68" s="3">
        <f ca="1">IF(W68="","",COUNTA(T_受験者[])/4-COUNTA($C68:$V68))</f>
        <v>0</v>
      </c>
      <c r="AC68" s="3" cm="1">
        <f t="array" aca="1" ref="AC68" ca="1">IF(W68="","",INDIRECT("'"&amp;試験名&amp;"'!B"&amp;ROW()-2))</f>
        <v>4</v>
      </c>
      <c r="AD68" s="4">
        <f ca="1">IF(W68="","",COUNTIF(AE68:AX68,"〇")/(COUNTA(T_受験者[])/4))</f>
        <v>0.66666666666666663</v>
      </c>
      <c r="AE68" t="str">
        <f t="shared" ref="AE68:AF117" ca="1" si="34">IF($W68="","",IF(C68=$AC68,"〇","×"))</f>
        <v>×</v>
      </c>
      <c r="AF68" t="str">
        <f t="shared" ca="1" si="34"/>
        <v>×</v>
      </c>
      <c r="AG68" t="str">
        <f t="shared" ca="1" si="24"/>
        <v>〇</v>
      </c>
      <c r="AH68" t="str">
        <f t="shared" ca="1" si="25"/>
        <v>×</v>
      </c>
      <c r="AI68" t="str">
        <f t="shared" ca="1" si="30"/>
        <v>×</v>
      </c>
      <c r="AJ68" t="str">
        <f t="shared" ca="1" si="31"/>
        <v>×</v>
      </c>
      <c r="AK68" t="str">
        <f t="shared" ca="1" si="10"/>
        <v>×</v>
      </c>
      <c r="AL68" t="str">
        <f t="shared" ca="1" si="11"/>
        <v>×</v>
      </c>
      <c r="AM68" t="str">
        <f t="shared" ca="1" si="12"/>
        <v>×</v>
      </c>
      <c r="AN68" t="str">
        <f t="shared" ca="1" si="13"/>
        <v>×</v>
      </c>
      <c r="AO68" t="str">
        <f t="shared" ca="1" si="14"/>
        <v>×</v>
      </c>
      <c r="AP68" t="str">
        <f t="shared" ca="1" si="15"/>
        <v>×</v>
      </c>
      <c r="AQ68" t="str">
        <f t="shared" ca="1" si="16"/>
        <v>〇</v>
      </c>
      <c r="AR68" t="str">
        <f t="shared" ca="1" si="17"/>
        <v>〇</v>
      </c>
      <c r="AS68" t="str">
        <f t="shared" ca="1" si="18"/>
        <v>〇</v>
      </c>
      <c r="AT68" t="str">
        <f t="shared" ca="1" si="19"/>
        <v>×</v>
      </c>
      <c r="AU68" t="str">
        <f t="shared" ca="1" si="20"/>
        <v>×</v>
      </c>
      <c r="AV68" t="str">
        <f t="shared" ca="1" si="21"/>
        <v>×</v>
      </c>
      <c r="AW68" t="str">
        <f t="shared" ca="1" si="22"/>
        <v>×</v>
      </c>
      <c r="AX68" t="str">
        <f t="shared" ca="1" si="23"/>
        <v>×</v>
      </c>
    </row>
    <row r="69" spans="1:50">
      <c r="A69" t="str" cm="1">
        <f t="array" aca="1" ref="A69" ca="1">INDIRECT("'"&amp;試験名&amp;"'!A"&amp;ROW()-2)</f>
        <v>読解</v>
      </c>
      <c r="B69">
        <f t="shared" ca="1" si="32"/>
        <v>8</v>
      </c>
      <c r="E69">
        <v>2</v>
      </c>
      <c r="O69">
        <v>1</v>
      </c>
      <c r="P69">
        <v>3</v>
      </c>
      <c r="Q69">
        <v>4</v>
      </c>
      <c r="R69">
        <v>3</v>
      </c>
      <c r="V69">
        <v>2</v>
      </c>
      <c r="W69" s="3">
        <f t="shared" ca="1" si="33"/>
        <v>8</v>
      </c>
      <c r="X69" s="3">
        <f t="shared" ca="1" si="26"/>
        <v>1</v>
      </c>
      <c r="Y69" s="3">
        <f t="shared" ca="1" si="27"/>
        <v>2</v>
      </c>
      <c r="Z69" s="3">
        <f t="shared" ca="1" si="28"/>
        <v>2</v>
      </c>
      <c r="AA69" s="3">
        <f t="shared" ca="1" si="29"/>
        <v>1</v>
      </c>
      <c r="AB69" s="3">
        <f ca="1">IF(W69="","",COUNTA(T_受験者[])/4-COUNTA($C69:$V69))</f>
        <v>0</v>
      </c>
      <c r="AC69" s="3" cm="1">
        <f t="array" aca="1" ref="AC69" ca="1">IF(W69="","",INDIRECT("'"&amp;試験名&amp;"'!B"&amp;ROW()-2))</f>
        <v>3</v>
      </c>
      <c r="AD69" s="4">
        <f ca="1">IF(W69="","",COUNTIF(AE69:AX69,"〇")/(COUNTA(T_受験者[])/4))</f>
        <v>0.33333333333333331</v>
      </c>
      <c r="AE69" t="str">
        <f t="shared" ca="1" si="34"/>
        <v>×</v>
      </c>
      <c r="AF69" t="str">
        <f t="shared" ca="1" si="34"/>
        <v>×</v>
      </c>
      <c r="AG69" t="str">
        <f t="shared" ca="1" si="24"/>
        <v>×</v>
      </c>
      <c r="AH69" t="str">
        <f t="shared" ca="1" si="25"/>
        <v>×</v>
      </c>
      <c r="AI69" t="str">
        <f t="shared" ca="1" si="30"/>
        <v>×</v>
      </c>
      <c r="AJ69" t="str">
        <f t="shared" ca="1" si="31"/>
        <v>×</v>
      </c>
      <c r="AK69" t="str">
        <f t="shared" ca="1" si="10"/>
        <v>×</v>
      </c>
      <c r="AL69" t="str">
        <f t="shared" ca="1" si="11"/>
        <v>×</v>
      </c>
      <c r="AM69" t="str">
        <f t="shared" ca="1" si="12"/>
        <v>×</v>
      </c>
      <c r="AN69" t="str">
        <f t="shared" ca="1" si="13"/>
        <v>×</v>
      </c>
      <c r="AO69" t="str">
        <f t="shared" ca="1" si="14"/>
        <v>×</v>
      </c>
      <c r="AP69" t="str">
        <f t="shared" ca="1" si="15"/>
        <v>×</v>
      </c>
      <c r="AQ69" t="str">
        <f t="shared" ca="1" si="16"/>
        <v>×</v>
      </c>
      <c r="AR69" t="str">
        <f t="shared" ca="1" si="17"/>
        <v>〇</v>
      </c>
      <c r="AS69" t="str">
        <f t="shared" ca="1" si="18"/>
        <v>×</v>
      </c>
      <c r="AT69" t="str">
        <f t="shared" ca="1" si="19"/>
        <v>〇</v>
      </c>
      <c r="AU69" t="str">
        <f t="shared" ca="1" si="20"/>
        <v>×</v>
      </c>
      <c r="AV69" t="str">
        <f t="shared" ca="1" si="21"/>
        <v>×</v>
      </c>
      <c r="AW69" t="str">
        <f t="shared" ca="1" si="22"/>
        <v>×</v>
      </c>
      <c r="AX69" t="str">
        <f t="shared" ca="1" si="23"/>
        <v>×</v>
      </c>
    </row>
    <row r="70" spans="1:50">
      <c r="A70" t="str" cm="1">
        <f t="array" aca="1" ref="A70" ca="1">INDIRECT("'"&amp;試験名&amp;"'!A"&amp;ROW()-2)</f>
        <v>読解</v>
      </c>
      <c r="B70">
        <f t="shared" ca="1" si="32"/>
        <v>9</v>
      </c>
      <c r="E70">
        <v>2</v>
      </c>
      <c r="O70">
        <v>4</v>
      </c>
      <c r="P70">
        <v>4</v>
      </c>
      <c r="Q70">
        <v>1</v>
      </c>
      <c r="R70">
        <v>2</v>
      </c>
      <c r="V70">
        <v>1</v>
      </c>
      <c r="W70" s="3">
        <f t="shared" ca="1" si="33"/>
        <v>9</v>
      </c>
      <c r="X70" s="3">
        <f t="shared" ca="1" si="26"/>
        <v>2</v>
      </c>
      <c r="Y70" s="3">
        <f t="shared" ca="1" si="27"/>
        <v>2</v>
      </c>
      <c r="Z70" s="3">
        <f t="shared" ca="1" si="28"/>
        <v>0</v>
      </c>
      <c r="AA70" s="3">
        <f t="shared" ca="1" si="29"/>
        <v>2</v>
      </c>
      <c r="AB70" s="3">
        <f ca="1">IF(W70="","",COUNTA(T_受験者[])/4-COUNTA($C70:$V70))</f>
        <v>0</v>
      </c>
      <c r="AC70" s="3" cm="1">
        <f t="array" aca="1" ref="AC70" ca="1">IF(W70="","",INDIRECT("'"&amp;試験名&amp;"'!B"&amp;ROW()-2))</f>
        <v>1</v>
      </c>
      <c r="AD70" s="4">
        <f ca="1">IF(W70="","",COUNTIF(AE70:AX70,"〇")/(COUNTA(T_受験者[])/4))</f>
        <v>0.33333333333333331</v>
      </c>
      <c r="AE70" t="str">
        <f t="shared" ca="1" si="34"/>
        <v>×</v>
      </c>
      <c r="AF70" t="str">
        <f t="shared" ca="1" si="34"/>
        <v>×</v>
      </c>
      <c r="AG70" t="str">
        <f t="shared" ca="1" si="24"/>
        <v>×</v>
      </c>
      <c r="AH70" t="str">
        <f t="shared" ca="1" si="25"/>
        <v>×</v>
      </c>
      <c r="AI70" t="str">
        <f t="shared" ca="1" si="30"/>
        <v>×</v>
      </c>
      <c r="AJ70" t="str">
        <f t="shared" ca="1" si="31"/>
        <v>×</v>
      </c>
      <c r="AK70" t="str">
        <f t="shared" ca="1" si="10"/>
        <v>×</v>
      </c>
      <c r="AL70" t="str">
        <f t="shared" ca="1" si="11"/>
        <v>×</v>
      </c>
      <c r="AM70" t="str">
        <f t="shared" ca="1" si="12"/>
        <v>×</v>
      </c>
      <c r="AN70" t="str">
        <f t="shared" ca="1" si="13"/>
        <v>×</v>
      </c>
      <c r="AO70" t="str">
        <f t="shared" ca="1" si="14"/>
        <v>×</v>
      </c>
      <c r="AP70" t="str">
        <f t="shared" ca="1" si="15"/>
        <v>×</v>
      </c>
      <c r="AQ70" t="str">
        <f t="shared" ca="1" si="16"/>
        <v>×</v>
      </c>
      <c r="AR70" t="str">
        <f t="shared" ca="1" si="17"/>
        <v>×</v>
      </c>
      <c r="AS70" t="str">
        <f t="shared" ca="1" si="18"/>
        <v>〇</v>
      </c>
      <c r="AT70" t="str">
        <f t="shared" ca="1" si="19"/>
        <v>×</v>
      </c>
      <c r="AU70" t="str">
        <f t="shared" ca="1" si="20"/>
        <v>×</v>
      </c>
      <c r="AV70" t="str">
        <f t="shared" ca="1" si="21"/>
        <v>×</v>
      </c>
      <c r="AW70" t="str">
        <f t="shared" ca="1" si="22"/>
        <v>×</v>
      </c>
      <c r="AX70" t="str">
        <f t="shared" ca="1" si="23"/>
        <v>〇</v>
      </c>
    </row>
    <row r="71" spans="1:50">
      <c r="A71" t="str" cm="1">
        <f t="array" aca="1" ref="A71" ca="1">INDIRECT("'"&amp;試験名&amp;"'!A"&amp;ROW()-2)</f>
        <v>読解</v>
      </c>
      <c r="B71">
        <f t="shared" ca="1" si="32"/>
        <v>10</v>
      </c>
      <c r="E71">
        <v>1</v>
      </c>
      <c r="O71">
        <v>3</v>
      </c>
      <c r="P71">
        <v>4</v>
      </c>
      <c r="Q71">
        <v>3</v>
      </c>
      <c r="R71">
        <v>4</v>
      </c>
      <c r="V71">
        <v>3</v>
      </c>
      <c r="W71" s="3">
        <f t="shared" ca="1" si="33"/>
        <v>10</v>
      </c>
      <c r="X71" s="3">
        <f t="shared" ca="1" si="26"/>
        <v>1</v>
      </c>
      <c r="Y71" s="3">
        <f t="shared" ca="1" si="27"/>
        <v>0</v>
      </c>
      <c r="Z71" s="3">
        <f t="shared" ca="1" si="28"/>
        <v>3</v>
      </c>
      <c r="AA71" s="3">
        <f t="shared" ca="1" si="29"/>
        <v>2</v>
      </c>
      <c r="AB71" s="3">
        <f ca="1">IF(W71="","",COUNTA(T_受験者[])/4-COUNTA($C71:$V71))</f>
        <v>0</v>
      </c>
      <c r="AC71" s="3" cm="1">
        <f t="array" aca="1" ref="AC71" ca="1">IF(W71="","",INDIRECT("'"&amp;試験名&amp;"'!B"&amp;ROW()-2))</f>
        <v>4</v>
      </c>
      <c r="AD71" s="4">
        <f ca="1">IF(W71="","",COUNTIF(AE71:AX71,"〇")/(COUNTA(T_受験者[])/4))</f>
        <v>0.33333333333333331</v>
      </c>
      <c r="AE71" t="str">
        <f t="shared" ca="1" si="34"/>
        <v>×</v>
      </c>
      <c r="AF71" t="str">
        <f t="shared" ca="1" si="34"/>
        <v>×</v>
      </c>
      <c r="AG71" t="str">
        <f t="shared" ca="1" si="24"/>
        <v>×</v>
      </c>
      <c r="AH71" t="str">
        <f t="shared" ca="1" si="25"/>
        <v>×</v>
      </c>
      <c r="AI71" t="str">
        <f t="shared" ca="1" si="30"/>
        <v>×</v>
      </c>
      <c r="AJ71" t="str">
        <f t="shared" ca="1" si="31"/>
        <v>×</v>
      </c>
      <c r="AK71" t="str">
        <f t="shared" ca="1" si="10"/>
        <v>×</v>
      </c>
      <c r="AL71" t="str">
        <f t="shared" ca="1" si="11"/>
        <v>×</v>
      </c>
      <c r="AM71" t="str">
        <f t="shared" ca="1" si="12"/>
        <v>×</v>
      </c>
      <c r="AN71" t="str">
        <f t="shared" ca="1" si="13"/>
        <v>×</v>
      </c>
      <c r="AO71" t="str">
        <f t="shared" ca="1" si="14"/>
        <v>×</v>
      </c>
      <c r="AP71" t="str">
        <f t="shared" ca="1" si="15"/>
        <v>×</v>
      </c>
      <c r="AQ71" t="str">
        <f t="shared" ca="1" si="16"/>
        <v>×</v>
      </c>
      <c r="AR71" t="str">
        <f t="shared" ca="1" si="17"/>
        <v>〇</v>
      </c>
      <c r="AS71" t="str">
        <f t="shared" ca="1" si="18"/>
        <v>×</v>
      </c>
      <c r="AT71" t="str">
        <f t="shared" ca="1" si="19"/>
        <v>〇</v>
      </c>
      <c r="AU71" t="str">
        <f t="shared" ca="1" si="20"/>
        <v>×</v>
      </c>
      <c r="AV71" t="str">
        <f t="shared" ca="1" si="21"/>
        <v>×</v>
      </c>
      <c r="AW71" t="str">
        <f t="shared" ca="1" si="22"/>
        <v>×</v>
      </c>
      <c r="AX71" t="str">
        <f t="shared" ca="1" si="23"/>
        <v>×</v>
      </c>
    </row>
    <row r="72" spans="1:50">
      <c r="A72" t="str" cm="1">
        <f t="array" aca="1" ref="A72" ca="1">INDIRECT("'"&amp;試験名&amp;"'!A"&amp;ROW()-2)</f>
        <v>聴解</v>
      </c>
      <c r="B72">
        <f t="shared" ca="1" si="32"/>
        <v>1</v>
      </c>
      <c r="E72">
        <v>2</v>
      </c>
      <c r="O72">
        <v>1</v>
      </c>
      <c r="P72">
        <v>2</v>
      </c>
      <c r="Q72">
        <v>2</v>
      </c>
      <c r="R72">
        <v>2</v>
      </c>
      <c r="V72">
        <v>2</v>
      </c>
      <c r="W72" s="3">
        <f t="shared" ca="1" si="33"/>
        <v>1</v>
      </c>
      <c r="X72" s="3">
        <f t="shared" ca="1" si="26"/>
        <v>1</v>
      </c>
      <c r="Y72" s="3">
        <f t="shared" ca="1" si="27"/>
        <v>5</v>
      </c>
      <c r="Z72" s="3">
        <f t="shared" ca="1" si="28"/>
        <v>0</v>
      </c>
      <c r="AA72" s="3">
        <f t="shared" ca="1" si="29"/>
        <v>0</v>
      </c>
      <c r="AB72" s="3">
        <f ca="1">IF(W72="","",COUNTA(T_受験者[])/4-COUNTA($C72:$V72))</f>
        <v>0</v>
      </c>
      <c r="AC72" s="3" cm="1">
        <f t="array" aca="1" ref="AC72" ca="1">IF(W72="","",INDIRECT("'"&amp;試験名&amp;"'!B"&amp;ROW()-2))</f>
        <v>2</v>
      </c>
      <c r="AD72" s="4">
        <f ca="1">IF(W72="","",COUNTIF(AE72:AX72,"〇")/(COUNTA(T_受験者[])/4))</f>
        <v>0.83333333333333337</v>
      </c>
      <c r="AE72" t="str">
        <f t="shared" ca="1" si="34"/>
        <v>×</v>
      </c>
      <c r="AF72" t="str">
        <f t="shared" ca="1" si="34"/>
        <v>×</v>
      </c>
      <c r="AG72" t="str">
        <f t="shared" ca="1" si="24"/>
        <v>〇</v>
      </c>
      <c r="AH72" t="str">
        <f t="shared" ca="1" si="25"/>
        <v>×</v>
      </c>
      <c r="AI72" t="str">
        <f t="shared" ca="1" si="30"/>
        <v>×</v>
      </c>
      <c r="AJ72" t="str">
        <f t="shared" ca="1" si="31"/>
        <v>×</v>
      </c>
      <c r="AK72" t="str">
        <f t="shared" ca="1" si="10"/>
        <v>×</v>
      </c>
      <c r="AL72" t="str">
        <f t="shared" ca="1" si="11"/>
        <v>×</v>
      </c>
      <c r="AM72" t="str">
        <f t="shared" ca="1" si="12"/>
        <v>×</v>
      </c>
      <c r="AN72" t="str">
        <f t="shared" ca="1" si="13"/>
        <v>×</v>
      </c>
      <c r="AO72" t="str">
        <f t="shared" ca="1" si="14"/>
        <v>×</v>
      </c>
      <c r="AP72" t="str">
        <f t="shared" ca="1" si="15"/>
        <v>×</v>
      </c>
      <c r="AQ72" t="str">
        <f t="shared" ca="1" si="16"/>
        <v>×</v>
      </c>
      <c r="AR72" t="str">
        <f t="shared" ca="1" si="17"/>
        <v>〇</v>
      </c>
      <c r="AS72" t="str">
        <f t="shared" ca="1" si="18"/>
        <v>〇</v>
      </c>
      <c r="AT72" t="str">
        <f t="shared" ca="1" si="19"/>
        <v>〇</v>
      </c>
      <c r="AU72" t="str">
        <f t="shared" ca="1" si="20"/>
        <v>×</v>
      </c>
      <c r="AV72" t="str">
        <f t="shared" ca="1" si="21"/>
        <v>×</v>
      </c>
      <c r="AW72" t="str">
        <f t="shared" ca="1" si="22"/>
        <v>×</v>
      </c>
      <c r="AX72" t="str">
        <f t="shared" ca="1" si="23"/>
        <v>〇</v>
      </c>
    </row>
    <row r="73" spans="1:50">
      <c r="A73" t="str" cm="1">
        <f t="array" aca="1" ref="A73" ca="1">INDIRECT("'"&amp;試験名&amp;"'!A"&amp;ROW()-2)</f>
        <v>聴解</v>
      </c>
      <c r="B73">
        <f t="shared" ca="1" si="32"/>
        <v>2</v>
      </c>
      <c r="E73">
        <v>3</v>
      </c>
      <c r="O73">
        <v>4</v>
      </c>
      <c r="P73">
        <v>4</v>
      </c>
      <c r="Q73">
        <v>1</v>
      </c>
      <c r="R73">
        <v>1</v>
      </c>
      <c r="V73">
        <v>1</v>
      </c>
      <c r="W73" s="3">
        <f t="shared" ca="1" si="33"/>
        <v>2</v>
      </c>
      <c r="X73" s="3">
        <f t="shared" ca="1" si="26"/>
        <v>3</v>
      </c>
      <c r="Y73" s="3">
        <f t="shared" ca="1" si="27"/>
        <v>0</v>
      </c>
      <c r="Z73" s="3">
        <f t="shared" ca="1" si="28"/>
        <v>1</v>
      </c>
      <c r="AA73" s="3">
        <f t="shared" ca="1" si="29"/>
        <v>2</v>
      </c>
      <c r="AB73" s="3">
        <f ca="1">IF(W73="","",COUNTA(T_受験者[])/4-COUNTA($C73:$V73))</f>
        <v>0</v>
      </c>
      <c r="AC73" s="3" cm="1">
        <f t="array" aca="1" ref="AC73" ca="1">IF(W73="","",INDIRECT("'"&amp;試験名&amp;"'!B"&amp;ROW()-2))</f>
        <v>2</v>
      </c>
      <c r="AD73" s="4">
        <f ca="1">IF(W73="","",COUNTIF(AE73:AX73,"〇")/(COUNTA(T_受験者[])/4))</f>
        <v>0</v>
      </c>
      <c r="AE73" t="str">
        <f t="shared" ca="1" si="34"/>
        <v>×</v>
      </c>
      <c r="AF73" t="str">
        <f t="shared" ca="1" si="34"/>
        <v>×</v>
      </c>
      <c r="AG73" t="str">
        <f t="shared" ca="1" si="24"/>
        <v>×</v>
      </c>
      <c r="AH73" t="str">
        <f t="shared" ca="1" si="25"/>
        <v>×</v>
      </c>
      <c r="AI73" t="str">
        <f t="shared" ca="1" si="30"/>
        <v>×</v>
      </c>
      <c r="AJ73" t="str">
        <f t="shared" ca="1" si="31"/>
        <v>×</v>
      </c>
      <c r="AK73" t="str">
        <f t="shared" ca="1" si="10"/>
        <v>×</v>
      </c>
      <c r="AL73" t="str">
        <f t="shared" ca="1" si="11"/>
        <v>×</v>
      </c>
      <c r="AM73" t="str">
        <f t="shared" ca="1" si="12"/>
        <v>×</v>
      </c>
      <c r="AN73" t="str">
        <f t="shared" ca="1" si="13"/>
        <v>×</v>
      </c>
      <c r="AO73" t="str">
        <f t="shared" ca="1" si="14"/>
        <v>×</v>
      </c>
      <c r="AP73" t="str">
        <f t="shared" ca="1" si="15"/>
        <v>×</v>
      </c>
      <c r="AQ73" t="str">
        <f t="shared" ca="1" si="16"/>
        <v>×</v>
      </c>
      <c r="AR73" t="str">
        <f t="shared" ca="1" si="17"/>
        <v>×</v>
      </c>
      <c r="AS73" t="str">
        <f t="shared" ca="1" si="18"/>
        <v>×</v>
      </c>
      <c r="AT73" t="str">
        <f t="shared" ca="1" si="19"/>
        <v>×</v>
      </c>
      <c r="AU73" t="str">
        <f t="shared" ca="1" si="20"/>
        <v>×</v>
      </c>
      <c r="AV73" t="str">
        <f t="shared" ca="1" si="21"/>
        <v>×</v>
      </c>
      <c r="AW73" t="str">
        <f t="shared" ca="1" si="22"/>
        <v>×</v>
      </c>
      <c r="AX73" t="str">
        <f t="shared" ca="1" si="23"/>
        <v>×</v>
      </c>
    </row>
    <row r="74" spans="1:50">
      <c r="A74" t="str" cm="1">
        <f t="array" aca="1" ref="A74" ca="1">INDIRECT("'"&amp;試験名&amp;"'!A"&amp;ROW()-2)</f>
        <v>聴解</v>
      </c>
      <c r="B74">
        <f t="shared" ca="1" si="32"/>
        <v>3</v>
      </c>
      <c r="E74">
        <v>2</v>
      </c>
      <c r="O74">
        <v>2</v>
      </c>
      <c r="P74">
        <v>2</v>
      </c>
      <c r="Q74">
        <v>2</v>
      </c>
      <c r="R74">
        <v>2</v>
      </c>
      <c r="V74">
        <v>2</v>
      </c>
      <c r="W74" s="3">
        <f t="shared" ca="1" si="33"/>
        <v>3</v>
      </c>
      <c r="X74" s="3">
        <f t="shared" ca="1" si="26"/>
        <v>0</v>
      </c>
      <c r="Y74" s="3">
        <f t="shared" ca="1" si="27"/>
        <v>6</v>
      </c>
      <c r="Z74" s="3">
        <f t="shared" ca="1" si="28"/>
        <v>0</v>
      </c>
      <c r="AA74" s="3">
        <f t="shared" ca="1" si="29"/>
        <v>0</v>
      </c>
      <c r="AB74" s="3">
        <f ca="1">IF(W74="","",COUNTA(T_受験者[])/4-COUNTA($C74:$V74))</f>
        <v>0</v>
      </c>
      <c r="AC74" s="3" cm="1">
        <f t="array" aca="1" ref="AC74" ca="1">IF(W74="","",INDIRECT("'"&amp;試験名&amp;"'!B"&amp;ROW()-2))</f>
        <v>2</v>
      </c>
      <c r="AD74" s="4">
        <f ca="1">IF(W74="","",COUNTIF(AE74:AX74,"〇")/(COUNTA(T_受験者[])/4))</f>
        <v>1</v>
      </c>
      <c r="AE74" t="str">
        <f t="shared" ca="1" si="34"/>
        <v>×</v>
      </c>
      <c r="AF74" t="str">
        <f t="shared" ca="1" si="34"/>
        <v>×</v>
      </c>
      <c r="AG74" t="str">
        <f t="shared" ca="1" si="24"/>
        <v>〇</v>
      </c>
      <c r="AH74" t="str">
        <f t="shared" ca="1" si="25"/>
        <v>×</v>
      </c>
      <c r="AI74" t="str">
        <f t="shared" ca="1" si="30"/>
        <v>×</v>
      </c>
      <c r="AJ74" t="str">
        <f t="shared" ca="1" si="31"/>
        <v>×</v>
      </c>
      <c r="AK74" t="str">
        <f t="shared" ca="1" si="10"/>
        <v>×</v>
      </c>
      <c r="AL74" t="str">
        <f t="shared" ca="1" si="11"/>
        <v>×</v>
      </c>
      <c r="AM74" t="str">
        <f t="shared" ca="1" si="12"/>
        <v>×</v>
      </c>
      <c r="AN74" t="str">
        <f t="shared" ca="1" si="13"/>
        <v>×</v>
      </c>
      <c r="AO74" t="str">
        <f t="shared" ca="1" si="14"/>
        <v>×</v>
      </c>
      <c r="AP74" t="str">
        <f t="shared" ca="1" si="15"/>
        <v>×</v>
      </c>
      <c r="AQ74" t="str">
        <f t="shared" ca="1" si="16"/>
        <v>〇</v>
      </c>
      <c r="AR74" t="str">
        <f t="shared" ca="1" si="17"/>
        <v>〇</v>
      </c>
      <c r="AS74" t="str">
        <f t="shared" ca="1" si="18"/>
        <v>〇</v>
      </c>
      <c r="AT74" t="str">
        <f t="shared" ca="1" si="19"/>
        <v>〇</v>
      </c>
      <c r="AU74" t="str">
        <f t="shared" ca="1" si="20"/>
        <v>×</v>
      </c>
      <c r="AV74" t="str">
        <f t="shared" ca="1" si="21"/>
        <v>×</v>
      </c>
      <c r="AW74" t="str">
        <f t="shared" ca="1" si="22"/>
        <v>×</v>
      </c>
      <c r="AX74" t="str">
        <f t="shared" ca="1" si="23"/>
        <v>〇</v>
      </c>
    </row>
    <row r="75" spans="1:50">
      <c r="A75" t="str" cm="1">
        <f t="array" aca="1" ref="A75" ca="1">INDIRECT("'"&amp;試験名&amp;"'!A"&amp;ROW()-2)</f>
        <v>聴解</v>
      </c>
      <c r="B75">
        <f t="shared" ca="1" si="32"/>
        <v>4</v>
      </c>
      <c r="E75">
        <v>1</v>
      </c>
      <c r="O75">
        <v>3</v>
      </c>
      <c r="P75">
        <v>3</v>
      </c>
      <c r="Q75">
        <v>2</v>
      </c>
      <c r="R75">
        <v>3</v>
      </c>
      <c r="V75">
        <v>1</v>
      </c>
      <c r="W75" s="3">
        <f t="shared" ca="1" si="33"/>
        <v>4</v>
      </c>
      <c r="X75" s="3">
        <f t="shared" ca="1" si="26"/>
        <v>2</v>
      </c>
      <c r="Y75" s="3">
        <f t="shared" ca="1" si="27"/>
        <v>1</v>
      </c>
      <c r="Z75" s="3">
        <f t="shared" ca="1" si="28"/>
        <v>3</v>
      </c>
      <c r="AA75" s="3">
        <f t="shared" ca="1" si="29"/>
        <v>0</v>
      </c>
      <c r="AB75" s="3">
        <f ca="1">IF(W75="","",COUNTA(T_受験者[])/4-COUNTA($C75:$V75))</f>
        <v>0</v>
      </c>
      <c r="AC75" s="3" cm="1">
        <f t="array" aca="1" ref="AC75" ca="1">IF(W75="","",INDIRECT("'"&amp;試験名&amp;"'!B"&amp;ROW()-2))</f>
        <v>3</v>
      </c>
      <c r="AD75" s="4">
        <f ca="1">IF(W75="","",COUNTIF(AE75:AX75,"〇")/(COUNTA(T_受験者[])/4))</f>
        <v>0.5</v>
      </c>
      <c r="AE75" t="str">
        <f t="shared" ca="1" si="34"/>
        <v>×</v>
      </c>
      <c r="AF75" t="str">
        <f t="shared" ca="1" si="34"/>
        <v>×</v>
      </c>
      <c r="AG75" t="str">
        <f t="shared" ca="1" si="24"/>
        <v>×</v>
      </c>
      <c r="AH75" t="str">
        <f t="shared" ca="1" si="25"/>
        <v>×</v>
      </c>
      <c r="AI75" t="str">
        <f t="shared" ca="1" si="30"/>
        <v>×</v>
      </c>
      <c r="AJ75" t="str">
        <f t="shared" ca="1" si="31"/>
        <v>×</v>
      </c>
      <c r="AK75" t="str">
        <f t="shared" ca="1" si="10"/>
        <v>×</v>
      </c>
      <c r="AL75" t="str">
        <f t="shared" ca="1" si="11"/>
        <v>×</v>
      </c>
      <c r="AM75" t="str">
        <f t="shared" ca="1" si="12"/>
        <v>×</v>
      </c>
      <c r="AN75" t="str">
        <f t="shared" ca="1" si="13"/>
        <v>×</v>
      </c>
      <c r="AO75" t="str">
        <f t="shared" ca="1" si="14"/>
        <v>×</v>
      </c>
      <c r="AP75" t="str">
        <f t="shared" ca="1" si="15"/>
        <v>×</v>
      </c>
      <c r="AQ75" t="str">
        <f t="shared" ca="1" si="16"/>
        <v>〇</v>
      </c>
      <c r="AR75" t="str">
        <f t="shared" ca="1" si="17"/>
        <v>〇</v>
      </c>
      <c r="AS75" t="str">
        <f t="shared" ca="1" si="18"/>
        <v>×</v>
      </c>
      <c r="AT75" t="str">
        <f t="shared" ca="1" si="19"/>
        <v>〇</v>
      </c>
      <c r="AU75" t="str">
        <f t="shared" ca="1" si="20"/>
        <v>×</v>
      </c>
      <c r="AV75" t="str">
        <f t="shared" ca="1" si="21"/>
        <v>×</v>
      </c>
      <c r="AW75" t="str">
        <f t="shared" ca="1" si="22"/>
        <v>×</v>
      </c>
      <c r="AX75" t="str">
        <f t="shared" ca="1" si="23"/>
        <v>×</v>
      </c>
    </row>
    <row r="76" spans="1:50">
      <c r="A76" t="str" cm="1">
        <f t="array" aca="1" ref="A76" ca="1">INDIRECT("'"&amp;試験名&amp;"'!A"&amp;ROW()-2)</f>
        <v>聴解</v>
      </c>
      <c r="B76">
        <f t="shared" ca="1" si="32"/>
        <v>5</v>
      </c>
      <c r="E76">
        <v>2</v>
      </c>
      <c r="O76">
        <v>2</v>
      </c>
      <c r="P76">
        <v>2</v>
      </c>
      <c r="Q76">
        <v>4</v>
      </c>
      <c r="R76">
        <v>2</v>
      </c>
      <c r="V76">
        <v>3</v>
      </c>
      <c r="W76" s="3">
        <f t="shared" ca="1" si="33"/>
        <v>5</v>
      </c>
      <c r="X76" s="3">
        <f t="shared" ca="1" si="26"/>
        <v>0</v>
      </c>
      <c r="Y76" s="3">
        <f t="shared" ca="1" si="27"/>
        <v>4</v>
      </c>
      <c r="Z76" s="3">
        <f t="shared" ca="1" si="28"/>
        <v>1</v>
      </c>
      <c r="AA76" s="3">
        <f t="shared" ca="1" si="29"/>
        <v>1</v>
      </c>
      <c r="AB76" s="3">
        <f ca="1">IF(W76="","",COUNTA(T_受験者[])/4-COUNTA($C76:$V76))</f>
        <v>0</v>
      </c>
      <c r="AC76" s="3" cm="1">
        <f t="array" aca="1" ref="AC76" ca="1">IF(W76="","",INDIRECT("'"&amp;試験名&amp;"'!B"&amp;ROW()-2))</f>
        <v>2</v>
      </c>
      <c r="AD76" s="4">
        <f ca="1">IF(W76="","",COUNTIF(AE76:AX76,"〇")/(COUNTA(T_受験者[])/4))</f>
        <v>0.66666666666666663</v>
      </c>
      <c r="AE76" t="str">
        <f t="shared" ca="1" si="34"/>
        <v>×</v>
      </c>
      <c r="AF76" t="str">
        <f t="shared" ca="1" si="34"/>
        <v>×</v>
      </c>
      <c r="AG76" t="str">
        <f t="shared" ca="1" si="24"/>
        <v>〇</v>
      </c>
      <c r="AH76" t="str">
        <f t="shared" ca="1" si="25"/>
        <v>×</v>
      </c>
      <c r="AI76" t="str">
        <f t="shared" ca="1" si="30"/>
        <v>×</v>
      </c>
      <c r="AJ76" t="str">
        <f t="shared" ca="1" si="31"/>
        <v>×</v>
      </c>
      <c r="AK76" t="str">
        <f t="shared" ca="1" si="10"/>
        <v>×</v>
      </c>
      <c r="AL76" t="str">
        <f t="shared" ca="1" si="11"/>
        <v>×</v>
      </c>
      <c r="AM76" t="str">
        <f t="shared" ca="1" si="12"/>
        <v>×</v>
      </c>
      <c r="AN76" t="str">
        <f t="shared" ca="1" si="13"/>
        <v>×</v>
      </c>
      <c r="AO76" t="str">
        <f t="shared" ca="1" si="14"/>
        <v>×</v>
      </c>
      <c r="AP76" t="str">
        <f t="shared" ca="1" si="15"/>
        <v>×</v>
      </c>
      <c r="AQ76" t="str">
        <f t="shared" ca="1" si="16"/>
        <v>〇</v>
      </c>
      <c r="AR76" t="str">
        <f t="shared" ca="1" si="17"/>
        <v>〇</v>
      </c>
      <c r="AS76" t="str">
        <f t="shared" ca="1" si="18"/>
        <v>×</v>
      </c>
      <c r="AT76" t="str">
        <f t="shared" ca="1" si="19"/>
        <v>〇</v>
      </c>
      <c r="AU76" t="str">
        <f t="shared" ca="1" si="20"/>
        <v>×</v>
      </c>
      <c r="AV76" t="str">
        <f t="shared" ca="1" si="21"/>
        <v>×</v>
      </c>
      <c r="AW76" t="str">
        <f t="shared" ca="1" si="22"/>
        <v>×</v>
      </c>
      <c r="AX76" t="str">
        <f t="shared" ca="1" si="23"/>
        <v>×</v>
      </c>
    </row>
    <row r="77" spans="1:50">
      <c r="A77" t="str" cm="1">
        <f t="array" aca="1" ref="A77" ca="1">INDIRECT("'"&amp;試験名&amp;"'!A"&amp;ROW()-2)</f>
        <v>聴解</v>
      </c>
      <c r="B77">
        <f t="shared" ca="1" si="32"/>
        <v>6</v>
      </c>
      <c r="E77">
        <v>4</v>
      </c>
      <c r="O77">
        <v>4</v>
      </c>
      <c r="P77">
        <v>3</v>
      </c>
      <c r="Q77">
        <v>4</v>
      </c>
      <c r="R77">
        <v>4</v>
      </c>
      <c r="V77">
        <v>4</v>
      </c>
      <c r="W77" s="3">
        <f t="shared" ca="1" si="33"/>
        <v>6</v>
      </c>
      <c r="X77" s="3">
        <f t="shared" ca="1" si="26"/>
        <v>0</v>
      </c>
      <c r="Y77" s="3">
        <f t="shared" ca="1" si="27"/>
        <v>0</v>
      </c>
      <c r="Z77" s="3">
        <f t="shared" ca="1" si="28"/>
        <v>1</v>
      </c>
      <c r="AA77" s="3">
        <f t="shared" ca="1" si="29"/>
        <v>5</v>
      </c>
      <c r="AB77" s="3">
        <f ca="1">IF(W77="","",COUNTA(T_受験者[])/4-COUNTA($C77:$V77))</f>
        <v>0</v>
      </c>
      <c r="AC77" s="3" cm="1">
        <f t="array" aca="1" ref="AC77" ca="1">IF(W77="","",INDIRECT("'"&amp;試験名&amp;"'!B"&amp;ROW()-2))</f>
        <v>4</v>
      </c>
      <c r="AD77" s="4">
        <f ca="1">IF(W77="","",COUNTIF(AE77:AX77,"〇")/(COUNTA(T_受験者[])/4))</f>
        <v>0.83333333333333337</v>
      </c>
      <c r="AE77" t="str">
        <f t="shared" ca="1" si="34"/>
        <v>×</v>
      </c>
      <c r="AF77" t="str">
        <f t="shared" ca="1" si="34"/>
        <v>×</v>
      </c>
      <c r="AG77" t="str">
        <f t="shared" ca="1" si="24"/>
        <v>〇</v>
      </c>
      <c r="AH77" t="str">
        <f t="shared" ca="1" si="25"/>
        <v>×</v>
      </c>
      <c r="AI77" t="str">
        <f t="shared" ca="1" si="30"/>
        <v>×</v>
      </c>
      <c r="AJ77" t="str">
        <f t="shared" ca="1" si="31"/>
        <v>×</v>
      </c>
      <c r="AK77" t="str">
        <f t="shared" ca="1" si="10"/>
        <v>×</v>
      </c>
      <c r="AL77" t="str">
        <f t="shared" ca="1" si="11"/>
        <v>×</v>
      </c>
      <c r="AM77" t="str">
        <f t="shared" ca="1" si="12"/>
        <v>×</v>
      </c>
      <c r="AN77" t="str">
        <f t="shared" ca="1" si="13"/>
        <v>×</v>
      </c>
      <c r="AO77" t="str">
        <f t="shared" ca="1" si="14"/>
        <v>×</v>
      </c>
      <c r="AP77" t="str">
        <f t="shared" ca="1" si="15"/>
        <v>×</v>
      </c>
      <c r="AQ77" t="str">
        <f t="shared" ca="1" si="16"/>
        <v>〇</v>
      </c>
      <c r="AR77" t="str">
        <f t="shared" ca="1" si="17"/>
        <v>×</v>
      </c>
      <c r="AS77" t="str">
        <f t="shared" ca="1" si="18"/>
        <v>〇</v>
      </c>
      <c r="AT77" t="str">
        <f t="shared" ca="1" si="19"/>
        <v>〇</v>
      </c>
      <c r="AU77" t="str">
        <f t="shared" ca="1" si="20"/>
        <v>×</v>
      </c>
      <c r="AV77" t="str">
        <f t="shared" ca="1" si="21"/>
        <v>×</v>
      </c>
      <c r="AW77" t="str">
        <f t="shared" ca="1" si="22"/>
        <v>×</v>
      </c>
      <c r="AX77" t="str">
        <f t="shared" ca="1" si="23"/>
        <v>〇</v>
      </c>
    </row>
    <row r="78" spans="1:50">
      <c r="A78" t="str" cm="1">
        <f t="array" aca="1" ref="A78" ca="1">INDIRECT("'"&amp;試験名&amp;"'!A"&amp;ROW()-2)</f>
        <v>聴解</v>
      </c>
      <c r="B78">
        <f t="shared" ca="1" si="32"/>
        <v>7</v>
      </c>
      <c r="E78">
        <v>1</v>
      </c>
      <c r="O78">
        <v>3</v>
      </c>
      <c r="P78">
        <v>3</v>
      </c>
      <c r="Q78">
        <v>1</v>
      </c>
      <c r="R78">
        <v>3</v>
      </c>
      <c r="V78">
        <v>3</v>
      </c>
      <c r="W78" s="3">
        <f t="shared" ca="1" si="33"/>
        <v>7</v>
      </c>
      <c r="X78" s="3">
        <f t="shared" ca="1" si="26"/>
        <v>2</v>
      </c>
      <c r="Y78" s="3">
        <f t="shared" ca="1" si="27"/>
        <v>0</v>
      </c>
      <c r="Z78" s="3">
        <f t="shared" ca="1" si="28"/>
        <v>4</v>
      </c>
      <c r="AA78" s="3">
        <f t="shared" ca="1" si="29"/>
        <v>0</v>
      </c>
      <c r="AB78" s="3">
        <f ca="1">IF(W78="","",COUNTA(T_受験者[])/4-COUNTA($C78:$V78))</f>
        <v>0</v>
      </c>
      <c r="AC78" s="3" cm="1">
        <f t="array" aca="1" ref="AC78" ca="1">IF(W78="","",INDIRECT("'"&amp;試験名&amp;"'!B"&amp;ROW()-2))</f>
        <v>3</v>
      </c>
      <c r="AD78" s="4">
        <f ca="1">IF(W78="","",COUNTIF(AE78:AX78,"〇")/(COUNTA(T_受験者[])/4))</f>
        <v>0.66666666666666663</v>
      </c>
      <c r="AE78" t="str">
        <f t="shared" ca="1" si="34"/>
        <v>×</v>
      </c>
      <c r="AF78" t="str">
        <f t="shared" ca="1" si="34"/>
        <v>×</v>
      </c>
      <c r="AG78" t="str">
        <f t="shared" ca="1" si="24"/>
        <v>×</v>
      </c>
      <c r="AH78" t="str">
        <f t="shared" ca="1" si="25"/>
        <v>×</v>
      </c>
      <c r="AI78" t="str">
        <f t="shared" ca="1" si="30"/>
        <v>×</v>
      </c>
      <c r="AJ78" t="str">
        <f t="shared" ca="1" si="31"/>
        <v>×</v>
      </c>
      <c r="AK78" t="str">
        <f t="shared" ca="1" si="10"/>
        <v>×</v>
      </c>
      <c r="AL78" t="str">
        <f t="shared" ca="1" si="11"/>
        <v>×</v>
      </c>
      <c r="AM78" t="str">
        <f t="shared" ca="1" si="12"/>
        <v>×</v>
      </c>
      <c r="AN78" t="str">
        <f t="shared" ca="1" si="13"/>
        <v>×</v>
      </c>
      <c r="AO78" t="str">
        <f t="shared" ca="1" si="14"/>
        <v>×</v>
      </c>
      <c r="AP78" t="str">
        <f t="shared" ca="1" si="15"/>
        <v>×</v>
      </c>
      <c r="AQ78" t="str">
        <f t="shared" ca="1" si="16"/>
        <v>〇</v>
      </c>
      <c r="AR78" t="str">
        <f t="shared" ca="1" si="17"/>
        <v>〇</v>
      </c>
      <c r="AS78" t="str">
        <f t="shared" ca="1" si="18"/>
        <v>×</v>
      </c>
      <c r="AT78" t="str">
        <f t="shared" ca="1" si="19"/>
        <v>〇</v>
      </c>
      <c r="AU78" t="str">
        <f t="shared" ca="1" si="20"/>
        <v>×</v>
      </c>
      <c r="AV78" t="str">
        <f t="shared" ca="1" si="21"/>
        <v>×</v>
      </c>
      <c r="AW78" t="str">
        <f t="shared" ca="1" si="22"/>
        <v>×</v>
      </c>
      <c r="AX78" t="str">
        <f t="shared" ca="1" si="23"/>
        <v>〇</v>
      </c>
    </row>
    <row r="79" spans="1:50">
      <c r="A79" t="str" cm="1">
        <f t="array" aca="1" ref="A79" ca="1">INDIRECT("'"&amp;試験名&amp;"'!A"&amp;ROW()-2)</f>
        <v>聴解</v>
      </c>
      <c r="B79">
        <f t="shared" ca="1" si="32"/>
        <v>8</v>
      </c>
      <c r="E79">
        <v>3</v>
      </c>
      <c r="O79">
        <v>2</v>
      </c>
      <c r="P79">
        <v>2</v>
      </c>
      <c r="Q79">
        <v>2</v>
      </c>
      <c r="R79">
        <v>2</v>
      </c>
      <c r="V79">
        <v>2</v>
      </c>
      <c r="W79" s="3">
        <f t="shared" ca="1" si="33"/>
        <v>8</v>
      </c>
      <c r="X79" s="3">
        <f t="shared" ca="1" si="26"/>
        <v>0</v>
      </c>
      <c r="Y79" s="3">
        <f t="shared" ca="1" si="27"/>
        <v>5</v>
      </c>
      <c r="Z79" s="3">
        <f t="shared" ca="1" si="28"/>
        <v>1</v>
      </c>
      <c r="AA79" s="3">
        <f t="shared" ca="1" si="29"/>
        <v>0</v>
      </c>
      <c r="AB79" s="3">
        <f ca="1">IF(W79="","",COUNTA(T_受験者[])/4-COUNTA($C79:$V79))</f>
        <v>0</v>
      </c>
      <c r="AC79" s="3" cm="1">
        <f t="array" aca="1" ref="AC79" ca="1">IF(W79="","",INDIRECT("'"&amp;試験名&amp;"'!B"&amp;ROW()-2))</f>
        <v>2</v>
      </c>
      <c r="AD79" s="4">
        <f ca="1">IF(W79="","",COUNTIF(AE79:AX79,"〇")/(COUNTA(T_受験者[])/4))</f>
        <v>0.83333333333333337</v>
      </c>
      <c r="AE79" t="str">
        <f t="shared" ca="1" si="34"/>
        <v>×</v>
      </c>
      <c r="AF79" t="str">
        <f t="shared" ca="1" si="34"/>
        <v>×</v>
      </c>
      <c r="AG79" t="str">
        <f t="shared" ca="1" si="24"/>
        <v>×</v>
      </c>
      <c r="AH79" t="str">
        <f t="shared" ca="1" si="25"/>
        <v>×</v>
      </c>
      <c r="AI79" t="str">
        <f t="shared" ca="1" si="30"/>
        <v>×</v>
      </c>
      <c r="AJ79" t="str">
        <f t="shared" ca="1" si="31"/>
        <v>×</v>
      </c>
      <c r="AK79" t="str">
        <f t="shared" ca="1" si="10"/>
        <v>×</v>
      </c>
      <c r="AL79" t="str">
        <f t="shared" ca="1" si="11"/>
        <v>×</v>
      </c>
      <c r="AM79" t="str">
        <f t="shared" ca="1" si="12"/>
        <v>×</v>
      </c>
      <c r="AN79" t="str">
        <f t="shared" ca="1" si="13"/>
        <v>×</v>
      </c>
      <c r="AO79" t="str">
        <f t="shared" ca="1" si="14"/>
        <v>×</v>
      </c>
      <c r="AP79" t="str">
        <f t="shared" ca="1" si="15"/>
        <v>×</v>
      </c>
      <c r="AQ79" t="str">
        <f t="shared" ca="1" si="16"/>
        <v>〇</v>
      </c>
      <c r="AR79" t="str">
        <f t="shared" ca="1" si="17"/>
        <v>〇</v>
      </c>
      <c r="AS79" t="str">
        <f t="shared" ca="1" si="18"/>
        <v>〇</v>
      </c>
      <c r="AT79" t="str">
        <f t="shared" ca="1" si="19"/>
        <v>〇</v>
      </c>
      <c r="AU79" t="str">
        <f t="shared" ca="1" si="20"/>
        <v>×</v>
      </c>
      <c r="AV79" t="str">
        <f t="shared" ca="1" si="21"/>
        <v>×</v>
      </c>
      <c r="AW79" t="str">
        <f t="shared" ca="1" si="22"/>
        <v>×</v>
      </c>
      <c r="AX79" t="str">
        <f t="shared" ca="1" si="23"/>
        <v>〇</v>
      </c>
    </row>
    <row r="80" spans="1:50">
      <c r="A80" t="str" cm="1">
        <f t="array" aca="1" ref="A80" ca="1">INDIRECT("'"&amp;試験名&amp;"'!A"&amp;ROW()-2)</f>
        <v>聴解</v>
      </c>
      <c r="B80">
        <f t="shared" ca="1" si="32"/>
        <v>9</v>
      </c>
      <c r="E80">
        <v>2</v>
      </c>
      <c r="O80">
        <v>2</v>
      </c>
      <c r="P80">
        <v>2</v>
      </c>
      <c r="Q80">
        <v>2</v>
      </c>
      <c r="R80">
        <v>2</v>
      </c>
      <c r="V80">
        <v>2</v>
      </c>
      <c r="W80" s="3">
        <f t="shared" ca="1" si="33"/>
        <v>9</v>
      </c>
      <c r="X80" s="3">
        <f t="shared" ca="1" si="26"/>
        <v>0</v>
      </c>
      <c r="Y80" s="3">
        <f t="shared" ca="1" si="27"/>
        <v>6</v>
      </c>
      <c r="Z80" s="3">
        <f t="shared" ca="1" si="28"/>
        <v>0</v>
      </c>
      <c r="AA80" s="3">
        <f t="shared" ca="1" si="29"/>
        <v>0</v>
      </c>
      <c r="AB80" s="3">
        <f ca="1">IF(W80="","",COUNTA(T_受験者[])/4-COUNTA($C80:$V80))</f>
        <v>0</v>
      </c>
      <c r="AC80" s="3" cm="1">
        <f t="array" aca="1" ref="AC80" ca="1">IF(W80="","",INDIRECT("'"&amp;試験名&amp;"'!B"&amp;ROW()-2))</f>
        <v>2</v>
      </c>
      <c r="AD80" s="4">
        <f ca="1">IF(W80="","",COUNTIF(AE80:AX80,"〇")/(COUNTA(T_受験者[])/4))</f>
        <v>1</v>
      </c>
      <c r="AE80" t="str">
        <f t="shared" ca="1" si="34"/>
        <v>×</v>
      </c>
      <c r="AF80" t="str">
        <f t="shared" ca="1" si="34"/>
        <v>×</v>
      </c>
      <c r="AG80" t="str">
        <f t="shared" ca="1" si="24"/>
        <v>〇</v>
      </c>
      <c r="AH80" t="str">
        <f t="shared" ca="1" si="25"/>
        <v>×</v>
      </c>
      <c r="AI80" t="str">
        <f t="shared" ca="1" si="30"/>
        <v>×</v>
      </c>
      <c r="AJ80" t="str">
        <f t="shared" ca="1" si="31"/>
        <v>×</v>
      </c>
      <c r="AK80" t="str">
        <f t="shared" ca="1" si="10"/>
        <v>×</v>
      </c>
      <c r="AL80" t="str">
        <f t="shared" ca="1" si="11"/>
        <v>×</v>
      </c>
      <c r="AM80" t="str">
        <f t="shared" ca="1" si="12"/>
        <v>×</v>
      </c>
      <c r="AN80" t="str">
        <f t="shared" ca="1" si="13"/>
        <v>×</v>
      </c>
      <c r="AO80" t="str">
        <f t="shared" ca="1" si="14"/>
        <v>×</v>
      </c>
      <c r="AP80" t="str">
        <f t="shared" ca="1" si="15"/>
        <v>×</v>
      </c>
      <c r="AQ80" t="str">
        <f t="shared" ca="1" si="16"/>
        <v>〇</v>
      </c>
      <c r="AR80" t="str">
        <f t="shared" ca="1" si="17"/>
        <v>〇</v>
      </c>
      <c r="AS80" t="str">
        <f t="shared" ca="1" si="18"/>
        <v>〇</v>
      </c>
      <c r="AT80" t="str">
        <f t="shared" ca="1" si="19"/>
        <v>〇</v>
      </c>
      <c r="AU80" t="str">
        <f t="shared" ca="1" si="20"/>
        <v>×</v>
      </c>
      <c r="AV80" t="str">
        <f t="shared" ca="1" si="21"/>
        <v>×</v>
      </c>
      <c r="AW80" t="str">
        <f t="shared" ca="1" si="22"/>
        <v>×</v>
      </c>
      <c r="AX80" t="str">
        <f t="shared" ca="1" si="23"/>
        <v>〇</v>
      </c>
    </row>
    <row r="81" spans="1:50">
      <c r="A81" t="str" cm="1">
        <f t="array" aca="1" ref="A81" ca="1">INDIRECT("'"&amp;試験名&amp;"'!A"&amp;ROW()-2)</f>
        <v>聴解</v>
      </c>
      <c r="B81">
        <f t="shared" ca="1" si="32"/>
        <v>10</v>
      </c>
      <c r="E81">
        <v>2</v>
      </c>
      <c r="O81">
        <v>3</v>
      </c>
      <c r="P81">
        <v>3</v>
      </c>
      <c r="Q81">
        <v>3</v>
      </c>
      <c r="R81">
        <v>3</v>
      </c>
      <c r="V81">
        <v>3</v>
      </c>
      <c r="W81" s="3">
        <f t="shared" ca="1" si="33"/>
        <v>10</v>
      </c>
      <c r="X81" s="3">
        <f t="shared" ca="1" si="26"/>
        <v>0</v>
      </c>
      <c r="Y81" s="3">
        <f t="shared" ca="1" si="27"/>
        <v>1</v>
      </c>
      <c r="Z81" s="3">
        <f t="shared" ca="1" si="28"/>
        <v>5</v>
      </c>
      <c r="AA81" s="3">
        <f t="shared" ca="1" si="29"/>
        <v>0</v>
      </c>
      <c r="AB81" s="3">
        <f ca="1">IF(W81="","",COUNTA(T_受験者[])/4-COUNTA($C81:$V81))</f>
        <v>0</v>
      </c>
      <c r="AC81" s="3" cm="1">
        <f t="array" aca="1" ref="AC81" ca="1">IF(W81="","",INDIRECT("'"&amp;試験名&amp;"'!B"&amp;ROW()-2))</f>
        <v>3</v>
      </c>
      <c r="AD81" s="4">
        <f ca="1">IF(W81="","",COUNTIF(AE81:AX81,"〇")/(COUNTA(T_受験者[])/4))</f>
        <v>0.83333333333333337</v>
      </c>
      <c r="AE81" t="str">
        <f t="shared" ca="1" si="34"/>
        <v>×</v>
      </c>
      <c r="AF81" t="str">
        <f t="shared" ca="1" si="34"/>
        <v>×</v>
      </c>
      <c r="AG81" t="str">
        <f t="shared" ca="1" si="24"/>
        <v>×</v>
      </c>
      <c r="AH81" t="str">
        <f t="shared" ca="1" si="25"/>
        <v>×</v>
      </c>
      <c r="AI81" t="str">
        <f t="shared" ca="1" si="30"/>
        <v>×</v>
      </c>
      <c r="AJ81" t="str">
        <f t="shared" ca="1" si="31"/>
        <v>×</v>
      </c>
      <c r="AK81" t="str">
        <f t="shared" ref="AK81:AK117" ca="1" si="35">IF($W81="","",IF(I81=$AC81,"〇","×"))</f>
        <v>×</v>
      </c>
      <c r="AL81" t="str">
        <f t="shared" ref="AL81:AL117" ca="1" si="36">IF($W81="","",IF(J81=$AC81,"〇","×"))</f>
        <v>×</v>
      </c>
      <c r="AM81" t="str">
        <f t="shared" ref="AM81:AM117" ca="1" si="37">IF($W81="","",IF(K81=$AC81,"〇","×"))</f>
        <v>×</v>
      </c>
      <c r="AN81" t="str">
        <f t="shared" ref="AN81:AN117" ca="1" si="38">IF($W81="","",IF(L81=$AC81,"〇","×"))</f>
        <v>×</v>
      </c>
      <c r="AO81" t="str">
        <f t="shared" ref="AO81:AO117" ca="1" si="39">IF($W81="","",IF(M81=$AC81,"〇","×"))</f>
        <v>×</v>
      </c>
      <c r="AP81" t="str">
        <f t="shared" ref="AP81:AP117" ca="1" si="40">IF($W81="","",IF(N81=$AC81,"〇","×"))</f>
        <v>×</v>
      </c>
      <c r="AQ81" t="str">
        <f t="shared" ref="AQ81:AQ117" ca="1" si="41">IF($W81="","",IF(O81=$AC81,"〇","×"))</f>
        <v>〇</v>
      </c>
      <c r="AR81" t="str">
        <f t="shared" ref="AR81:AR117" ca="1" si="42">IF($W81="","",IF(P81=$AC81,"〇","×"))</f>
        <v>〇</v>
      </c>
      <c r="AS81" t="str">
        <f t="shared" ref="AS81:AS117" ca="1" si="43">IF($W81="","",IF(Q81=$AC81,"〇","×"))</f>
        <v>〇</v>
      </c>
      <c r="AT81" t="str">
        <f t="shared" ref="AT81:AT117" ca="1" si="44">IF($W81="","",IF(R81=$AC81,"〇","×"))</f>
        <v>〇</v>
      </c>
      <c r="AU81" t="str">
        <f t="shared" ref="AU81:AU117" ca="1" si="45">IF($W81="","",IF(S81=$AC81,"〇","×"))</f>
        <v>×</v>
      </c>
      <c r="AV81" t="str">
        <f t="shared" ref="AV81:AV117" ca="1" si="46">IF($W81="","",IF(T81=$AC81,"〇","×"))</f>
        <v>×</v>
      </c>
      <c r="AW81" t="str">
        <f t="shared" ref="AW81:AW117" ca="1" si="47">IF($W81="","",IF(U81=$AC81,"〇","×"))</f>
        <v>×</v>
      </c>
      <c r="AX81" t="str">
        <f t="shared" ref="AX81:AX117" ca="1" si="48">IF($W81="","",IF(V81=$AC81,"〇","×"))</f>
        <v>〇</v>
      </c>
    </row>
    <row r="82" spans="1:50">
      <c r="A82" t="str" cm="1">
        <f t="array" aca="1" ref="A82" ca="1">INDIRECT("'"&amp;試験名&amp;"'!A"&amp;ROW()-2)</f>
        <v>聴解</v>
      </c>
      <c r="B82">
        <f t="shared" ca="1" si="32"/>
        <v>11</v>
      </c>
      <c r="E82">
        <v>2</v>
      </c>
      <c r="O82">
        <v>2</v>
      </c>
      <c r="P82">
        <v>2</v>
      </c>
      <c r="Q82">
        <v>1</v>
      </c>
      <c r="R82">
        <v>1</v>
      </c>
      <c r="V82">
        <v>1</v>
      </c>
      <c r="W82" s="3">
        <f t="shared" ca="1" si="33"/>
        <v>11</v>
      </c>
      <c r="X82" s="3">
        <f t="shared" ca="1" si="26"/>
        <v>3</v>
      </c>
      <c r="Y82" s="3">
        <f t="shared" ca="1" si="27"/>
        <v>3</v>
      </c>
      <c r="Z82" s="3">
        <f t="shared" ca="1" si="28"/>
        <v>0</v>
      </c>
      <c r="AA82" s="3">
        <f t="shared" ca="1" si="29"/>
        <v>0</v>
      </c>
      <c r="AB82" s="3">
        <f ca="1">IF(W82="","",COUNTA(T_受験者[])/4-COUNTA($C82:$V82))</f>
        <v>0</v>
      </c>
      <c r="AC82" s="3" cm="1">
        <f t="array" aca="1" ref="AC82" ca="1">IF(W82="","",INDIRECT("'"&amp;試験名&amp;"'!B"&amp;ROW()-2))</f>
        <v>1</v>
      </c>
      <c r="AD82" s="4">
        <f ca="1">IF(W82="","",COUNTIF(AE82:AX82,"〇")/(COUNTA(T_受験者[])/4))</f>
        <v>0.5</v>
      </c>
      <c r="AE82" t="str">
        <f t="shared" ca="1" si="34"/>
        <v>×</v>
      </c>
      <c r="AF82" t="str">
        <f t="shared" ca="1" si="34"/>
        <v>×</v>
      </c>
      <c r="AG82" t="str">
        <f t="shared" ref="AG82:AG117" ca="1" si="49">IF($W82="","",IF(E82=$AC82,"〇","×"))</f>
        <v>×</v>
      </c>
      <c r="AH82" t="str">
        <f t="shared" ref="AH82:AH117" ca="1" si="50">IF($W82="","",IF(F82=$AC82,"〇","×"))</f>
        <v>×</v>
      </c>
      <c r="AI82" t="str">
        <f t="shared" ca="1" si="30"/>
        <v>×</v>
      </c>
      <c r="AJ82" t="str">
        <f t="shared" ca="1" si="31"/>
        <v>×</v>
      </c>
      <c r="AK82" t="str">
        <f t="shared" ca="1" si="35"/>
        <v>×</v>
      </c>
      <c r="AL82" t="str">
        <f t="shared" ca="1" si="36"/>
        <v>×</v>
      </c>
      <c r="AM82" t="str">
        <f t="shared" ca="1" si="37"/>
        <v>×</v>
      </c>
      <c r="AN82" t="str">
        <f t="shared" ca="1" si="38"/>
        <v>×</v>
      </c>
      <c r="AO82" t="str">
        <f t="shared" ca="1" si="39"/>
        <v>×</v>
      </c>
      <c r="AP82" t="str">
        <f t="shared" ca="1" si="40"/>
        <v>×</v>
      </c>
      <c r="AQ82" t="str">
        <f t="shared" ca="1" si="41"/>
        <v>×</v>
      </c>
      <c r="AR82" t="str">
        <f t="shared" ca="1" si="42"/>
        <v>×</v>
      </c>
      <c r="AS82" t="str">
        <f t="shared" ca="1" si="43"/>
        <v>〇</v>
      </c>
      <c r="AT82" t="str">
        <f t="shared" ca="1" si="44"/>
        <v>〇</v>
      </c>
      <c r="AU82" t="str">
        <f t="shared" ca="1" si="45"/>
        <v>×</v>
      </c>
      <c r="AV82" t="str">
        <f t="shared" ca="1" si="46"/>
        <v>×</v>
      </c>
      <c r="AW82" t="str">
        <f t="shared" ca="1" si="47"/>
        <v>×</v>
      </c>
      <c r="AX82" t="str">
        <f t="shared" ca="1" si="48"/>
        <v>〇</v>
      </c>
    </row>
    <row r="83" spans="1:50">
      <c r="A83" t="str" cm="1">
        <f t="array" aca="1" ref="A83" ca="1">INDIRECT("'"&amp;試験名&amp;"'!A"&amp;ROW()-2)</f>
        <v>聴解</v>
      </c>
      <c r="B83">
        <f t="shared" ca="1" si="32"/>
        <v>12</v>
      </c>
      <c r="E83">
        <v>1</v>
      </c>
      <c r="O83">
        <v>3</v>
      </c>
      <c r="P83">
        <v>2</v>
      </c>
      <c r="Q83">
        <v>4</v>
      </c>
      <c r="R83">
        <v>2</v>
      </c>
      <c r="V83">
        <v>2</v>
      </c>
      <c r="W83" s="3">
        <f t="shared" ca="1" si="33"/>
        <v>12</v>
      </c>
      <c r="X83" s="3">
        <f t="shared" ca="1" si="26"/>
        <v>1</v>
      </c>
      <c r="Y83" s="3">
        <f t="shared" ca="1" si="27"/>
        <v>3</v>
      </c>
      <c r="Z83" s="3">
        <f t="shared" ca="1" si="28"/>
        <v>1</v>
      </c>
      <c r="AA83" s="3">
        <f t="shared" ca="1" si="29"/>
        <v>1</v>
      </c>
      <c r="AB83" s="3">
        <f ca="1">IF(W83="","",COUNTA(T_受験者[])/4-COUNTA($C83:$V83))</f>
        <v>0</v>
      </c>
      <c r="AC83" s="3" cm="1">
        <f t="array" aca="1" ref="AC83" ca="1">IF(W83="","",INDIRECT("'"&amp;試験名&amp;"'!B"&amp;ROW()-2))</f>
        <v>2</v>
      </c>
      <c r="AD83" s="4">
        <f ca="1">IF(W83="","",COUNTIF(AE83:AX83,"〇")/(COUNTA(T_受験者[])/4))</f>
        <v>0.5</v>
      </c>
      <c r="AE83" t="str">
        <f t="shared" ca="1" si="34"/>
        <v>×</v>
      </c>
      <c r="AF83" t="str">
        <f t="shared" ca="1" si="34"/>
        <v>×</v>
      </c>
      <c r="AG83" t="str">
        <f t="shared" ca="1" si="49"/>
        <v>×</v>
      </c>
      <c r="AH83" t="str">
        <f t="shared" ca="1" si="50"/>
        <v>×</v>
      </c>
      <c r="AI83" t="str">
        <f t="shared" ca="1" si="30"/>
        <v>×</v>
      </c>
      <c r="AJ83" t="str">
        <f t="shared" ca="1" si="31"/>
        <v>×</v>
      </c>
      <c r="AK83" t="str">
        <f t="shared" ca="1" si="35"/>
        <v>×</v>
      </c>
      <c r="AL83" t="str">
        <f t="shared" ca="1" si="36"/>
        <v>×</v>
      </c>
      <c r="AM83" t="str">
        <f t="shared" ca="1" si="37"/>
        <v>×</v>
      </c>
      <c r="AN83" t="str">
        <f t="shared" ca="1" si="38"/>
        <v>×</v>
      </c>
      <c r="AO83" t="str">
        <f t="shared" ca="1" si="39"/>
        <v>×</v>
      </c>
      <c r="AP83" t="str">
        <f t="shared" ca="1" si="40"/>
        <v>×</v>
      </c>
      <c r="AQ83" t="str">
        <f t="shared" ca="1" si="41"/>
        <v>×</v>
      </c>
      <c r="AR83" t="str">
        <f t="shared" ca="1" si="42"/>
        <v>〇</v>
      </c>
      <c r="AS83" t="str">
        <f t="shared" ca="1" si="43"/>
        <v>×</v>
      </c>
      <c r="AT83" t="str">
        <f t="shared" ca="1" si="44"/>
        <v>〇</v>
      </c>
      <c r="AU83" t="str">
        <f t="shared" ca="1" si="45"/>
        <v>×</v>
      </c>
      <c r="AV83" t="str">
        <f t="shared" ca="1" si="46"/>
        <v>×</v>
      </c>
      <c r="AW83" t="str">
        <f t="shared" ca="1" si="47"/>
        <v>×</v>
      </c>
      <c r="AX83" t="str">
        <f t="shared" ca="1" si="48"/>
        <v>〇</v>
      </c>
    </row>
    <row r="84" spans="1:50">
      <c r="A84" t="str" cm="1">
        <f t="array" aca="1" ref="A84" ca="1">INDIRECT("'"&amp;試験名&amp;"'!A"&amp;ROW()-2)</f>
        <v>聴解</v>
      </c>
      <c r="B84">
        <f t="shared" ca="1" si="32"/>
        <v>13</v>
      </c>
      <c r="E84">
        <v>3</v>
      </c>
      <c r="O84">
        <v>3</v>
      </c>
      <c r="P84">
        <v>3</v>
      </c>
      <c r="Q84">
        <v>3</v>
      </c>
      <c r="R84">
        <v>3</v>
      </c>
      <c r="V84">
        <v>2</v>
      </c>
      <c r="W84" s="3">
        <f t="shared" ca="1" si="33"/>
        <v>13</v>
      </c>
      <c r="X84" s="3">
        <f t="shared" ca="1" si="26"/>
        <v>0</v>
      </c>
      <c r="Y84" s="3">
        <f t="shared" ca="1" si="27"/>
        <v>1</v>
      </c>
      <c r="Z84" s="3">
        <f t="shared" ca="1" si="28"/>
        <v>5</v>
      </c>
      <c r="AA84" s="3">
        <f t="shared" ca="1" si="29"/>
        <v>0</v>
      </c>
      <c r="AB84" s="3">
        <f ca="1">IF(W84="","",COUNTA(T_受験者[])/4-COUNTA($C84:$V84))</f>
        <v>0</v>
      </c>
      <c r="AC84" s="3" cm="1">
        <f t="array" aca="1" ref="AC84" ca="1">IF(W84="","",INDIRECT("'"&amp;試験名&amp;"'!B"&amp;ROW()-2))</f>
        <v>3</v>
      </c>
      <c r="AD84" s="4">
        <f ca="1">IF(W84="","",COUNTIF(AE84:AX84,"〇")/(COUNTA(T_受験者[])/4))</f>
        <v>0.83333333333333337</v>
      </c>
      <c r="AE84" t="str">
        <f t="shared" ca="1" si="34"/>
        <v>×</v>
      </c>
      <c r="AF84" t="str">
        <f t="shared" ca="1" si="34"/>
        <v>×</v>
      </c>
      <c r="AG84" t="str">
        <f t="shared" ca="1" si="49"/>
        <v>〇</v>
      </c>
      <c r="AH84" t="str">
        <f t="shared" ca="1" si="50"/>
        <v>×</v>
      </c>
      <c r="AI84" t="str">
        <f t="shared" ca="1" si="30"/>
        <v>×</v>
      </c>
      <c r="AJ84" t="str">
        <f t="shared" ca="1" si="31"/>
        <v>×</v>
      </c>
      <c r="AK84" t="str">
        <f t="shared" ca="1" si="35"/>
        <v>×</v>
      </c>
      <c r="AL84" t="str">
        <f t="shared" ca="1" si="36"/>
        <v>×</v>
      </c>
      <c r="AM84" t="str">
        <f t="shared" ca="1" si="37"/>
        <v>×</v>
      </c>
      <c r="AN84" t="str">
        <f t="shared" ca="1" si="38"/>
        <v>×</v>
      </c>
      <c r="AO84" t="str">
        <f t="shared" ca="1" si="39"/>
        <v>×</v>
      </c>
      <c r="AP84" t="str">
        <f t="shared" ca="1" si="40"/>
        <v>×</v>
      </c>
      <c r="AQ84" t="str">
        <f t="shared" ca="1" si="41"/>
        <v>〇</v>
      </c>
      <c r="AR84" t="str">
        <f t="shared" ca="1" si="42"/>
        <v>〇</v>
      </c>
      <c r="AS84" t="str">
        <f t="shared" ca="1" si="43"/>
        <v>〇</v>
      </c>
      <c r="AT84" t="str">
        <f t="shared" ca="1" si="44"/>
        <v>〇</v>
      </c>
      <c r="AU84" t="str">
        <f t="shared" ca="1" si="45"/>
        <v>×</v>
      </c>
      <c r="AV84" t="str">
        <f t="shared" ca="1" si="46"/>
        <v>×</v>
      </c>
      <c r="AW84" t="str">
        <f t="shared" ca="1" si="47"/>
        <v>×</v>
      </c>
      <c r="AX84" t="str">
        <f t="shared" ca="1" si="48"/>
        <v>×</v>
      </c>
    </row>
    <row r="85" spans="1:50">
      <c r="A85" t="str" cm="1">
        <f t="array" aca="1" ref="A85" ca="1">INDIRECT("'"&amp;試験名&amp;"'!A"&amp;ROW()-2)</f>
        <v>聴解</v>
      </c>
      <c r="B85">
        <f t="shared" ca="1" si="32"/>
        <v>14</v>
      </c>
      <c r="E85">
        <v>2</v>
      </c>
      <c r="O85">
        <v>2</v>
      </c>
      <c r="P85">
        <v>2</v>
      </c>
      <c r="Q85">
        <v>3</v>
      </c>
      <c r="R85">
        <v>2</v>
      </c>
      <c r="V85">
        <v>2</v>
      </c>
      <c r="W85" s="3">
        <f t="shared" ca="1" si="33"/>
        <v>14</v>
      </c>
      <c r="X85" s="3">
        <f t="shared" ca="1" si="26"/>
        <v>0</v>
      </c>
      <c r="Y85" s="3">
        <f t="shared" ca="1" si="27"/>
        <v>5</v>
      </c>
      <c r="Z85" s="3">
        <f t="shared" ca="1" si="28"/>
        <v>1</v>
      </c>
      <c r="AA85" s="3">
        <f t="shared" ca="1" si="29"/>
        <v>0</v>
      </c>
      <c r="AB85" s="3">
        <f ca="1">IF(W85="","",COUNTA(T_受験者[])/4-COUNTA($C85:$V85))</f>
        <v>0</v>
      </c>
      <c r="AC85" s="3" cm="1">
        <f t="array" aca="1" ref="AC85" ca="1">IF(W85="","",INDIRECT("'"&amp;試験名&amp;"'!B"&amp;ROW()-2))</f>
        <v>3</v>
      </c>
      <c r="AD85" s="4">
        <f ca="1">IF(W85="","",COUNTIF(AE85:AX85,"〇")/(COUNTA(T_受験者[])/4))</f>
        <v>0.16666666666666666</v>
      </c>
      <c r="AE85" t="str">
        <f t="shared" ca="1" si="34"/>
        <v>×</v>
      </c>
      <c r="AF85" t="str">
        <f t="shared" ca="1" si="34"/>
        <v>×</v>
      </c>
      <c r="AG85" t="str">
        <f t="shared" ca="1" si="49"/>
        <v>×</v>
      </c>
      <c r="AH85" t="str">
        <f t="shared" ca="1" si="50"/>
        <v>×</v>
      </c>
      <c r="AI85" t="str">
        <f t="shared" ca="1" si="30"/>
        <v>×</v>
      </c>
      <c r="AJ85" t="str">
        <f t="shared" ca="1" si="31"/>
        <v>×</v>
      </c>
      <c r="AK85" t="str">
        <f t="shared" ca="1" si="35"/>
        <v>×</v>
      </c>
      <c r="AL85" t="str">
        <f t="shared" ca="1" si="36"/>
        <v>×</v>
      </c>
      <c r="AM85" t="str">
        <f t="shared" ca="1" si="37"/>
        <v>×</v>
      </c>
      <c r="AN85" t="str">
        <f t="shared" ca="1" si="38"/>
        <v>×</v>
      </c>
      <c r="AO85" t="str">
        <f t="shared" ca="1" si="39"/>
        <v>×</v>
      </c>
      <c r="AP85" t="str">
        <f t="shared" ca="1" si="40"/>
        <v>×</v>
      </c>
      <c r="AQ85" t="str">
        <f t="shared" ca="1" si="41"/>
        <v>×</v>
      </c>
      <c r="AR85" t="str">
        <f t="shared" ca="1" si="42"/>
        <v>×</v>
      </c>
      <c r="AS85" t="str">
        <f t="shared" ca="1" si="43"/>
        <v>〇</v>
      </c>
      <c r="AT85" t="str">
        <f t="shared" ca="1" si="44"/>
        <v>×</v>
      </c>
      <c r="AU85" t="str">
        <f t="shared" ca="1" si="45"/>
        <v>×</v>
      </c>
      <c r="AV85" t="str">
        <f t="shared" ca="1" si="46"/>
        <v>×</v>
      </c>
      <c r="AW85" t="str">
        <f t="shared" ca="1" si="47"/>
        <v>×</v>
      </c>
      <c r="AX85" t="str">
        <f t="shared" ca="1" si="48"/>
        <v>×</v>
      </c>
    </row>
    <row r="86" spans="1:50">
      <c r="A86" t="str" cm="1">
        <f t="array" aca="1" ref="A86" ca="1">INDIRECT("'"&amp;試験名&amp;"'!A"&amp;ROW()-2)</f>
        <v>聴解</v>
      </c>
      <c r="B86">
        <f t="shared" ca="1" si="32"/>
        <v>15</v>
      </c>
      <c r="E86">
        <v>1</v>
      </c>
      <c r="O86">
        <v>1</v>
      </c>
      <c r="P86">
        <v>1</v>
      </c>
      <c r="Q86">
        <v>3</v>
      </c>
      <c r="R86">
        <v>1</v>
      </c>
      <c r="V86">
        <v>1</v>
      </c>
      <c r="W86" s="3">
        <f t="shared" ca="1" si="33"/>
        <v>15</v>
      </c>
      <c r="X86" s="3">
        <f t="shared" ca="1" si="26"/>
        <v>5</v>
      </c>
      <c r="Y86" s="3">
        <f t="shared" ca="1" si="27"/>
        <v>0</v>
      </c>
      <c r="Z86" s="3">
        <f t="shared" ca="1" si="28"/>
        <v>1</v>
      </c>
      <c r="AA86" s="3">
        <f t="shared" ca="1" si="29"/>
        <v>0</v>
      </c>
      <c r="AB86" s="3">
        <f ca="1">IF(W86="","",COUNTA(T_受験者[])/4-COUNTA($C86:$V86))</f>
        <v>0</v>
      </c>
      <c r="AC86" s="3" cm="1">
        <f t="array" aca="1" ref="AC86" ca="1">IF(W86="","",INDIRECT("'"&amp;試験名&amp;"'!B"&amp;ROW()-2))</f>
        <v>1</v>
      </c>
      <c r="AD86" s="4">
        <f ca="1">IF(W86="","",COUNTIF(AE86:AX86,"〇")/(COUNTA(T_受験者[])/4))</f>
        <v>0.83333333333333337</v>
      </c>
      <c r="AE86" t="str">
        <f t="shared" ca="1" si="34"/>
        <v>×</v>
      </c>
      <c r="AF86" t="str">
        <f t="shared" ca="1" si="34"/>
        <v>×</v>
      </c>
      <c r="AG86" t="str">
        <f t="shared" ca="1" si="49"/>
        <v>〇</v>
      </c>
      <c r="AH86" t="str">
        <f t="shared" ca="1" si="50"/>
        <v>×</v>
      </c>
      <c r="AI86" t="str">
        <f t="shared" ca="1" si="30"/>
        <v>×</v>
      </c>
      <c r="AJ86" t="str">
        <f t="shared" ca="1" si="31"/>
        <v>×</v>
      </c>
      <c r="AK86" t="str">
        <f t="shared" ca="1" si="35"/>
        <v>×</v>
      </c>
      <c r="AL86" t="str">
        <f t="shared" ca="1" si="36"/>
        <v>×</v>
      </c>
      <c r="AM86" t="str">
        <f t="shared" ca="1" si="37"/>
        <v>×</v>
      </c>
      <c r="AN86" t="str">
        <f t="shared" ca="1" si="38"/>
        <v>×</v>
      </c>
      <c r="AO86" t="str">
        <f t="shared" ca="1" si="39"/>
        <v>×</v>
      </c>
      <c r="AP86" t="str">
        <f t="shared" ca="1" si="40"/>
        <v>×</v>
      </c>
      <c r="AQ86" t="str">
        <f t="shared" ca="1" si="41"/>
        <v>〇</v>
      </c>
      <c r="AR86" t="str">
        <f t="shared" ca="1" si="42"/>
        <v>〇</v>
      </c>
      <c r="AS86" t="str">
        <f t="shared" ca="1" si="43"/>
        <v>×</v>
      </c>
      <c r="AT86" t="str">
        <f t="shared" ca="1" si="44"/>
        <v>〇</v>
      </c>
      <c r="AU86" t="str">
        <f t="shared" ca="1" si="45"/>
        <v>×</v>
      </c>
      <c r="AV86" t="str">
        <f t="shared" ca="1" si="46"/>
        <v>×</v>
      </c>
      <c r="AW86" t="str">
        <f t="shared" ca="1" si="47"/>
        <v>×</v>
      </c>
      <c r="AX86" t="str">
        <f t="shared" ca="1" si="48"/>
        <v>〇</v>
      </c>
    </row>
    <row r="87" spans="1:50">
      <c r="A87" t="str" cm="1">
        <f t="array" aca="1" ref="A87" ca="1">INDIRECT("'"&amp;試験名&amp;"'!A"&amp;ROW()-2)</f>
        <v>聴解</v>
      </c>
      <c r="B87">
        <f t="shared" ca="1" si="32"/>
        <v>16</v>
      </c>
      <c r="E87">
        <v>2</v>
      </c>
      <c r="O87">
        <v>3</v>
      </c>
      <c r="P87">
        <v>1</v>
      </c>
      <c r="Q87">
        <v>1</v>
      </c>
      <c r="R87">
        <v>3</v>
      </c>
      <c r="V87">
        <v>1</v>
      </c>
      <c r="W87" s="3">
        <f t="shared" ca="1" si="33"/>
        <v>16</v>
      </c>
      <c r="X87" s="3">
        <f t="shared" ca="1" si="26"/>
        <v>3</v>
      </c>
      <c r="Y87" s="3">
        <f t="shared" ca="1" si="27"/>
        <v>1</v>
      </c>
      <c r="Z87" s="3">
        <f t="shared" ca="1" si="28"/>
        <v>2</v>
      </c>
      <c r="AA87" s="3">
        <f t="shared" ca="1" si="29"/>
        <v>0</v>
      </c>
      <c r="AB87" s="3">
        <f ca="1">IF(W87="","",COUNTA(T_受験者[])/4-COUNTA($C87:$V87))</f>
        <v>0</v>
      </c>
      <c r="AC87" s="3" cm="1">
        <f t="array" aca="1" ref="AC87" ca="1">IF(W87="","",INDIRECT("'"&amp;試験名&amp;"'!B"&amp;ROW()-2))</f>
        <v>1</v>
      </c>
      <c r="AD87" s="4">
        <f ca="1">IF(W87="","",COUNTIF(AE87:AX87,"〇")/(COUNTA(T_受験者[])/4))</f>
        <v>0.5</v>
      </c>
      <c r="AE87" t="str">
        <f t="shared" ca="1" si="34"/>
        <v>×</v>
      </c>
      <c r="AF87" t="str">
        <f t="shared" ca="1" si="34"/>
        <v>×</v>
      </c>
      <c r="AG87" t="str">
        <f t="shared" ca="1" si="49"/>
        <v>×</v>
      </c>
      <c r="AH87" t="str">
        <f t="shared" ca="1" si="50"/>
        <v>×</v>
      </c>
      <c r="AI87" t="str">
        <f t="shared" ca="1" si="30"/>
        <v>×</v>
      </c>
      <c r="AJ87" t="str">
        <f t="shared" ca="1" si="31"/>
        <v>×</v>
      </c>
      <c r="AK87" t="str">
        <f t="shared" ca="1" si="35"/>
        <v>×</v>
      </c>
      <c r="AL87" t="str">
        <f t="shared" ca="1" si="36"/>
        <v>×</v>
      </c>
      <c r="AM87" t="str">
        <f t="shared" ca="1" si="37"/>
        <v>×</v>
      </c>
      <c r="AN87" t="str">
        <f t="shared" ca="1" si="38"/>
        <v>×</v>
      </c>
      <c r="AO87" t="str">
        <f t="shared" ca="1" si="39"/>
        <v>×</v>
      </c>
      <c r="AP87" t="str">
        <f t="shared" ca="1" si="40"/>
        <v>×</v>
      </c>
      <c r="AQ87" t="str">
        <f t="shared" ca="1" si="41"/>
        <v>×</v>
      </c>
      <c r="AR87" t="str">
        <f t="shared" ca="1" si="42"/>
        <v>〇</v>
      </c>
      <c r="AS87" t="str">
        <f t="shared" ca="1" si="43"/>
        <v>〇</v>
      </c>
      <c r="AT87" t="str">
        <f t="shared" ca="1" si="44"/>
        <v>×</v>
      </c>
      <c r="AU87" t="str">
        <f t="shared" ca="1" si="45"/>
        <v>×</v>
      </c>
      <c r="AV87" t="str">
        <f t="shared" ca="1" si="46"/>
        <v>×</v>
      </c>
      <c r="AW87" t="str">
        <f t="shared" ca="1" si="47"/>
        <v>×</v>
      </c>
      <c r="AX87" t="str">
        <f t="shared" ca="1" si="48"/>
        <v>〇</v>
      </c>
    </row>
    <row r="88" spans="1:50">
      <c r="A88" t="str" cm="1">
        <f t="array" aca="1" ref="A88" ca="1">INDIRECT("'"&amp;試験名&amp;"'!A"&amp;ROW()-2)</f>
        <v>聴解</v>
      </c>
      <c r="B88">
        <f t="shared" ca="1" si="32"/>
        <v>17</v>
      </c>
      <c r="E88">
        <v>1</v>
      </c>
      <c r="O88">
        <v>1</v>
      </c>
      <c r="P88">
        <v>2</v>
      </c>
      <c r="Q88">
        <v>3</v>
      </c>
      <c r="R88">
        <v>1</v>
      </c>
      <c r="V88">
        <v>2</v>
      </c>
      <c r="W88" s="3">
        <f t="shared" ca="1" si="33"/>
        <v>17</v>
      </c>
      <c r="X88" s="3">
        <f t="shared" ca="1" si="26"/>
        <v>3</v>
      </c>
      <c r="Y88" s="3">
        <f t="shared" ca="1" si="27"/>
        <v>2</v>
      </c>
      <c r="Z88" s="3">
        <f t="shared" ca="1" si="28"/>
        <v>1</v>
      </c>
      <c r="AA88" s="3">
        <f t="shared" ca="1" si="29"/>
        <v>0</v>
      </c>
      <c r="AB88" s="3">
        <f ca="1">IF(W88="","",COUNTA(T_受験者[])/4-COUNTA($C88:$V88))</f>
        <v>0</v>
      </c>
      <c r="AC88" s="3" cm="1">
        <f t="array" aca="1" ref="AC88" ca="1">IF(W88="","",INDIRECT("'"&amp;試験名&amp;"'!B"&amp;ROW()-2))</f>
        <v>1</v>
      </c>
      <c r="AD88" s="4">
        <f ca="1">IF(W88="","",COUNTIF(AE88:AX88,"〇")/(COUNTA(T_受験者[])/4))</f>
        <v>0.5</v>
      </c>
      <c r="AE88" t="str">
        <f t="shared" ca="1" si="34"/>
        <v>×</v>
      </c>
      <c r="AF88" t="str">
        <f t="shared" ca="1" si="34"/>
        <v>×</v>
      </c>
      <c r="AG88" t="str">
        <f t="shared" ca="1" si="49"/>
        <v>〇</v>
      </c>
      <c r="AH88" t="str">
        <f t="shared" ca="1" si="50"/>
        <v>×</v>
      </c>
      <c r="AI88" t="str">
        <f t="shared" ca="1" si="30"/>
        <v>×</v>
      </c>
      <c r="AJ88" t="str">
        <f t="shared" ca="1" si="31"/>
        <v>×</v>
      </c>
      <c r="AK88" t="str">
        <f t="shared" ca="1" si="35"/>
        <v>×</v>
      </c>
      <c r="AL88" t="str">
        <f t="shared" ca="1" si="36"/>
        <v>×</v>
      </c>
      <c r="AM88" t="str">
        <f t="shared" ca="1" si="37"/>
        <v>×</v>
      </c>
      <c r="AN88" t="str">
        <f t="shared" ca="1" si="38"/>
        <v>×</v>
      </c>
      <c r="AO88" t="str">
        <f t="shared" ca="1" si="39"/>
        <v>×</v>
      </c>
      <c r="AP88" t="str">
        <f t="shared" ca="1" si="40"/>
        <v>×</v>
      </c>
      <c r="AQ88" t="str">
        <f t="shared" ca="1" si="41"/>
        <v>〇</v>
      </c>
      <c r="AR88" t="str">
        <f t="shared" ca="1" si="42"/>
        <v>×</v>
      </c>
      <c r="AS88" t="str">
        <f t="shared" ca="1" si="43"/>
        <v>×</v>
      </c>
      <c r="AT88" t="str">
        <f t="shared" ca="1" si="44"/>
        <v>〇</v>
      </c>
      <c r="AU88" t="str">
        <f t="shared" ca="1" si="45"/>
        <v>×</v>
      </c>
      <c r="AV88" t="str">
        <f t="shared" ca="1" si="46"/>
        <v>×</v>
      </c>
      <c r="AW88" t="str">
        <f t="shared" ca="1" si="47"/>
        <v>×</v>
      </c>
      <c r="AX88" t="str">
        <f t="shared" ca="1" si="48"/>
        <v>×</v>
      </c>
    </row>
    <row r="89" spans="1:50">
      <c r="A89" t="str" cm="1">
        <f t="array" aca="1" ref="A89" ca="1">INDIRECT("'"&amp;試験名&amp;"'!A"&amp;ROW()-2)</f>
        <v>聴解</v>
      </c>
      <c r="B89">
        <f t="shared" ca="1" si="32"/>
        <v>18</v>
      </c>
      <c r="E89">
        <v>3</v>
      </c>
      <c r="O89">
        <v>1</v>
      </c>
      <c r="P89">
        <v>2</v>
      </c>
      <c r="Q89">
        <v>1</v>
      </c>
      <c r="R89">
        <v>2</v>
      </c>
      <c r="V89">
        <v>1</v>
      </c>
      <c r="W89" s="3">
        <f t="shared" ca="1" si="33"/>
        <v>18</v>
      </c>
      <c r="X89" s="3">
        <f t="shared" ca="1" si="26"/>
        <v>3</v>
      </c>
      <c r="Y89" s="3">
        <f t="shared" ca="1" si="27"/>
        <v>2</v>
      </c>
      <c r="Z89" s="3">
        <f t="shared" ca="1" si="28"/>
        <v>1</v>
      </c>
      <c r="AA89" s="3">
        <f t="shared" ca="1" si="29"/>
        <v>0</v>
      </c>
      <c r="AB89" s="3">
        <f ca="1">IF(W89="","",COUNTA(T_受験者[])/4-COUNTA($C89:$V89))</f>
        <v>0</v>
      </c>
      <c r="AC89" s="3" cm="1">
        <f t="array" aca="1" ref="AC89" ca="1">IF(W89="","",INDIRECT("'"&amp;試験名&amp;"'!B"&amp;ROW()-2))</f>
        <v>1</v>
      </c>
      <c r="AD89" s="4">
        <f ca="1">IF(W89="","",COUNTIF(AE89:AX89,"〇")/(COUNTA(T_受験者[])/4))</f>
        <v>0.5</v>
      </c>
      <c r="AE89" t="str">
        <f t="shared" ca="1" si="34"/>
        <v>×</v>
      </c>
      <c r="AF89" t="str">
        <f t="shared" ca="1" si="34"/>
        <v>×</v>
      </c>
      <c r="AG89" t="str">
        <f t="shared" ca="1" si="49"/>
        <v>×</v>
      </c>
      <c r="AH89" t="str">
        <f t="shared" ca="1" si="50"/>
        <v>×</v>
      </c>
      <c r="AI89" t="str">
        <f t="shared" ca="1" si="30"/>
        <v>×</v>
      </c>
      <c r="AJ89" t="str">
        <f t="shared" ca="1" si="31"/>
        <v>×</v>
      </c>
      <c r="AK89" t="str">
        <f t="shared" ca="1" si="35"/>
        <v>×</v>
      </c>
      <c r="AL89" t="str">
        <f t="shared" ca="1" si="36"/>
        <v>×</v>
      </c>
      <c r="AM89" t="str">
        <f t="shared" ca="1" si="37"/>
        <v>×</v>
      </c>
      <c r="AN89" t="str">
        <f t="shared" ca="1" si="38"/>
        <v>×</v>
      </c>
      <c r="AO89" t="str">
        <f t="shared" ca="1" si="39"/>
        <v>×</v>
      </c>
      <c r="AP89" t="str">
        <f t="shared" ca="1" si="40"/>
        <v>×</v>
      </c>
      <c r="AQ89" t="str">
        <f t="shared" ca="1" si="41"/>
        <v>〇</v>
      </c>
      <c r="AR89" t="str">
        <f t="shared" ca="1" si="42"/>
        <v>×</v>
      </c>
      <c r="AS89" t="str">
        <f t="shared" ca="1" si="43"/>
        <v>〇</v>
      </c>
      <c r="AT89" t="str">
        <f t="shared" ca="1" si="44"/>
        <v>×</v>
      </c>
      <c r="AU89" t="str">
        <f t="shared" ca="1" si="45"/>
        <v>×</v>
      </c>
      <c r="AV89" t="str">
        <f t="shared" ca="1" si="46"/>
        <v>×</v>
      </c>
      <c r="AW89" t="str">
        <f t="shared" ca="1" si="47"/>
        <v>×</v>
      </c>
      <c r="AX89" t="str">
        <f t="shared" ca="1" si="48"/>
        <v>〇</v>
      </c>
    </row>
    <row r="90" spans="1:50">
      <c r="A90" t="str" cm="1">
        <f t="array" aca="1" ref="A90" ca="1">INDIRECT("'"&amp;試験名&amp;"'!A"&amp;ROW()-2)</f>
        <v>聴解</v>
      </c>
      <c r="B90">
        <f t="shared" ca="1" si="32"/>
        <v>19</v>
      </c>
      <c r="E90">
        <v>3</v>
      </c>
      <c r="O90">
        <v>2</v>
      </c>
      <c r="P90">
        <v>1</v>
      </c>
      <c r="Q90">
        <v>3</v>
      </c>
      <c r="R90">
        <v>2</v>
      </c>
      <c r="V90">
        <v>1</v>
      </c>
      <c r="W90" s="3">
        <f t="shared" ca="1" si="33"/>
        <v>19</v>
      </c>
      <c r="X90" s="3">
        <f t="shared" ca="1" si="26"/>
        <v>2</v>
      </c>
      <c r="Y90" s="3">
        <f t="shared" ca="1" si="27"/>
        <v>2</v>
      </c>
      <c r="Z90" s="3">
        <f t="shared" ca="1" si="28"/>
        <v>2</v>
      </c>
      <c r="AA90" s="3">
        <f t="shared" ca="1" si="29"/>
        <v>0</v>
      </c>
      <c r="AB90" s="3">
        <f ca="1">IF(W90="","",COUNTA(T_受験者[])/4-COUNTA($C90:$V90))</f>
        <v>0</v>
      </c>
      <c r="AC90" s="3" cm="1">
        <f t="array" aca="1" ref="AC90" ca="1">IF(W90="","",INDIRECT("'"&amp;試験名&amp;"'!B"&amp;ROW()-2))</f>
        <v>3</v>
      </c>
      <c r="AD90" s="4">
        <f ca="1">IF(W90="","",COUNTIF(AE90:AX90,"〇")/(COUNTA(T_受験者[])/4))</f>
        <v>0.33333333333333331</v>
      </c>
      <c r="AE90" t="str">
        <f t="shared" ca="1" si="34"/>
        <v>×</v>
      </c>
      <c r="AF90" t="str">
        <f t="shared" ca="1" si="34"/>
        <v>×</v>
      </c>
      <c r="AG90" t="str">
        <f t="shared" ca="1" si="49"/>
        <v>〇</v>
      </c>
      <c r="AH90" t="str">
        <f t="shared" ca="1" si="50"/>
        <v>×</v>
      </c>
      <c r="AI90" t="str">
        <f t="shared" ca="1" si="30"/>
        <v>×</v>
      </c>
      <c r="AJ90" t="str">
        <f t="shared" ca="1" si="31"/>
        <v>×</v>
      </c>
      <c r="AK90" t="str">
        <f t="shared" ca="1" si="35"/>
        <v>×</v>
      </c>
      <c r="AL90" t="str">
        <f t="shared" ca="1" si="36"/>
        <v>×</v>
      </c>
      <c r="AM90" t="str">
        <f t="shared" ca="1" si="37"/>
        <v>×</v>
      </c>
      <c r="AN90" t="str">
        <f t="shared" ca="1" si="38"/>
        <v>×</v>
      </c>
      <c r="AO90" t="str">
        <f t="shared" ca="1" si="39"/>
        <v>×</v>
      </c>
      <c r="AP90" t="str">
        <f t="shared" ca="1" si="40"/>
        <v>×</v>
      </c>
      <c r="AQ90" t="str">
        <f t="shared" ca="1" si="41"/>
        <v>×</v>
      </c>
      <c r="AR90" t="str">
        <f t="shared" ca="1" si="42"/>
        <v>×</v>
      </c>
      <c r="AS90" t="str">
        <f t="shared" ca="1" si="43"/>
        <v>〇</v>
      </c>
      <c r="AT90" t="str">
        <f t="shared" ca="1" si="44"/>
        <v>×</v>
      </c>
      <c r="AU90" t="str">
        <f t="shared" ca="1" si="45"/>
        <v>×</v>
      </c>
      <c r="AV90" t="str">
        <f t="shared" ca="1" si="46"/>
        <v>×</v>
      </c>
      <c r="AW90" t="str">
        <f t="shared" ca="1" si="47"/>
        <v>×</v>
      </c>
      <c r="AX90" t="str">
        <f t="shared" ca="1" si="48"/>
        <v>×</v>
      </c>
    </row>
    <row r="91" spans="1:50">
      <c r="A91" t="str" cm="1">
        <f t="array" aca="1" ref="A91" ca="1">INDIRECT("'"&amp;試験名&amp;"'!A"&amp;ROW()-2)</f>
        <v>聴解</v>
      </c>
      <c r="B91">
        <f t="shared" ca="1" si="32"/>
        <v>20</v>
      </c>
      <c r="E91">
        <v>1</v>
      </c>
      <c r="O91">
        <v>1</v>
      </c>
      <c r="P91">
        <v>3</v>
      </c>
      <c r="Q91">
        <v>1</v>
      </c>
      <c r="R91">
        <v>3</v>
      </c>
      <c r="V91">
        <v>1</v>
      </c>
      <c r="W91" s="3">
        <f t="shared" ca="1" si="33"/>
        <v>20</v>
      </c>
      <c r="X91" s="3">
        <f t="shared" ref="X91:X117" ca="1" si="51">IF(W91="","",COUNTIF($C91:$V91,X$2))</f>
        <v>4</v>
      </c>
      <c r="Y91" s="3">
        <f t="shared" ca="1" si="27"/>
        <v>0</v>
      </c>
      <c r="Z91" s="3">
        <f t="shared" ca="1" si="28"/>
        <v>2</v>
      </c>
      <c r="AA91" s="3">
        <f t="shared" ca="1" si="29"/>
        <v>0</v>
      </c>
      <c r="AB91" s="3">
        <f ca="1">IF(W91="","",COUNTA(T_受験者[])/4-COUNTA($C91:$V91))</f>
        <v>0</v>
      </c>
      <c r="AC91" s="3" cm="1">
        <f t="array" aca="1" ref="AC91" ca="1">IF(W91="","",INDIRECT("'"&amp;試験名&amp;"'!B"&amp;ROW()-2))</f>
        <v>1</v>
      </c>
      <c r="AD91" s="4">
        <f ca="1">IF(W91="","",COUNTIF(AE91:AX91,"〇")/(COUNTA(T_受験者[])/4))</f>
        <v>0.66666666666666663</v>
      </c>
      <c r="AE91" t="str">
        <f t="shared" ca="1" si="34"/>
        <v>×</v>
      </c>
      <c r="AF91" t="str">
        <f t="shared" ca="1" si="34"/>
        <v>×</v>
      </c>
      <c r="AG91" t="str">
        <f t="shared" ca="1" si="49"/>
        <v>〇</v>
      </c>
      <c r="AH91" t="str">
        <f t="shared" ca="1" si="50"/>
        <v>×</v>
      </c>
      <c r="AI91" t="str">
        <f t="shared" ca="1" si="30"/>
        <v>×</v>
      </c>
      <c r="AJ91" t="str">
        <f t="shared" ca="1" si="31"/>
        <v>×</v>
      </c>
      <c r="AK91" t="str">
        <f t="shared" ca="1" si="35"/>
        <v>×</v>
      </c>
      <c r="AL91" t="str">
        <f t="shared" ca="1" si="36"/>
        <v>×</v>
      </c>
      <c r="AM91" t="str">
        <f t="shared" ca="1" si="37"/>
        <v>×</v>
      </c>
      <c r="AN91" t="str">
        <f t="shared" ca="1" si="38"/>
        <v>×</v>
      </c>
      <c r="AO91" t="str">
        <f t="shared" ca="1" si="39"/>
        <v>×</v>
      </c>
      <c r="AP91" t="str">
        <f t="shared" ca="1" si="40"/>
        <v>×</v>
      </c>
      <c r="AQ91" t="str">
        <f t="shared" ca="1" si="41"/>
        <v>〇</v>
      </c>
      <c r="AR91" t="str">
        <f t="shared" ca="1" si="42"/>
        <v>×</v>
      </c>
      <c r="AS91" t="str">
        <f t="shared" ca="1" si="43"/>
        <v>〇</v>
      </c>
      <c r="AT91" t="str">
        <f t="shared" ca="1" si="44"/>
        <v>×</v>
      </c>
      <c r="AU91" t="str">
        <f t="shared" ca="1" si="45"/>
        <v>×</v>
      </c>
      <c r="AV91" t="str">
        <f t="shared" ca="1" si="46"/>
        <v>×</v>
      </c>
      <c r="AW91" t="str">
        <f t="shared" ca="1" si="47"/>
        <v>×</v>
      </c>
      <c r="AX91" t="str">
        <f t="shared" ca="1" si="48"/>
        <v>〇</v>
      </c>
    </row>
    <row r="92" spans="1:50">
      <c r="A92" t="str" cm="1">
        <f t="array" aca="1" ref="A92" ca="1">INDIRECT("'"&amp;試験名&amp;"'!A"&amp;ROW()-2)</f>
        <v>聴解</v>
      </c>
      <c r="B92">
        <f t="shared" ca="1" si="32"/>
        <v>21</v>
      </c>
      <c r="E92">
        <v>2</v>
      </c>
      <c r="O92">
        <v>1</v>
      </c>
      <c r="P92">
        <v>3</v>
      </c>
      <c r="Q92">
        <v>1</v>
      </c>
      <c r="R92">
        <v>1</v>
      </c>
      <c r="V92">
        <v>1</v>
      </c>
      <c r="W92" s="3">
        <f t="shared" ca="1" si="33"/>
        <v>21</v>
      </c>
      <c r="X92" s="3">
        <f t="shared" ca="1" si="51"/>
        <v>4</v>
      </c>
      <c r="Y92" s="3">
        <f t="shared" ca="1" si="27"/>
        <v>1</v>
      </c>
      <c r="Z92" s="3">
        <f t="shared" ca="1" si="28"/>
        <v>1</v>
      </c>
      <c r="AA92" s="3">
        <f t="shared" ca="1" si="29"/>
        <v>0</v>
      </c>
      <c r="AB92" s="3">
        <f ca="1">IF(W92="","",COUNTA(T_受験者[])/4-COUNTA($C92:$V92))</f>
        <v>0</v>
      </c>
      <c r="AC92" s="3" cm="1">
        <f t="array" aca="1" ref="AC92" ca="1">IF(W92="","",INDIRECT("'"&amp;試験名&amp;"'!B"&amp;ROW()-2))</f>
        <v>1</v>
      </c>
      <c r="AD92" s="4">
        <f ca="1">IF(W92="","",COUNTIF(AE92:AX92,"〇")/(COUNTA(T_受験者[])/4))</f>
        <v>0.66666666666666663</v>
      </c>
      <c r="AE92" t="str">
        <f t="shared" ca="1" si="34"/>
        <v>×</v>
      </c>
      <c r="AF92" t="str">
        <f t="shared" ca="1" si="34"/>
        <v>×</v>
      </c>
      <c r="AG92" t="str">
        <f t="shared" ca="1" si="49"/>
        <v>×</v>
      </c>
      <c r="AH92" t="str">
        <f t="shared" ca="1" si="50"/>
        <v>×</v>
      </c>
      <c r="AI92" t="str">
        <f t="shared" ca="1" si="30"/>
        <v>×</v>
      </c>
      <c r="AJ92" t="str">
        <f t="shared" ca="1" si="31"/>
        <v>×</v>
      </c>
      <c r="AK92" t="str">
        <f t="shared" ca="1" si="35"/>
        <v>×</v>
      </c>
      <c r="AL92" t="str">
        <f t="shared" ca="1" si="36"/>
        <v>×</v>
      </c>
      <c r="AM92" t="str">
        <f t="shared" ca="1" si="37"/>
        <v>×</v>
      </c>
      <c r="AN92" t="str">
        <f t="shared" ca="1" si="38"/>
        <v>×</v>
      </c>
      <c r="AO92" t="str">
        <f t="shared" ca="1" si="39"/>
        <v>×</v>
      </c>
      <c r="AP92" t="str">
        <f t="shared" ca="1" si="40"/>
        <v>×</v>
      </c>
      <c r="AQ92" t="str">
        <f t="shared" ca="1" si="41"/>
        <v>〇</v>
      </c>
      <c r="AR92" t="str">
        <f t="shared" ca="1" si="42"/>
        <v>×</v>
      </c>
      <c r="AS92" t="str">
        <f t="shared" ca="1" si="43"/>
        <v>〇</v>
      </c>
      <c r="AT92" t="str">
        <f t="shared" ca="1" si="44"/>
        <v>〇</v>
      </c>
      <c r="AU92" t="str">
        <f t="shared" ca="1" si="45"/>
        <v>×</v>
      </c>
      <c r="AV92" t="str">
        <f t="shared" ca="1" si="46"/>
        <v>×</v>
      </c>
      <c r="AW92" t="str">
        <f t="shared" ca="1" si="47"/>
        <v>×</v>
      </c>
      <c r="AX92" t="str">
        <f t="shared" ca="1" si="48"/>
        <v>〇</v>
      </c>
    </row>
    <row r="93" spans="1:50">
      <c r="A93" t="str" cm="1">
        <f t="array" aca="1" ref="A93" ca="1">INDIRECT("'"&amp;試験名&amp;"'!A"&amp;ROW()-2)</f>
        <v>聴解</v>
      </c>
      <c r="B93">
        <f t="shared" ca="1" si="32"/>
        <v>22</v>
      </c>
      <c r="E93">
        <v>1</v>
      </c>
      <c r="O93">
        <v>1</v>
      </c>
      <c r="P93">
        <v>3</v>
      </c>
      <c r="Q93">
        <v>3</v>
      </c>
      <c r="R93">
        <v>3</v>
      </c>
      <c r="V93">
        <v>2</v>
      </c>
      <c r="W93" s="3">
        <f t="shared" ca="1" si="33"/>
        <v>22</v>
      </c>
      <c r="X93" s="3">
        <f t="shared" ca="1" si="51"/>
        <v>2</v>
      </c>
      <c r="Y93" s="3">
        <f t="shared" ca="1" si="27"/>
        <v>1</v>
      </c>
      <c r="Z93" s="3">
        <f t="shared" ca="1" si="28"/>
        <v>3</v>
      </c>
      <c r="AA93" s="3">
        <f t="shared" ca="1" si="29"/>
        <v>0</v>
      </c>
      <c r="AB93" s="3">
        <f ca="1">IF(W93="","",COUNTA(T_受験者[])/4-COUNTA($C93:$V93))</f>
        <v>0</v>
      </c>
      <c r="AC93" s="3" cm="1">
        <f t="array" aca="1" ref="AC93" ca="1">IF(W93="","",INDIRECT("'"&amp;試験名&amp;"'!B"&amp;ROW()-2))</f>
        <v>3</v>
      </c>
      <c r="AD93" s="4">
        <f ca="1">IF(W93="","",COUNTIF(AE93:AX93,"〇")/(COUNTA(T_受験者[])/4))</f>
        <v>0.5</v>
      </c>
      <c r="AE93" t="str">
        <f t="shared" ca="1" si="34"/>
        <v>×</v>
      </c>
      <c r="AF93" t="str">
        <f t="shared" ca="1" si="34"/>
        <v>×</v>
      </c>
      <c r="AG93" t="str">
        <f t="shared" ca="1" si="49"/>
        <v>×</v>
      </c>
      <c r="AH93" t="str">
        <f t="shared" ca="1" si="50"/>
        <v>×</v>
      </c>
      <c r="AI93" t="str">
        <f t="shared" ca="1" si="30"/>
        <v>×</v>
      </c>
      <c r="AJ93" t="str">
        <f t="shared" ca="1" si="31"/>
        <v>×</v>
      </c>
      <c r="AK93" t="str">
        <f t="shared" ca="1" si="35"/>
        <v>×</v>
      </c>
      <c r="AL93" t="str">
        <f t="shared" ca="1" si="36"/>
        <v>×</v>
      </c>
      <c r="AM93" t="str">
        <f t="shared" ca="1" si="37"/>
        <v>×</v>
      </c>
      <c r="AN93" t="str">
        <f t="shared" ca="1" si="38"/>
        <v>×</v>
      </c>
      <c r="AO93" t="str">
        <f t="shared" ca="1" si="39"/>
        <v>×</v>
      </c>
      <c r="AP93" t="str">
        <f t="shared" ca="1" si="40"/>
        <v>×</v>
      </c>
      <c r="AQ93" t="str">
        <f t="shared" ca="1" si="41"/>
        <v>×</v>
      </c>
      <c r="AR93" t="str">
        <f t="shared" ca="1" si="42"/>
        <v>〇</v>
      </c>
      <c r="AS93" t="str">
        <f t="shared" ca="1" si="43"/>
        <v>〇</v>
      </c>
      <c r="AT93" t="str">
        <f t="shared" ca="1" si="44"/>
        <v>〇</v>
      </c>
      <c r="AU93" t="str">
        <f t="shared" ca="1" si="45"/>
        <v>×</v>
      </c>
      <c r="AV93" t="str">
        <f t="shared" ca="1" si="46"/>
        <v>×</v>
      </c>
      <c r="AW93" t="str">
        <f t="shared" ca="1" si="47"/>
        <v>×</v>
      </c>
      <c r="AX93" t="str">
        <f t="shared" ca="1" si="48"/>
        <v>×</v>
      </c>
    </row>
    <row r="94" spans="1:50">
      <c r="A94" t="str" cm="1">
        <f t="array" aca="1" ref="A94" ca="1">INDIRECT("'"&amp;試験名&amp;"'!A"&amp;ROW()-2)</f>
        <v>聴解</v>
      </c>
      <c r="B94">
        <f t="shared" ca="1" si="32"/>
        <v>23</v>
      </c>
      <c r="E94">
        <v>3</v>
      </c>
      <c r="O94">
        <v>2</v>
      </c>
      <c r="P94">
        <v>3</v>
      </c>
      <c r="Q94">
        <v>3</v>
      </c>
      <c r="R94">
        <v>2</v>
      </c>
      <c r="V94">
        <v>2</v>
      </c>
      <c r="W94" s="3">
        <f t="shared" ca="1" si="33"/>
        <v>23</v>
      </c>
      <c r="X94" s="3">
        <f t="shared" ca="1" si="51"/>
        <v>0</v>
      </c>
      <c r="Y94" s="3">
        <f t="shared" ca="1" si="27"/>
        <v>3</v>
      </c>
      <c r="Z94" s="3">
        <f t="shared" ca="1" si="28"/>
        <v>3</v>
      </c>
      <c r="AA94" s="3">
        <f t="shared" ca="1" si="29"/>
        <v>0</v>
      </c>
      <c r="AB94" s="3">
        <f ca="1">IF(W94="","",COUNTA(T_受験者[])/4-COUNTA($C94:$V94))</f>
        <v>0</v>
      </c>
      <c r="AC94" s="3" cm="1">
        <f t="array" aca="1" ref="AC94" ca="1">IF(W94="","",INDIRECT("'"&amp;試験名&amp;"'!B"&amp;ROW()-2))</f>
        <v>3</v>
      </c>
      <c r="AD94" s="4">
        <f ca="1">IF(W94="","",COUNTIF(AE94:AX94,"〇")/(COUNTA(T_受験者[])/4))</f>
        <v>0.5</v>
      </c>
      <c r="AE94" t="str">
        <f t="shared" ca="1" si="34"/>
        <v>×</v>
      </c>
      <c r="AF94" t="str">
        <f t="shared" ca="1" si="34"/>
        <v>×</v>
      </c>
      <c r="AG94" t="str">
        <f t="shared" ca="1" si="49"/>
        <v>〇</v>
      </c>
      <c r="AH94" t="str">
        <f t="shared" ca="1" si="50"/>
        <v>×</v>
      </c>
      <c r="AI94" t="str">
        <f t="shared" ca="1" si="30"/>
        <v>×</v>
      </c>
      <c r="AJ94" t="str">
        <f t="shared" ca="1" si="31"/>
        <v>×</v>
      </c>
      <c r="AK94" t="str">
        <f t="shared" ca="1" si="35"/>
        <v>×</v>
      </c>
      <c r="AL94" t="str">
        <f t="shared" ca="1" si="36"/>
        <v>×</v>
      </c>
      <c r="AM94" t="str">
        <f t="shared" ca="1" si="37"/>
        <v>×</v>
      </c>
      <c r="AN94" t="str">
        <f t="shared" ca="1" si="38"/>
        <v>×</v>
      </c>
      <c r="AO94" t="str">
        <f t="shared" ca="1" si="39"/>
        <v>×</v>
      </c>
      <c r="AP94" t="str">
        <f t="shared" ca="1" si="40"/>
        <v>×</v>
      </c>
      <c r="AQ94" t="str">
        <f t="shared" ca="1" si="41"/>
        <v>×</v>
      </c>
      <c r="AR94" t="str">
        <f t="shared" ca="1" si="42"/>
        <v>〇</v>
      </c>
      <c r="AS94" t="str">
        <f t="shared" ca="1" si="43"/>
        <v>〇</v>
      </c>
      <c r="AT94" t="str">
        <f t="shared" ca="1" si="44"/>
        <v>×</v>
      </c>
      <c r="AU94" t="str">
        <f t="shared" ca="1" si="45"/>
        <v>×</v>
      </c>
      <c r="AV94" t="str">
        <f t="shared" ca="1" si="46"/>
        <v>×</v>
      </c>
      <c r="AW94" t="str">
        <f t="shared" ca="1" si="47"/>
        <v>×</v>
      </c>
      <c r="AX94" t="str">
        <f t="shared" ca="1" si="48"/>
        <v>×</v>
      </c>
    </row>
    <row r="95" spans="1:50">
      <c r="A95" t="str" cm="1">
        <f t="array" aca="1" ref="A95" ca="1">INDIRECT("'"&amp;試験名&amp;"'!A"&amp;ROW()-2)</f>
        <v>聴解</v>
      </c>
      <c r="B95">
        <f t="shared" ca="1" si="32"/>
        <v>24</v>
      </c>
      <c r="E95">
        <v>3</v>
      </c>
      <c r="O95">
        <v>3</v>
      </c>
      <c r="P95">
        <v>1</v>
      </c>
      <c r="Q95">
        <v>3</v>
      </c>
      <c r="R95">
        <v>1</v>
      </c>
      <c r="V95">
        <v>1</v>
      </c>
      <c r="W95" s="3">
        <f t="shared" ca="1" si="33"/>
        <v>24</v>
      </c>
      <c r="X95" s="3">
        <f t="shared" ca="1" si="51"/>
        <v>3</v>
      </c>
      <c r="Y95" s="3">
        <f t="shared" ca="1" si="27"/>
        <v>0</v>
      </c>
      <c r="Z95" s="3">
        <f t="shared" ca="1" si="28"/>
        <v>3</v>
      </c>
      <c r="AA95" s="3">
        <f t="shared" ca="1" si="29"/>
        <v>0</v>
      </c>
      <c r="AB95" s="3">
        <f ca="1">IF(W95="","",COUNTA(T_受験者[])/4-COUNTA($C95:$V95))</f>
        <v>0</v>
      </c>
      <c r="AC95" s="3" cm="1">
        <f t="array" aca="1" ref="AC95" ca="1">IF(W95="","",INDIRECT("'"&amp;試験名&amp;"'!B"&amp;ROW()-2))</f>
        <v>1</v>
      </c>
      <c r="AD95" s="4">
        <f ca="1">IF(W95="","",COUNTIF(AE95:AX95,"〇")/(COUNTA(T_受験者[])/4))</f>
        <v>0.5</v>
      </c>
      <c r="AE95" t="str">
        <f t="shared" ca="1" si="34"/>
        <v>×</v>
      </c>
      <c r="AF95" t="str">
        <f t="shared" ca="1" si="34"/>
        <v>×</v>
      </c>
      <c r="AG95" t="str">
        <f t="shared" ca="1" si="49"/>
        <v>×</v>
      </c>
      <c r="AH95" t="str">
        <f t="shared" ca="1" si="50"/>
        <v>×</v>
      </c>
      <c r="AI95" t="str">
        <f t="shared" ca="1" si="30"/>
        <v>×</v>
      </c>
      <c r="AJ95" t="str">
        <f t="shared" ca="1" si="31"/>
        <v>×</v>
      </c>
      <c r="AK95" t="str">
        <f t="shared" ca="1" si="35"/>
        <v>×</v>
      </c>
      <c r="AL95" t="str">
        <f t="shared" ca="1" si="36"/>
        <v>×</v>
      </c>
      <c r="AM95" t="str">
        <f t="shared" ca="1" si="37"/>
        <v>×</v>
      </c>
      <c r="AN95" t="str">
        <f t="shared" ca="1" si="38"/>
        <v>×</v>
      </c>
      <c r="AO95" t="str">
        <f t="shared" ca="1" si="39"/>
        <v>×</v>
      </c>
      <c r="AP95" t="str">
        <f t="shared" ca="1" si="40"/>
        <v>×</v>
      </c>
      <c r="AQ95" t="str">
        <f t="shared" ca="1" si="41"/>
        <v>×</v>
      </c>
      <c r="AR95" t="str">
        <f t="shared" ca="1" si="42"/>
        <v>〇</v>
      </c>
      <c r="AS95" t="str">
        <f t="shared" ca="1" si="43"/>
        <v>×</v>
      </c>
      <c r="AT95" t="str">
        <f t="shared" ca="1" si="44"/>
        <v>〇</v>
      </c>
      <c r="AU95" t="str">
        <f t="shared" ca="1" si="45"/>
        <v>×</v>
      </c>
      <c r="AV95" t="str">
        <f t="shared" ca="1" si="46"/>
        <v>×</v>
      </c>
      <c r="AW95" t="str">
        <f t="shared" ca="1" si="47"/>
        <v>×</v>
      </c>
      <c r="AX95" t="str">
        <f t="shared" ca="1" si="48"/>
        <v>〇</v>
      </c>
    </row>
    <row r="96" spans="1:50">
      <c r="A96" t="str" cm="1">
        <f t="array" aca="1" ref="A96" ca="1">INDIRECT("'"&amp;試験名&amp;"'!A"&amp;ROW()-2)</f>
        <v>聴解</v>
      </c>
      <c r="B96">
        <f t="shared" ca="1" si="32"/>
        <v>25</v>
      </c>
      <c r="E96">
        <v>2</v>
      </c>
      <c r="O96">
        <v>2</v>
      </c>
      <c r="P96">
        <v>2</v>
      </c>
      <c r="Q96">
        <v>2</v>
      </c>
      <c r="R96">
        <v>3</v>
      </c>
      <c r="V96">
        <v>2</v>
      </c>
      <c r="W96" s="3">
        <f t="shared" ca="1" si="33"/>
        <v>25</v>
      </c>
      <c r="X96" s="3">
        <f t="shared" ca="1" si="51"/>
        <v>0</v>
      </c>
      <c r="Y96" s="3">
        <f t="shared" ca="1" si="27"/>
        <v>5</v>
      </c>
      <c r="Z96" s="3">
        <f t="shared" ca="1" si="28"/>
        <v>1</v>
      </c>
      <c r="AA96" s="3">
        <f t="shared" ca="1" si="29"/>
        <v>0</v>
      </c>
      <c r="AB96" s="3">
        <f ca="1">IF(W96="","",COUNTA(T_受験者[])/4-COUNTA($C96:$V96))</f>
        <v>0</v>
      </c>
      <c r="AC96" s="3" cm="1">
        <f t="array" aca="1" ref="AC96" ca="1">IF(W96="","",INDIRECT("'"&amp;試験名&amp;"'!B"&amp;ROW()-2))</f>
        <v>2</v>
      </c>
      <c r="AD96" s="4">
        <f ca="1">IF(W96="","",COUNTIF(AE96:AX96,"〇")/(COUNTA(T_受験者[])/4))</f>
        <v>0.83333333333333337</v>
      </c>
      <c r="AE96" t="str">
        <f t="shared" ca="1" si="34"/>
        <v>×</v>
      </c>
      <c r="AF96" t="str">
        <f t="shared" ca="1" si="34"/>
        <v>×</v>
      </c>
      <c r="AG96" t="str">
        <f t="shared" ca="1" si="49"/>
        <v>〇</v>
      </c>
      <c r="AH96" t="str">
        <f t="shared" ca="1" si="50"/>
        <v>×</v>
      </c>
      <c r="AI96" t="str">
        <f t="shared" ca="1" si="30"/>
        <v>×</v>
      </c>
      <c r="AJ96" t="str">
        <f t="shared" ca="1" si="31"/>
        <v>×</v>
      </c>
      <c r="AK96" t="str">
        <f t="shared" ca="1" si="35"/>
        <v>×</v>
      </c>
      <c r="AL96" t="str">
        <f t="shared" ca="1" si="36"/>
        <v>×</v>
      </c>
      <c r="AM96" t="str">
        <f t="shared" ca="1" si="37"/>
        <v>×</v>
      </c>
      <c r="AN96" t="str">
        <f t="shared" ca="1" si="38"/>
        <v>×</v>
      </c>
      <c r="AO96" t="str">
        <f t="shared" ca="1" si="39"/>
        <v>×</v>
      </c>
      <c r="AP96" t="str">
        <f t="shared" ca="1" si="40"/>
        <v>×</v>
      </c>
      <c r="AQ96" t="str">
        <f t="shared" ca="1" si="41"/>
        <v>〇</v>
      </c>
      <c r="AR96" t="str">
        <f t="shared" ca="1" si="42"/>
        <v>〇</v>
      </c>
      <c r="AS96" t="str">
        <f t="shared" ca="1" si="43"/>
        <v>〇</v>
      </c>
      <c r="AT96" t="str">
        <f t="shared" ca="1" si="44"/>
        <v>×</v>
      </c>
      <c r="AU96" t="str">
        <f t="shared" ca="1" si="45"/>
        <v>×</v>
      </c>
      <c r="AV96" t="str">
        <f t="shared" ca="1" si="46"/>
        <v>×</v>
      </c>
      <c r="AW96" t="str">
        <f t="shared" ca="1" si="47"/>
        <v>×</v>
      </c>
      <c r="AX96" t="str">
        <f t="shared" ca="1" si="48"/>
        <v>〇</v>
      </c>
    </row>
    <row r="97" spans="1:50">
      <c r="A97" t="str" cm="1">
        <f t="array" aca="1" ref="A97" ca="1">INDIRECT("'"&amp;試験名&amp;"'!A"&amp;ROW()-2)</f>
        <v>聴解</v>
      </c>
      <c r="B97">
        <f t="shared" ca="1" si="32"/>
        <v>26</v>
      </c>
      <c r="E97">
        <v>3</v>
      </c>
      <c r="O97">
        <v>3</v>
      </c>
      <c r="P97">
        <v>1</v>
      </c>
      <c r="Q97">
        <v>3</v>
      </c>
      <c r="R97">
        <v>2</v>
      </c>
      <c r="V97">
        <v>3</v>
      </c>
      <c r="W97" s="3">
        <f t="shared" ca="1" si="33"/>
        <v>26</v>
      </c>
      <c r="X97" s="3">
        <f t="shared" ca="1" si="51"/>
        <v>1</v>
      </c>
      <c r="Y97" s="3">
        <f t="shared" ca="1" si="27"/>
        <v>1</v>
      </c>
      <c r="Z97" s="3">
        <f t="shared" ca="1" si="28"/>
        <v>4</v>
      </c>
      <c r="AA97" s="3">
        <f t="shared" ca="1" si="29"/>
        <v>0</v>
      </c>
      <c r="AB97" s="3">
        <f ca="1">IF(W97="","",COUNTA(T_受験者[])/4-COUNTA($C97:$V97))</f>
        <v>0</v>
      </c>
      <c r="AC97" s="3" cm="1">
        <f t="array" aca="1" ref="AC97" ca="1">IF(W97="","",INDIRECT("'"&amp;試験名&amp;"'!B"&amp;ROW()-2))</f>
        <v>3</v>
      </c>
      <c r="AD97" s="4">
        <f ca="1">IF(W97="","",COUNTIF(AE97:AX97,"〇")/(COUNTA(T_受験者[])/4))</f>
        <v>0.66666666666666663</v>
      </c>
      <c r="AE97" t="str">
        <f t="shared" ca="1" si="34"/>
        <v>×</v>
      </c>
      <c r="AF97" t="str">
        <f t="shared" ca="1" si="34"/>
        <v>×</v>
      </c>
      <c r="AG97" t="str">
        <f t="shared" ca="1" si="49"/>
        <v>〇</v>
      </c>
      <c r="AH97" t="str">
        <f t="shared" ca="1" si="50"/>
        <v>×</v>
      </c>
      <c r="AI97" t="str">
        <f t="shared" ca="1" si="30"/>
        <v>×</v>
      </c>
      <c r="AJ97" t="str">
        <f t="shared" ca="1" si="31"/>
        <v>×</v>
      </c>
      <c r="AK97" t="str">
        <f t="shared" ca="1" si="35"/>
        <v>×</v>
      </c>
      <c r="AL97" t="str">
        <f t="shared" ca="1" si="36"/>
        <v>×</v>
      </c>
      <c r="AM97" t="str">
        <f t="shared" ca="1" si="37"/>
        <v>×</v>
      </c>
      <c r="AN97" t="str">
        <f t="shared" ca="1" si="38"/>
        <v>×</v>
      </c>
      <c r="AO97" t="str">
        <f t="shared" ca="1" si="39"/>
        <v>×</v>
      </c>
      <c r="AP97" t="str">
        <f t="shared" ca="1" si="40"/>
        <v>×</v>
      </c>
      <c r="AQ97" t="str">
        <f t="shared" ca="1" si="41"/>
        <v>〇</v>
      </c>
      <c r="AR97" t="str">
        <f t="shared" ca="1" si="42"/>
        <v>×</v>
      </c>
      <c r="AS97" t="str">
        <f t="shared" ca="1" si="43"/>
        <v>〇</v>
      </c>
      <c r="AT97" t="str">
        <f t="shared" ca="1" si="44"/>
        <v>×</v>
      </c>
      <c r="AU97" t="str">
        <f t="shared" ca="1" si="45"/>
        <v>×</v>
      </c>
      <c r="AV97" t="str">
        <f t="shared" ca="1" si="46"/>
        <v>×</v>
      </c>
      <c r="AW97" t="str">
        <f t="shared" ca="1" si="47"/>
        <v>×</v>
      </c>
      <c r="AX97" t="str">
        <f t="shared" ca="1" si="48"/>
        <v>〇</v>
      </c>
    </row>
    <row r="98" spans="1:50">
      <c r="A98" t="str" cm="1">
        <f t="array" aca="1" ref="A98" ca="1">INDIRECT("'"&amp;試験名&amp;"'!A"&amp;ROW()-2)</f>
        <v>聴解</v>
      </c>
      <c r="B98">
        <f t="shared" ca="1" si="32"/>
        <v>27</v>
      </c>
      <c r="E98">
        <v>1</v>
      </c>
      <c r="O98">
        <v>2</v>
      </c>
      <c r="P98">
        <v>2</v>
      </c>
      <c r="Q98">
        <v>2</v>
      </c>
      <c r="R98">
        <v>2</v>
      </c>
      <c r="V98">
        <v>2</v>
      </c>
      <c r="W98" s="3">
        <f t="shared" ca="1" si="33"/>
        <v>27</v>
      </c>
      <c r="X98" s="3">
        <f t="shared" ca="1" si="51"/>
        <v>1</v>
      </c>
      <c r="Y98" s="3">
        <f t="shared" ca="1" si="27"/>
        <v>5</v>
      </c>
      <c r="Z98" s="3">
        <f t="shared" ca="1" si="28"/>
        <v>0</v>
      </c>
      <c r="AA98" s="3">
        <f t="shared" ca="1" si="29"/>
        <v>0</v>
      </c>
      <c r="AB98" s="3">
        <f ca="1">IF(W98="","",COUNTA(T_受験者[])/4-COUNTA($C98:$V98))</f>
        <v>0</v>
      </c>
      <c r="AC98" s="3" cm="1">
        <f t="array" aca="1" ref="AC98" ca="1">IF(W98="","",INDIRECT("'"&amp;試験名&amp;"'!B"&amp;ROW()-2))</f>
        <v>2</v>
      </c>
      <c r="AD98" s="4">
        <f ca="1">IF(W98="","",COUNTIF(AE98:AX98,"〇")/(COUNTA(T_受験者[])/4))</f>
        <v>0.83333333333333337</v>
      </c>
      <c r="AE98" t="str">
        <f t="shared" ca="1" si="34"/>
        <v>×</v>
      </c>
      <c r="AF98" t="str">
        <f t="shared" ca="1" si="34"/>
        <v>×</v>
      </c>
      <c r="AG98" t="str">
        <f t="shared" ca="1" si="49"/>
        <v>×</v>
      </c>
      <c r="AH98" t="str">
        <f t="shared" ca="1" si="50"/>
        <v>×</v>
      </c>
      <c r="AI98" t="str">
        <f t="shared" ca="1" si="30"/>
        <v>×</v>
      </c>
      <c r="AJ98" t="str">
        <f t="shared" ca="1" si="31"/>
        <v>×</v>
      </c>
      <c r="AK98" t="str">
        <f t="shared" ca="1" si="35"/>
        <v>×</v>
      </c>
      <c r="AL98" t="str">
        <f t="shared" ca="1" si="36"/>
        <v>×</v>
      </c>
      <c r="AM98" t="str">
        <f t="shared" ca="1" si="37"/>
        <v>×</v>
      </c>
      <c r="AN98" t="str">
        <f t="shared" ca="1" si="38"/>
        <v>×</v>
      </c>
      <c r="AO98" t="str">
        <f t="shared" ca="1" si="39"/>
        <v>×</v>
      </c>
      <c r="AP98" t="str">
        <f t="shared" ca="1" si="40"/>
        <v>×</v>
      </c>
      <c r="AQ98" t="str">
        <f t="shared" ca="1" si="41"/>
        <v>〇</v>
      </c>
      <c r="AR98" t="str">
        <f t="shared" ca="1" si="42"/>
        <v>〇</v>
      </c>
      <c r="AS98" t="str">
        <f t="shared" ca="1" si="43"/>
        <v>〇</v>
      </c>
      <c r="AT98" t="str">
        <f t="shared" ca="1" si="44"/>
        <v>〇</v>
      </c>
      <c r="AU98" t="str">
        <f t="shared" ca="1" si="45"/>
        <v>×</v>
      </c>
      <c r="AV98" t="str">
        <f t="shared" ca="1" si="46"/>
        <v>×</v>
      </c>
      <c r="AW98" t="str">
        <f t="shared" ca="1" si="47"/>
        <v>×</v>
      </c>
      <c r="AX98" t="str">
        <f t="shared" ca="1" si="48"/>
        <v>〇</v>
      </c>
    </row>
    <row r="99" spans="1:50">
      <c r="A99" t="str" cm="1">
        <f t="array" aca="1" ref="A99" ca="1">INDIRECT("'"&amp;試験名&amp;"'!A"&amp;ROW()-2)</f>
        <v>聴解</v>
      </c>
      <c r="B99">
        <f t="shared" ca="1" si="32"/>
        <v>28</v>
      </c>
      <c r="E99">
        <v>2</v>
      </c>
      <c r="O99">
        <v>1</v>
      </c>
      <c r="P99">
        <v>3</v>
      </c>
      <c r="Q99">
        <v>3</v>
      </c>
      <c r="R99">
        <v>3</v>
      </c>
      <c r="V99">
        <v>3</v>
      </c>
      <c r="W99" s="3">
        <f t="shared" ca="1" si="33"/>
        <v>28</v>
      </c>
      <c r="X99" s="3">
        <f t="shared" ca="1" si="51"/>
        <v>1</v>
      </c>
      <c r="Y99" s="3">
        <f t="shared" ca="1" si="27"/>
        <v>1</v>
      </c>
      <c r="Z99" s="3">
        <f t="shared" ca="1" si="28"/>
        <v>4</v>
      </c>
      <c r="AA99" s="3">
        <f t="shared" ca="1" si="29"/>
        <v>0</v>
      </c>
      <c r="AB99" s="3">
        <f ca="1">IF(W99="","",COUNTA(T_受験者[])/4-COUNTA($C99:$V99))</f>
        <v>0</v>
      </c>
      <c r="AC99" s="3" cm="1">
        <f t="array" aca="1" ref="AC99" ca="1">IF(W99="","",INDIRECT("'"&amp;試験名&amp;"'!B"&amp;ROW()-2))</f>
        <v>3</v>
      </c>
      <c r="AD99" s="4">
        <f ca="1">IF(W99="","",COUNTIF(AE99:AX99,"〇")/(COUNTA(T_受験者[])/4))</f>
        <v>0.66666666666666663</v>
      </c>
      <c r="AE99" t="str">
        <f t="shared" ca="1" si="34"/>
        <v>×</v>
      </c>
      <c r="AF99" t="str">
        <f t="shared" ca="1" si="34"/>
        <v>×</v>
      </c>
      <c r="AG99" t="str">
        <f t="shared" ca="1" si="49"/>
        <v>×</v>
      </c>
      <c r="AH99" t="str">
        <f t="shared" ca="1" si="50"/>
        <v>×</v>
      </c>
      <c r="AI99" t="str">
        <f t="shared" ca="1" si="30"/>
        <v>×</v>
      </c>
      <c r="AJ99" t="str">
        <f t="shared" ca="1" si="31"/>
        <v>×</v>
      </c>
      <c r="AK99" t="str">
        <f t="shared" ca="1" si="35"/>
        <v>×</v>
      </c>
      <c r="AL99" t="str">
        <f t="shared" ca="1" si="36"/>
        <v>×</v>
      </c>
      <c r="AM99" t="str">
        <f t="shared" ca="1" si="37"/>
        <v>×</v>
      </c>
      <c r="AN99" t="str">
        <f t="shared" ca="1" si="38"/>
        <v>×</v>
      </c>
      <c r="AO99" t="str">
        <f t="shared" ca="1" si="39"/>
        <v>×</v>
      </c>
      <c r="AP99" t="str">
        <f t="shared" ca="1" si="40"/>
        <v>×</v>
      </c>
      <c r="AQ99" t="str">
        <f t="shared" ca="1" si="41"/>
        <v>×</v>
      </c>
      <c r="AR99" t="str">
        <f t="shared" ca="1" si="42"/>
        <v>〇</v>
      </c>
      <c r="AS99" t="str">
        <f t="shared" ca="1" si="43"/>
        <v>〇</v>
      </c>
      <c r="AT99" t="str">
        <f t="shared" ca="1" si="44"/>
        <v>〇</v>
      </c>
      <c r="AU99" t="str">
        <f t="shared" ca="1" si="45"/>
        <v>×</v>
      </c>
      <c r="AV99" t="str">
        <f t="shared" ca="1" si="46"/>
        <v>×</v>
      </c>
      <c r="AW99" t="str">
        <f t="shared" ca="1" si="47"/>
        <v>×</v>
      </c>
      <c r="AX99" t="str">
        <f t="shared" ca="1" si="48"/>
        <v>〇</v>
      </c>
    </row>
    <row r="100" spans="1:50">
      <c r="A100" cm="1">
        <f t="array" aca="1" ref="A100" ca="1">INDIRECT("'"&amp;試験名&amp;"'!A"&amp;ROW()-2)</f>
        <v>0</v>
      </c>
      <c r="B100">
        <f t="shared" ca="1" si="32"/>
        <v>1</v>
      </c>
      <c r="W100" s="3">
        <f t="shared" ca="1" si="33"/>
        <v>1</v>
      </c>
      <c r="X100" s="3">
        <f t="shared" ca="1" si="51"/>
        <v>0</v>
      </c>
      <c r="Y100" s="3">
        <f t="shared" ca="1" si="27"/>
        <v>0</v>
      </c>
      <c r="Z100" s="3">
        <f t="shared" ca="1" si="28"/>
        <v>0</v>
      </c>
      <c r="AA100" s="3">
        <f t="shared" ca="1" si="29"/>
        <v>0</v>
      </c>
      <c r="AB100" s="3">
        <f ca="1">IF(W100="","",COUNTA(T_受験者[])/4-COUNTA($C100:$V100))</f>
        <v>6</v>
      </c>
      <c r="AC100" s="3" cm="1">
        <f t="array" aca="1" ref="AC100" ca="1">IF(W100="","",INDIRECT("'"&amp;試験名&amp;"'!B"&amp;ROW()-2))</f>
        <v>0</v>
      </c>
      <c r="AD100" s="4">
        <f ca="1">IF(W100="","",COUNTIF(AE100:AX100,"〇")/(COUNTA(T_受験者[])/4))</f>
        <v>3.3333333333333335</v>
      </c>
      <c r="AE100" t="str">
        <f t="shared" ca="1" si="34"/>
        <v>〇</v>
      </c>
      <c r="AF100" t="str">
        <f t="shared" ca="1" si="34"/>
        <v>〇</v>
      </c>
      <c r="AG100" t="str">
        <f t="shared" ca="1" si="49"/>
        <v>〇</v>
      </c>
      <c r="AH100" t="str">
        <f t="shared" ca="1" si="50"/>
        <v>〇</v>
      </c>
      <c r="AI100" t="str">
        <f t="shared" ca="1" si="30"/>
        <v>〇</v>
      </c>
      <c r="AJ100" t="str">
        <f t="shared" ca="1" si="31"/>
        <v>〇</v>
      </c>
      <c r="AK100" t="str">
        <f t="shared" ca="1" si="35"/>
        <v>〇</v>
      </c>
      <c r="AL100" t="str">
        <f t="shared" ca="1" si="36"/>
        <v>〇</v>
      </c>
      <c r="AM100" t="str">
        <f t="shared" ca="1" si="37"/>
        <v>〇</v>
      </c>
      <c r="AN100" t="str">
        <f t="shared" ca="1" si="38"/>
        <v>〇</v>
      </c>
      <c r="AO100" t="str">
        <f t="shared" ca="1" si="39"/>
        <v>〇</v>
      </c>
      <c r="AP100" t="str">
        <f t="shared" ca="1" si="40"/>
        <v>〇</v>
      </c>
      <c r="AQ100" t="str">
        <f t="shared" ca="1" si="41"/>
        <v>〇</v>
      </c>
      <c r="AR100" t="str">
        <f t="shared" ca="1" si="42"/>
        <v>〇</v>
      </c>
      <c r="AS100" t="str">
        <f t="shared" ca="1" si="43"/>
        <v>〇</v>
      </c>
      <c r="AT100" t="str">
        <f t="shared" ca="1" si="44"/>
        <v>〇</v>
      </c>
      <c r="AU100" t="str">
        <f t="shared" ca="1" si="45"/>
        <v>〇</v>
      </c>
      <c r="AV100" t="str">
        <f t="shared" ca="1" si="46"/>
        <v>〇</v>
      </c>
      <c r="AW100" t="str">
        <f t="shared" ca="1" si="47"/>
        <v>〇</v>
      </c>
      <c r="AX100" t="str">
        <f t="shared" ca="1" si="48"/>
        <v>〇</v>
      </c>
    </row>
    <row r="101" spans="1:50">
      <c r="A101" cm="1">
        <f t="array" aca="1" ref="A101" ca="1">INDIRECT("'"&amp;試験名&amp;"'!A"&amp;ROW()-2)</f>
        <v>0</v>
      </c>
      <c r="B101">
        <f t="shared" ca="1" si="32"/>
        <v>2</v>
      </c>
      <c r="W101" s="3">
        <f t="shared" ca="1" si="33"/>
        <v>2</v>
      </c>
      <c r="X101" s="3">
        <f t="shared" ca="1" si="51"/>
        <v>0</v>
      </c>
      <c r="Y101" s="3">
        <f t="shared" ca="1" si="27"/>
        <v>0</v>
      </c>
      <c r="Z101" s="3">
        <f t="shared" ca="1" si="28"/>
        <v>0</v>
      </c>
      <c r="AA101" s="3">
        <f t="shared" ca="1" si="29"/>
        <v>0</v>
      </c>
      <c r="AB101" s="3">
        <f ca="1">IF(W101="","",COUNTA(T_受験者[])/4-COUNTA($C101:$V101))</f>
        <v>6</v>
      </c>
      <c r="AC101" s="3" cm="1">
        <f t="array" aca="1" ref="AC101" ca="1">IF(W101="","",INDIRECT("'"&amp;試験名&amp;"'!B"&amp;ROW()-2))</f>
        <v>0</v>
      </c>
      <c r="AD101" s="4">
        <f ca="1">IF(W101="","",COUNTIF(AE101:AX101,"〇")/(COUNTA(T_受験者[])/4))</f>
        <v>3.3333333333333335</v>
      </c>
      <c r="AE101" t="str">
        <f t="shared" ca="1" si="34"/>
        <v>〇</v>
      </c>
      <c r="AF101" t="str">
        <f t="shared" ca="1" si="34"/>
        <v>〇</v>
      </c>
      <c r="AG101" t="str">
        <f t="shared" ca="1" si="49"/>
        <v>〇</v>
      </c>
      <c r="AH101" t="str">
        <f t="shared" ca="1" si="50"/>
        <v>〇</v>
      </c>
      <c r="AI101" t="str">
        <f t="shared" ca="1" si="30"/>
        <v>〇</v>
      </c>
      <c r="AJ101" t="str">
        <f t="shared" ca="1" si="31"/>
        <v>〇</v>
      </c>
      <c r="AK101" t="str">
        <f t="shared" ca="1" si="35"/>
        <v>〇</v>
      </c>
      <c r="AL101" t="str">
        <f t="shared" ca="1" si="36"/>
        <v>〇</v>
      </c>
      <c r="AM101" t="str">
        <f t="shared" ca="1" si="37"/>
        <v>〇</v>
      </c>
      <c r="AN101" t="str">
        <f t="shared" ca="1" si="38"/>
        <v>〇</v>
      </c>
      <c r="AO101" t="str">
        <f t="shared" ca="1" si="39"/>
        <v>〇</v>
      </c>
      <c r="AP101" t="str">
        <f t="shared" ca="1" si="40"/>
        <v>〇</v>
      </c>
      <c r="AQ101" t="str">
        <f t="shared" ca="1" si="41"/>
        <v>〇</v>
      </c>
      <c r="AR101" t="str">
        <f t="shared" ca="1" si="42"/>
        <v>〇</v>
      </c>
      <c r="AS101" t="str">
        <f t="shared" ca="1" si="43"/>
        <v>〇</v>
      </c>
      <c r="AT101" t="str">
        <f t="shared" ca="1" si="44"/>
        <v>〇</v>
      </c>
      <c r="AU101" t="str">
        <f t="shared" ca="1" si="45"/>
        <v>〇</v>
      </c>
      <c r="AV101" t="str">
        <f t="shared" ca="1" si="46"/>
        <v>〇</v>
      </c>
      <c r="AW101" t="str">
        <f t="shared" ca="1" si="47"/>
        <v>〇</v>
      </c>
      <c r="AX101" t="str">
        <f t="shared" ca="1" si="48"/>
        <v>〇</v>
      </c>
    </row>
    <row r="102" spans="1:50">
      <c r="A102" cm="1">
        <f t="array" aca="1" ref="A102" ca="1">INDIRECT("'"&amp;試験名&amp;"'!A"&amp;ROW()-2)</f>
        <v>0</v>
      </c>
      <c r="B102">
        <f t="shared" ca="1" si="32"/>
        <v>3</v>
      </c>
      <c r="W102" s="3">
        <f t="shared" ca="1" si="33"/>
        <v>3</v>
      </c>
      <c r="X102" s="3">
        <f t="shared" ca="1" si="51"/>
        <v>0</v>
      </c>
      <c r="Y102" s="3">
        <f t="shared" ca="1" si="27"/>
        <v>0</v>
      </c>
      <c r="Z102" s="3">
        <f t="shared" ca="1" si="28"/>
        <v>0</v>
      </c>
      <c r="AA102" s="3">
        <f t="shared" ca="1" si="29"/>
        <v>0</v>
      </c>
      <c r="AB102" s="3">
        <f ca="1">IF(W102="","",COUNTA(T_受験者[])/4-COUNTA($C102:$V102))</f>
        <v>6</v>
      </c>
      <c r="AC102" s="3" cm="1">
        <f t="array" aca="1" ref="AC102" ca="1">IF(W102="","",INDIRECT("'"&amp;試験名&amp;"'!B"&amp;ROW()-2))</f>
        <v>0</v>
      </c>
      <c r="AD102" s="4">
        <f ca="1">IF(W102="","",COUNTIF(AE102:AX102,"〇")/(COUNTA(T_受験者[])/4))</f>
        <v>3.3333333333333335</v>
      </c>
      <c r="AE102" t="str">
        <f t="shared" ca="1" si="34"/>
        <v>〇</v>
      </c>
      <c r="AF102" t="str">
        <f t="shared" ca="1" si="34"/>
        <v>〇</v>
      </c>
      <c r="AG102" t="str">
        <f t="shared" ca="1" si="49"/>
        <v>〇</v>
      </c>
      <c r="AH102" t="str">
        <f t="shared" ca="1" si="50"/>
        <v>〇</v>
      </c>
      <c r="AI102" t="str">
        <f t="shared" ca="1" si="30"/>
        <v>〇</v>
      </c>
      <c r="AJ102" t="str">
        <f t="shared" ca="1" si="31"/>
        <v>〇</v>
      </c>
      <c r="AK102" t="str">
        <f t="shared" ca="1" si="35"/>
        <v>〇</v>
      </c>
      <c r="AL102" t="str">
        <f t="shared" ca="1" si="36"/>
        <v>〇</v>
      </c>
      <c r="AM102" t="str">
        <f t="shared" ca="1" si="37"/>
        <v>〇</v>
      </c>
      <c r="AN102" t="str">
        <f t="shared" ca="1" si="38"/>
        <v>〇</v>
      </c>
      <c r="AO102" t="str">
        <f t="shared" ca="1" si="39"/>
        <v>〇</v>
      </c>
      <c r="AP102" t="str">
        <f t="shared" ca="1" si="40"/>
        <v>〇</v>
      </c>
      <c r="AQ102" t="str">
        <f t="shared" ca="1" si="41"/>
        <v>〇</v>
      </c>
      <c r="AR102" t="str">
        <f t="shared" ca="1" si="42"/>
        <v>〇</v>
      </c>
      <c r="AS102" t="str">
        <f t="shared" ca="1" si="43"/>
        <v>〇</v>
      </c>
      <c r="AT102" t="str">
        <f t="shared" ca="1" si="44"/>
        <v>〇</v>
      </c>
      <c r="AU102" t="str">
        <f t="shared" ca="1" si="45"/>
        <v>〇</v>
      </c>
      <c r="AV102" t="str">
        <f t="shared" ca="1" si="46"/>
        <v>〇</v>
      </c>
      <c r="AW102" t="str">
        <f t="shared" ca="1" si="47"/>
        <v>〇</v>
      </c>
      <c r="AX102" t="str">
        <f t="shared" ca="1" si="48"/>
        <v>〇</v>
      </c>
    </row>
    <row r="103" spans="1:50">
      <c r="A103" cm="1">
        <f t="array" aca="1" ref="A103" ca="1">INDIRECT("'"&amp;試験名&amp;"'!A"&amp;ROW()-2)</f>
        <v>0</v>
      </c>
      <c r="B103">
        <f t="shared" ca="1" si="32"/>
        <v>4</v>
      </c>
      <c r="W103" s="3">
        <f t="shared" ca="1" si="33"/>
        <v>4</v>
      </c>
      <c r="X103" s="3">
        <f t="shared" ca="1" si="51"/>
        <v>0</v>
      </c>
      <c r="Y103" s="3">
        <f t="shared" ca="1" si="27"/>
        <v>0</v>
      </c>
      <c r="Z103" s="3">
        <f t="shared" ca="1" si="28"/>
        <v>0</v>
      </c>
      <c r="AA103" s="3">
        <f t="shared" ca="1" si="29"/>
        <v>0</v>
      </c>
      <c r="AB103" s="3">
        <f ca="1">IF(W103="","",COUNTA(T_受験者[])/4-COUNTA($C103:$V103))</f>
        <v>6</v>
      </c>
      <c r="AC103" s="3" cm="1">
        <f t="array" aca="1" ref="AC103" ca="1">IF(W103="","",INDIRECT("'"&amp;試験名&amp;"'!B"&amp;ROW()-2))</f>
        <v>0</v>
      </c>
      <c r="AD103" s="4">
        <f ca="1">IF(W103="","",COUNTIF(AE103:AX103,"〇")/(COUNTA(T_受験者[])/4))</f>
        <v>3.3333333333333335</v>
      </c>
      <c r="AE103" t="str">
        <f t="shared" ca="1" si="34"/>
        <v>〇</v>
      </c>
      <c r="AF103" t="str">
        <f t="shared" ca="1" si="34"/>
        <v>〇</v>
      </c>
      <c r="AG103" t="str">
        <f t="shared" ca="1" si="49"/>
        <v>〇</v>
      </c>
      <c r="AH103" t="str">
        <f t="shared" ca="1" si="50"/>
        <v>〇</v>
      </c>
      <c r="AI103" t="str">
        <f t="shared" ca="1" si="30"/>
        <v>〇</v>
      </c>
      <c r="AJ103" t="str">
        <f t="shared" ca="1" si="31"/>
        <v>〇</v>
      </c>
      <c r="AK103" t="str">
        <f t="shared" ca="1" si="35"/>
        <v>〇</v>
      </c>
      <c r="AL103" t="str">
        <f t="shared" ca="1" si="36"/>
        <v>〇</v>
      </c>
      <c r="AM103" t="str">
        <f t="shared" ca="1" si="37"/>
        <v>〇</v>
      </c>
      <c r="AN103" t="str">
        <f t="shared" ca="1" si="38"/>
        <v>〇</v>
      </c>
      <c r="AO103" t="str">
        <f t="shared" ca="1" si="39"/>
        <v>〇</v>
      </c>
      <c r="AP103" t="str">
        <f t="shared" ca="1" si="40"/>
        <v>〇</v>
      </c>
      <c r="AQ103" t="str">
        <f t="shared" ca="1" si="41"/>
        <v>〇</v>
      </c>
      <c r="AR103" t="str">
        <f t="shared" ca="1" si="42"/>
        <v>〇</v>
      </c>
      <c r="AS103" t="str">
        <f t="shared" ca="1" si="43"/>
        <v>〇</v>
      </c>
      <c r="AT103" t="str">
        <f t="shared" ca="1" si="44"/>
        <v>〇</v>
      </c>
      <c r="AU103" t="str">
        <f t="shared" ca="1" si="45"/>
        <v>〇</v>
      </c>
      <c r="AV103" t="str">
        <f t="shared" ca="1" si="46"/>
        <v>〇</v>
      </c>
      <c r="AW103" t="str">
        <f t="shared" ca="1" si="47"/>
        <v>〇</v>
      </c>
      <c r="AX103" t="str">
        <f t="shared" ca="1" si="48"/>
        <v>〇</v>
      </c>
    </row>
    <row r="104" spans="1:50">
      <c r="A104" cm="1">
        <f t="array" aca="1" ref="A104" ca="1">INDIRECT("'"&amp;試験名&amp;"'!A"&amp;ROW()-2)</f>
        <v>0</v>
      </c>
      <c r="B104">
        <f t="shared" ca="1" si="32"/>
        <v>5</v>
      </c>
      <c r="W104" s="3">
        <f t="shared" ca="1" si="33"/>
        <v>5</v>
      </c>
      <c r="X104" s="3">
        <f t="shared" ca="1" si="51"/>
        <v>0</v>
      </c>
      <c r="Y104" s="3">
        <f t="shared" ca="1" si="27"/>
        <v>0</v>
      </c>
      <c r="Z104" s="3">
        <f t="shared" ca="1" si="28"/>
        <v>0</v>
      </c>
      <c r="AA104" s="3">
        <f t="shared" ca="1" si="29"/>
        <v>0</v>
      </c>
      <c r="AB104" s="3">
        <f ca="1">IF(W104="","",COUNTA(T_受験者[])/4-COUNTA($C104:$V104))</f>
        <v>6</v>
      </c>
      <c r="AC104" s="3" cm="1">
        <f t="array" aca="1" ref="AC104" ca="1">IF(W104="","",INDIRECT("'"&amp;試験名&amp;"'!B"&amp;ROW()-2))</f>
        <v>0</v>
      </c>
      <c r="AD104" s="4">
        <f ca="1">IF(W104="","",COUNTIF(AE104:AX104,"〇")/(COUNTA(T_受験者[])/4))</f>
        <v>3.3333333333333335</v>
      </c>
      <c r="AE104" t="str">
        <f t="shared" ca="1" si="34"/>
        <v>〇</v>
      </c>
      <c r="AF104" t="str">
        <f t="shared" ca="1" si="34"/>
        <v>〇</v>
      </c>
      <c r="AG104" t="str">
        <f t="shared" ca="1" si="49"/>
        <v>〇</v>
      </c>
      <c r="AH104" t="str">
        <f t="shared" ca="1" si="50"/>
        <v>〇</v>
      </c>
      <c r="AI104" t="str">
        <f t="shared" ca="1" si="30"/>
        <v>〇</v>
      </c>
      <c r="AJ104" t="str">
        <f t="shared" ca="1" si="31"/>
        <v>〇</v>
      </c>
      <c r="AK104" t="str">
        <f t="shared" ca="1" si="35"/>
        <v>〇</v>
      </c>
      <c r="AL104" t="str">
        <f t="shared" ca="1" si="36"/>
        <v>〇</v>
      </c>
      <c r="AM104" t="str">
        <f t="shared" ca="1" si="37"/>
        <v>〇</v>
      </c>
      <c r="AN104" t="str">
        <f t="shared" ca="1" si="38"/>
        <v>〇</v>
      </c>
      <c r="AO104" t="str">
        <f t="shared" ca="1" si="39"/>
        <v>〇</v>
      </c>
      <c r="AP104" t="str">
        <f t="shared" ca="1" si="40"/>
        <v>〇</v>
      </c>
      <c r="AQ104" t="str">
        <f t="shared" ca="1" si="41"/>
        <v>〇</v>
      </c>
      <c r="AR104" t="str">
        <f t="shared" ca="1" si="42"/>
        <v>〇</v>
      </c>
      <c r="AS104" t="str">
        <f t="shared" ca="1" si="43"/>
        <v>〇</v>
      </c>
      <c r="AT104" t="str">
        <f t="shared" ca="1" si="44"/>
        <v>〇</v>
      </c>
      <c r="AU104" t="str">
        <f t="shared" ca="1" si="45"/>
        <v>〇</v>
      </c>
      <c r="AV104" t="str">
        <f t="shared" ca="1" si="46"/>
        <v>〇</v>
      </c>
      <c r="AW104" t="str">
        <f t="shared" ca="1" si="47"/>
        <v>〇</v>
      </c>
      <c r="AX104" t="str">
        <f t="shared" ca="1" si="48"/>
        <v>〇</v>
      </c>
    </row>
    <row r="105" spans="1:50">
      <c r="A105" cm="1">
        <f t="array" aca="1" ref="A105" ca="1">INDIRECT("'"&amp;試験名&amp;"'!A"&amp;ROW()-2)</f>
        <v>0</v>
      </c>
      <c r="B105">
        <f t="shared" ca="1" si="32"/>
        <v>6</v>
      </c>
      <c r="W105" s="3">
        <f t="shared" ca="1" si="33"/>
        <v>6</v>
      </c>
      <c r="X105" s="3">
        <f t="shared" ca="1" si="51"/>
        <v>0</v>
      </c>
      <c r="Y105" s="3">
        <f t="shared" ca="1" si="27"/>
        <v>0</v>
      </c>
      <c r="Z105" s="3">
        <f t="shared" ca="1" si="28"/>
        <v>0</v>
      </c>
      <c r="AA105" s="3">
        <f t="shared" ca="1" si="29"/>
        <v>0</v>
      </c>
      <c r="AB105" s="3">
        <f ca="1">IF(W105="","",COUNTA(T_受験者[])/4-COUNTA($C105:$V105))</f>
        <v>6</v>
      </c>
      <c r="AC105" s="3" cm="1">
        <f t="array" aca="1" ref="AC105" ca="1">IF(W105="","",INDIRECT("'"&amp;試験名&amp;"'!B"&amp;ROW()-2))</f>
        <v>0</v>
      </c>
      <c r="AD105" s="4">
        <f ca="1">IF(W105="","",COUNTIF(AE105:AX105,"〇")/(COUNTA(T_受験者[])/4))</f>
        <v>3.3333333333333335</v>
      </c>
      <c r="AE105" t="str">
        <f t="shared" ca="1" si="34"/>
        <v>〇</v>
      </c>
      <c r="AF105" t="str">
        <f t="shared" ca="1" si="34"/>
        <v>〇</v>
      </c>
      <c r="AG105" t="str">
        <f t="shared" ca="1" si="49"/>
        <v>〇</v>
      </c>
      <c r="AH105" t="str">
        <f t="shared" ca="1" si="50"/>
        <v>〇</v>
      </c>
      <c r="AI105" t="str">
        <f t="shared" ca="1" si="30"/>
        <v>〇</v>
      </c>
      <c r="AJ105" t="str">
        <f t="shared" ca="1" si="31"/>
        <v>〇</v>
      </c>
      <c r="AK105" t="str">
        <f t="shared" ca="1" si="35"/>
        <v>〇</v>
      </c>
      <c r="AL105" t="str">
        <f t="shared" ca="1" si="36"/>
        <v>〇</v>
      </c>
      <c r="AM105" t="str">
        <f t="shared" ca="1" si="37"/>
        <v>〇</v>
      </c>
      <c r="AN105" t="str">
        <f t="shared" ca="1" si="38"/>
        <v>〇</v>
      </c>
      <c r="AO105" t="str">
        <f t="shared" ca="1" si="39"/>
        <v>〇</v>
      </c>
      <c r="AP105" t="str">
        <f t="shared" ca="1" si="40"/>
        <v>〇</v>
      </c>
      <c r="AQ105" t="str">
        <f t="shared" ca="1" si="41"/>
        <v>〇</v>
      </c>
      <c r="AR105" t="str">
        <f t="shared" ca="1" si="42"/>
        <v>〇</v>
      </c>
      <c r="AS105" t="str">
        <f t="shared" ca="1" si="43"/>
        <v>〇</v>
      </c>
      <c r="AT105" t="str">
        <f t="shared" ca="1" si="44"/>
        <v>〇</v>
      </c>
      <c r="AU105" t="str">
        <f t="shared" ca="1" si="45"/>
        <v>〇</v>
      </c>
      <c r="AV105" t="str">
        <f t="shared" ca="1" si="46"/>
        <v>〇</v>
      </c>
      <c r="AW105" t="str">
        <f t="shared" ca="1" si="47"/>
        <v>〇</v>
      </c>
      <c r="AX105" t="str">
        <f t="shared" ca="1" si="48"/>
        <v>〇</v>
      </c>
    </row>
    <row r="106" spans="1:50">
      <c r="A106" cm="1">
        <f t="array" aca="1" ref="A106" ca="1">INDIRECT("'"&amp;試験名&amp;"'!A"&amp;ROW()-2)</f>
        <v>0</v>
      </c>
      <c r="B106">
        <f t="shared" ca="1" si="32"/>
        <v>7</v>
      </c>
      <c r="W106" s="3">
        <f t="shared" ca="1" si="33"/>
        <v>7</v>
      </c>
      <c r="X106" s="3">
        <f t="shared" ca="1" si="51"/>
        <v>0</v>
      </c>
      <c r="Y106" s="3">
        <f t="shared" ca="1" si="27"/>
        <v>0</v>
      </c>
      <c r="Z106" s="3">
        <f t="shared" ca="1" si="28"/>
        <v>0</v>
      </c>
      <c r="AA106" s="3">
        <f t="shared" ca="1" si="29"/>
        <v>0</v>
      </c>
      <c r="AB106" s="3">
        <f ca="1">IF(W106="","",COUNTA(T_受験者[])/4-COUNTA($C106:$V106))</f>
        <v>6</v>
      </c>
      <c r="AC106" s="3" cm="1">
        <f t="array" aca="1" ref="AC106" ca="1">IF(W106="","",INDIRECT("'"&amp;試験名&amp;"'!B"&amp;ROW()-2))</f>
        <v>0</v>
      </c>
      <c r="AD106" s="4">
        <f ca="1">IF(W106="","",COUNTIF(AE106:AX106,"〇")/(COUNTA(T_受験者[])/4))</f>
        <v>3.3333333333333335</v>
      </c>
      <c r="AE106" t="str">
        <f t="shared" ca="1" si="34"/>
        <v>〇</v>
      </c>
      <c r="AF106" t="str">
        <f t="shared" ca="1" si="34"/>
        <v>〇</v>
      </c>
      <c r="AG106" t="str">
        <f t="shared" ca="1" si="49"/>
        <v>〇</v>
      </c>
      <c r="AH106" t="str">
        <f t="shared" ca="1" si="50"/>
        <v>〇</v>
      </c>
      <c r="AI106" t="str">
        <f t="shared" ca="1" si="30"/>
        <v>〇</v>
      </c>
      <c r="AJ106" t="str">
        <f t="shared" ca="1" si="31"/>
        <v>〇</v>
      </c>
      <c r="AK106" t="str">
        <f t="shared" ca="1" si="35"/>
        <v>〇</v>
      </c>
      <c r="AL106" t="str">
        <f t="shared" ca="1" si="36"/>
        <v>〇</v>
      </c>
      <c r="AM106" t="str">
        <f t="shared" ca="1" si="37"/>
        <v>〇</v>
      </c>
      <c r="AN106" t="str">
        <f t="shared" ca="1" si="38"/>
        <v>〇</v>
      </c>
      <c r="AO106" t="str">
        <f t="shared" ca="1" si="39"/>
        <v>〇</v>
      </c>
      <c r="AP106" t="str">
        <f t="shared" ca="1" si="40"/>
        <v>〇</v>
      </c>
      <c r="AQ106" t="str">
        <f t="shared" ca="1" si="41"/>
        <v>〇</v>
      </c>
      <c r="AR106" t="str">
        <f t="shared" ca="1" si="42"/>
        <v>〇</v>
      </c>
      <c r="AS106" t="str">
        <f t="shared" ca="1" si="43"/>
        <v>〇</v>
      </c>
      <c r="AT106" t="str">
        <f t="shared" ca="1" si="44"/>
        <v>〇</v>
      </c>
      <c r="AU106" t="str">
        <f t="shared" ca="1" si="45"/>
        <v>〇</v>
      </c>
      <c r="AV106" t="str">
        <f t="shared" ca="1" si="46"/>
        <v>〇</v>
      </c>
      <c r="AW106" t="str">
        <f t="shared" ca="1" si="47"/>
        <v>〇</v>
      </c>
      <c r="AX106" t="str">
        <f t="shared" ca="1" si="48"/>
        <v>〇</v>
      </c>
    </row>
    <row r="107" spans="1:50">
      <c r="A107" cm="1">
        <f t="array" aca="1" ref="A107" ca="1">INDIRECT("'"&amp;試験名&amp;"'!A"&amp;ROW()-2)</f>
        <v>0</v>
      </c>
      <c r="B107">
        <f t="shared" ca="1" si="32"/>
        <v>8</v>
      </c>
      <c r="W107" s="3">
        <f t="shared" ca="1" si="33"/>
        <v>8</v>
      </c>
      <c r="X107" s="3">
        <f t="shared" ca="1" si="51"/>
        <v>0</v>
      </c>
      <c r="Y107" s="3">
        <f t="shared" ca="1" si="27"/>
        <v>0</v>
      </c>
      <c r="Z107" s="3">
        <f t="shared" ca="1" si="28"/>
        <v>0</v>
      </c>
      <c r="AA107" s="3">
        <f t="shared" ca="1" si="29"/>
        <v>0</v>
      </c>
      <c r="AB107" s="3">
        <f ca="1">IF(W107="","",COUNTA(T_受験者[])/4-COUNTA($C107:$V107))</f>
        <v>6</v>
      </c>
      <c r="AC107" s="3" cm="1">
        <f t="array" aca="1" ref="AC107" ca="1">IF(W107="","",INDIRECT("'"&amp;試験名&amp;"'!B"&amp;ROW()-2))</f>
        <v>0</v>
      </c>
      <c r="AD107" s="4">
        <f ca="1">IF(W107="","",COUNTIF(AE107:AX107,"〇")/(COUNTA(T_受験者[])/4))</f>
        <v>3.3333333333333335</v>
      </c>
      <c r="AE107" t="str">
        <f t="shared" ca="1" si="34"/>
        <v>〇</v>
      </c>
      <c r="AF107" t="str">
        <f t="shared" ca="1" si="34"/>
        <v>〇</v>
      </c>
      <c r="AG107" t="str">
        <f t="shared" ca="1" si="49"/>
        <v>〇</v>
      </c>
      <c r="AH107" t="str">
        <f t="shared" ca="1" si="50"/>
        <v>〇</v>
      </c>
      <c r="AI107" t="str">
        <f t="shared" ca="1" si="30"/>
        <v>〇</v>
      </c>
      <c r="AJ107" t="str">
        <f t="shared" ca="1" si="31"/>
        <v>〇</v>
      </c>
      <c r="AK107" t="str">
        <f t="shared" ca="1" si="35"/>
        <v>〇</v>
      </c>
      <c r="AL107" t="str">
        <f t="shared" ca="1" si="36"/>
        <v>〇</v>
      </c>
      <c r="AM107" t="str">
        <f t="shared" ca="1" si="37"/>
        <v>〇</v>
      </c>
      <c r="AN107" t="str">
        <f t="shared" ca="1" si="38"/>
        <v>〇</v>
      </c>
      <c r="AO107" t="str">
        <f t="shared" ca="1" si="39"/>
        <v>〇</v>
      </c>
      <c r="AP107" t="str">
        <f t="shared" ca="1" si="40"/>
        <v>〇</v>
      </c>
      <c r="AQ107" t="str">
        <f t="shared" ca="1" si="41"/>
        <v>〇</v>
      </c>
      <c r="AR107" t="str">
        <f t="shared" ca="1" si="42"/>
        <v>〇</v>
      </c>
      <c r="AS107" t="str">
        <f t="shared" ca="1" si="43"/>
        <v>〇</v>
      </c>
      <c r="AT107" t="str">
        <f t="shared" ca="1" si="44"/>
        <v>〇</v>
      </c>
      <c r="AU107" t="str">
        <f t="shared" ca="1" si="45"/>
        <v>〇</v>
      </c>
      <c r="AV107" t="str">
        <f t="shared" ca="1" si="46"/>
        <v>〇</v>
      </c>
      <c r="AW107" t="str">
        <f t="shared" ca="1" si="47"/>
        <v>〇</v>
      </c>
      <c r="AX107" t="str">
        <f t="shared" ca="1" si="48"/>
        <v>〇</v>
      </c>
    </row>
    <row r="108" spans="1:50">
      <c r="A108" cm="1">
        <f t="array" aca="1" ref="A108" ca="1">INDIRECT("'"&amp;試験名&amp;"'!A"&amp;ROW()-2)</f>
        <v>0</v>
      </c>
      <c r="B108">
        <f t="shared" ca="1" si="32"/>
        <v>9</v>
      </c>
      <c r="W108" s="3">
        <f t="shared" ca="1" si="33"/>
        <v>9</v>
      </c>
      <c r="X108" s="3">
        <f t="shared" ca="1" si="51"/>
        <v>0</v>
      </c>
      <c r="Y108" s="3">
        <f t="shared" ca="1" si="27"/>
        <v>0</v>
      </c>
      <c r="Z108" s="3">
        <f t="shared" ca="1" si="28"/>
        <v>0</v>
      </c>
      <c r="AA108" s="3">
        <f t="shared" ca="1" si="29"/>
        <v>0</v>
      </c>
      <c r="AB108" s="3">
        <f ca="1">IF(W108="","",COUNTA(T_受験者[])/4-COUNTA($C108:$V108))</f>
        <v>6</v>
      </c>
      <c r="AC108" s="3" cm="1">
        <f t="array" aca="1" ref="AC108" ca="1">IF(W108="","",INDIRECT("'"&amp;試験名&amp;"'!B"&amp;ROW()-2))</f>
        <v>0</v>
      </c>
      <c r="AD108" s="4">
        <f ca="1">IF(W108="","",COUNTIF(AE108:AX108,"〇")/(COUNTA(T_受験者[])/4))</f>
        <v>3.3333333333333335</v>
      </c>
      <c r="AE108" t="str">
        <f t="shared" ca="1" si="34"/>
        <v>〇</v>
      </c>
      <c r="AF108" t="str">
        <f t="shared" ca="1" si="34"/>
        <v>〇</v>
      </c>
      <c r="AG108" t="str">
        <f t="shared" ca="1" si="49"/>
        <v>〇</v>
      </c>
      <c r="AH108" t="str">
        <f t="shared" ca="1" si="50"/>
        <v>〇</v>
      </c>
      <c r="AI108" t="str">
        <f t="shared" ca="1" si="30"/>
        <v>〇</v>
      </c>
      <c r="AJ108" t="str">
        <f t="shared" ca="1" si="31"/>
        <v>〇</v>
      </c>
      <c r="AK108" t="str">
        <f t="shared" ca="1" si="35"/>
        <v>〇</v>
      </c>
      <c r="AL108" t="str">
        <f t="shared" ca="1" si="36"/>
        <v>〇</v>
      </c>
      <c r="AM108" t="str">
        <f t="shared" ca="1" si="37"/>
        <v>〇</v>
      </c>
      <c r="AN108" t="str">
        <f t="shared" ca="1" si="38"/>
        <v>〇</v>
      </c>
      <c r="AO108" t="str">
        <f t="shared" ca="1" si="39"/>
        <v>〇</v>
      </c>
      <c r="AP108" t="str">
        <f t="shared" ca="1" si="40"/>
        <v>〇</v>
      </c>
      <c r="AQ108" t="str">
        <f t="shared" ca="1" si="41"/>
        <v>〇</v>
      </c>
      <c r="AR108" t="str">
        <f t="shared" ca="1" si="42"/>
        <v>〇</v>
      </c>
      <c r="AS108" t="str">
        <f t="shared" ca="1" si="43"/>
        <v>〇</v>
      </c>
      <c r="AT108" t="str">
        <f t="shared" ca="1" si="44"/>
        <v>〇</v>
      </c>
      <c r="AU108" t="str">
        <f t="shared" ca="1" si="45"/>
        <v>〇</v>
      </c>
      <c r="AV108" t="str">
        <f t="shared" ca="1" si="46"/>
        <v>〇</v>
      </c>
      <c r="AW108" t="str">
        <f t="shared" ca="1" si="47"/>
        <v>〇</v>
      </c>
      <c r="AX108" t="str">
        <f t="shared" ca="1" si="48"/>
        <v>〇</v>
      </c>
    </row>
    <row r="109" spans="1:50">
      <c r="A109" cm="1">
        <f t="array" aca="1" ref="A109" ca="1">INDIRECT("'"&amp;試験名&amp;"'!A"&amp;ROW()-2)</f>
        <v>0</v>
      </c>
      <c r="B109">
        <f t="shared" ca="1" si="32"/>
        <v>10</v>
      </c>
      <c r="W109" s="3">
        <f t="shared" ca="1" si="33"/>
        <v>10</v>
      </c>
      <c r="X109" s="3">
        <f t="shared" ca="1" si="51"/>
        <v>0</v>
      </c>
      <c r="Y109" s="3">
        <f t="shared" ca="1" si="27"/>
        <v>0</v>
      </c>
      <c r="Z109" s="3">
        <f t="shared" ca="1" si="28"/>
        <v>0</v>
      </c>
      <c r="AA109" s="3">
        <f t="shared" ca="1" si="29"/>
        <v>0</v>
      </c>
      <c r="AB109" s="3">
        <f ca="1">IF(W109="","",COUNTA(T_受験者[])/4-COUNTA($C109:$V109))</f>
        <v>6</v>
      </c>
      <c r="AC109" s="3" cm="1">
        <f t="array" aca="1" ref="AC109" ca="1">IF(W109="","",INDIRECT("'"&amp;試験名&amp;"'!B"&amp;ROW()-2))</f>
        <v>0</v>
      </c>
      <c r="AD109" s="4">
        <f ca="1">IF(W109="","",COUNTIF(AE109:AX109,"〇")/(COUNTA(T_受験者[])/4))</f>
        <v>3.3333333333333335</v>
      </c>
      <c r="AE109" t="str">
        <f t="shared" ca="1" si="34"/>
        <v>〇</v>
      </c>
      <c r="AF109" t="str">
        <f t="shared" ca="1" si="34"/>
        <v>〇</v>
      </c>
      <c r="AG109" t="str">
        <f t="shared" ca="1" si="49"/>
        <v>〇</v>
      </c>
      <c r="AH109" t="str">
        <f t="shared" ca="1" si="50"/>
        <v>〇</v>
      </c>
      <c r="AI109" t="str">
        <f t="shared" ca="1" si="30"/>
        <v>〇</v>
      </c>
      <c r="AJ109" t="str">
        <f t="shared" ca="1" si="31"/>
        <v>〇</v>
      </c>
      <c r="AK109" t="str">
        <f t="shared" ca="1" si="35"/>
        <v>〇</v>
      </c>
      <c r="AL109" t="str">
        <f t="shared" ca="1" si="36"/>
        <v>〇</v>
      </c>
      <c r="AM109" t="str">
        <f t="shared" ca="1" si="37"/>
        <v>〇</v>
      </c>
      <c r="AN109" t="str">
        <f t="shared" ca="1" si="38"/>
        <v>〇</v>
      </c>
      <c r="AO109" t="str">
        <f t="shared" ca="1" si="39"/>
        <v>〇</v>
      </c>
      <c r="AP109" t="str">
        <f t="shared" ca="1" si="40"/>
        <v>〇</v>
      </c>
      <c r="AQ109" t="str">
        <f t="shared" ca="1" si="41"/>
        <v>〇</v>
      </c>
      <c r="AR109" t="str">
        <f t="shared" ca="1" si="42"/>
        <v>〇</v>
      </c>
      <c r="AS109" t="str">
        <f t="shared" ca="1" si="43"/>
        <v>〇</v>
      </c>
      <c r="AT109" t="str">
        <f t="shared" ca="1" si="44"/>
        <v>〇</v>
      </c>
      <c r="AU109" t="str">
        <f t="shared" ca="1" si="45"/>
        <v>〇</v>
      </c>
      <c r="AV109" t="str">
        <f t="shared" ca="1" si="46"/>
        <v>〇</v>
      </c>
      <c r="AW109" t="str">
        <f t="shared" ca="1" si="47"/>
        <v>〇</v>
      </c>
      <c r="AX109" t="str">
        <f t="shared" ca="1" si="48"/>
        <v>〇</v>
      </c>
    </row>
    <row r="110" spans="1:50">
      <c r="A110" cm="1">
        <f t="array" aca="1" ref="A110" ca="1">INDIRECT("'"&amp;試験名&amp;"'!A"&amp;ROW()-2)</f>
        <v>0</v>
      </c>
      <c r="B110">
        <f t="shared" ca="1" si="32"/>
        <v>11</v>
      </c>
      <c r="W110" s="3">
        <f t="shared" ca="1" si="33"/>
        <v>11</v>
      </c>
      <c r="X110" s="3">
        <f t="shared" ca="1" si="51"/>
        <v>0</v>
      </c>
      <c r="Y110" s="3">
        <f t="shared" ca="1" si="27"/>
        <v>0</v>
      </c>
      <c r="Z110" s="3">
        <f t="shared" ca="1" si="28"/>
        <v>0</v>
      </c>
      <c r="AA110" s="3">
        <f t="shared" ca="1" si="29"/>
        <v>0</v>
      </c>
      <c r="AB110" s="3">
        <f ca="1">IF(W110="","",COUNTA(T_受験者[])/4-COUNTA($C110:$V110))</f>
        <v>6</v>
      </c>
      <c r="AC110" s="3" cm="1">
        <f t="array" aca="1" ref="AC110" ca="1">IF(W110="","",INDIRECT("'"&amp;試験名&amp;"'!B"&amp;ROW()-2))</f>
        <v>0</v>
      </c>
      <c r="AD110" s="4">
        <f ca="1">IF(W110="","",COUNTIF(AE110:AX110,"〇")/(COUNTA(T_受験者[])/4))</f>
        <v>3.3333333333333335</v>
      </c>
      <c r="AE110" t="str">
        <f t="shared" ca="1" si="34"/>
        <v>〇</v>
      </c>
      <c r="AF110" t="str">
        <f t="shared" ca="1" si="34"/>
        <v>〇</v>
      </c>
      <c r="AG110" t="str">
        <f t="shared" ca="1" si="49"/>
        <v>〇</v>
      </c>
      <c r="AH110" t="str">
        <f t="shared" ca="1" si="50"/>
        <v>〇</v>
      </c>
      <c r="AI110" t="str">
        <f t="shared" ca="1" si="30"/>
        <v>〇</v>
      </c>
      <c r="AJ110" t="str">
        <f t="shared" ca="1" si="31"/>
        <v>〇</v>
      </c>
      <c r="AK110" t="str">
        <f t="shared" ca="1" si="35"/>
        <v>〇</v>
      </c>
      <c r="AL110" t="str">
        <f t="shared" ca="1" si="36"/>
        <v>〇</v>
      </c>
      <c r="AM110" t="str">
        <f t="shared" ca="1" si="37"/>
        <v>〇</v>
      </c>
      <c r="AN110" t="str">
        <f t="shared" ca="1" si="38"/>
        <v>〇</v>
      </c>
      <c r="AO110" t="str">
        <f t="shared" ca="1" si="39"/>
        <v>〇</v>
      </c>
      <c r="AP110" t="str">
        <f t="shared" ca="1" si="40"/>
        <v>〇</v>
      </c>
      <c r="AQ110" t="str">
        <f t="shared" ca="1" si="41"/>
        <v>〇</v>
      </c>
      <c r="AR110" t="str">
        <f t="shared" ca="1" si="42"/>
        <v>〇</v>
      </c>
      <c r="AS110" t="str">
        <f t="shared" ca="1" si="43"/>
        <v>〇</v>
      </c>
      <c r="AT110" t="str">
        <f t="shared" ca="1" si="44"/>
        <v>〇</v>
      </c>
      <c r="AU110" t="str">
        <f t="shared" ca="1" si="45"/>
        <v>〇</v>
      </c>
      <c r="AV110" t="str">
        <f t="shared" ca="1" si="46"/>
        <v>〇</v>
      </c>
      <c r="AW110" t="str">
        <f t="shared" ca="1" si="47"/>
        <v>〇</v>
      </c>
      <c r="AX110" t="str">
        <f t="shared" ca="1" si="48"/>
        <v>〇</v>
      </c>
    </row>
    <row r="111" spans="1:50">
      <c r="A111" cm="1">
        <f t="array" aca="1" ref="A111" ca="1">INDIRECT("'"&amp;試験名&amp;"'!A"&amp;ROW()-2)</f>
        <v>0</v>
      </c>
      <c r="B111">
        <f t="shared" ca="1" si="32"/>
        <v>12</v>
      </c>
      <c r="W111" s="3">
        <f t="shared" ca="1" si="33"/>
        <v>12</v>
      </c>
      <c r="X111" s="3">
        <f t="shared" ca="1" si="51"/>
        <v>0</v>
      </c>
      <c r="Y111" s="3">
        <f t="shared" ca="1" si="27"/>
        <v>0</v>
      </c>
      <c r="Z111" s="3">
        <f t="shared" ca="1" si="28"/>
        <v>0</v>
      </c>
      <c r="AA111" s="3">
        <f t="shared" ca="1" si="29"/>
        <v>0</v>
      </c>
      <c r="AB111" s="3">
        <f ca="1">IF(W111="","",COUNTA(T_受験者[])/4-COUNTA($C111:$V111))</f>
        <v>6</v>
      </c>
      <c r="AC111" s="3" cm="1">
        <f t="array" aca="1" ref="AC111" ca="1">IF(W111="","",INDIRECT("'"&amp;試験名&amp;"'!B"&amp;ROW()-2))</f>
        <v>0</v>
      </c>
      <c r="AD111" s="4">
        <f ca="1">IF(W111="","",COUNTIF(AE111:AX111,"〇")/(COUNTA(T_受験者[])/4))</f>
        <v>3.3333333333333335</v>
      </c>
      <c r="AE111" t="str">
        <f t="shared" ca="1" si="34"/>
        <v>〇</v>
      </c>
      <c r="AF111" t="str">
        <f t="shared" ca="1" si="34"/>
        <v>〇</v>
      </c>
      <c r="AG111" t="str">
        <f t="shared" ca="1" si="49"/>
        <v>〇</v>
      </c>
      <c r="AH111" t="str">
        <f t="shared" ca="1" si="50"/>
        <v>〇</v>
      </c>
      <c r="AI111" t="str">
        <f t="shared" ca="1" si="30"/>
        <v>〇</v>
      </c>
      <c r="AJ111" t="str">
        <f t="shared" ca="1" si="31"/>
        <v>〇</v>
      </c>
      <c r="AK111" t="str">
        <f t="shared" ca="1" si="35"/>
        <v>〇</v>
      </c>
      <c r="AL111" t="str">
        <f t="shared" ca="1" si="36"/>
        <v>〇</v>
      </c>
      <c r="AM111" t="str">
        <f t="shared" ca="1" si="37"/>
        <v>〇</v>
      </c>
      <c r="AN111" t="str">
        <f t="shared" ca="1" si="38"/>
        <v>〇</v>
      </c>
      <c r="AO111" t="str">
        <f t="shared" ca="1" si="39"/>
        <v>〇</v>
      </c>
      <c r="AP111" t="str">
        <f t="shared" ca="1" si="40"/>
        <v>〇</v>
      </c>
      <c r="AQ111" t="str">
        <f t="shared" ca="1" si="41"/>
        <v>〇</v>
      </c>
      <c r="AR111" t="str">
        <f t="shared" ca="1" si="42"/>
        <v>〇</v>
      </c>
      <c r="AS111" t="str">
        <f t="shared" ca="1" si="43"/>
        <v>〇</v>
      </c>
      <c r="AT111" t="str">
        <f t="shared" ca="1" si="44"/>
        <v>〇</v>
      </c>
      <c r="AU111" t="str">
        <f t="shared" ca="1" si="45"/>
        <v>〇</v>
      </c>
      <c r="AV111" t="str">
        <f t="shared" ca="1" si="46"/>
        <v>〇</v>
      </c>
      <c r="AW111" t="str">
        <f t="shared" ca="1" si="47"/>
        <v>〇</v>
      </c>
      <c r="AX111" t="str">
        <f t="shared" ca="1" si="48"/>
        <v>〇</v>
      </c>
    </row>
    <row r="112" spans="1:50">
      <c r="A112" cm="1">
        <f t="array" aca="1" ref="A112" ca="1">INDIRECT("'"&amp;試験名&amp;"'!A"&amp;ROW()-2)</f>
        <v>0</v>
      </c>
      <c r="B112">
        <f t="shared" ca="1" si="32"/>
        <v>13</v>
      </c>
      <c r="W112" s="3">
        <f t="shared" ca="1" si="33"/>
        <v>13</v>
      </c>
      <c r="X112" s="3">
        <f t="shared" ca="1" si="51"/>
        <v>0</v>
      </c>
      <c r="Y112" s="3">
        <f t="shared" ca="1" si="27"/>
        <v>0</v>
      </c>
      <c r="Z112" s="3">
        <f t="shared" ca="1" si="28"/>
        <v>0</v>
      </c>
      <c r="AA112" s="3">
        <f t="shared" ca="1" si="29"/>
        <v>0</v>
      </c>
      <c r="AB112" s="3">
        <f ca="1">IF(W112="","",COUNTA(T_受験者[])/4-COUNTA($C112:$V112))</f>
        <v>6</v>
      </c>
      <c r="AC112" s="3" cm="1">
        <f t="array" aca="1" ref="AC112" ca="1">IF(W112="","",INDIRECT("'"&amp;試験名&amp;"'!B"&amp;ROW()-2))</f>
        <v>0</v>
      </c>
      <c r="AD112" s="4">
        <f ca="1">IF(W112="","",COUNTIF(AE112:AX112,"〇")/(COUNTA(T_受験者[])/4))</f>
        <v>3.3333333333333335</v>
      </c>
      <c r="AE112" t="str">
        <f t="shared" ca="1" si="34"/>
        <v>〇</v>
      </c>
      <c r="AF112" t="str">
        <f t="shared" ca="1" si="34"/>
        <v>〇</v>
      </c>
      <c r="AG112" t="str">
        <f t="shared" ca="1" si="49"/>
        <v>〇</v>
      </c>
      <c r="AH112" t="str">
        <f t="shared" ca="1" si="50"/>
        <v>〇</v>
      </c>
      <c r="AI112" t="str">
        <f t="shared" ca="1" si="30"/>
        <v>〇</v>
      </c>
      <c r="AJ112" t="str">
        <f t="shared" ca="1" si="31"/>
        <v>〇</v>
      </c>
      <c r="AK112" t="str">
        <f t="shared" ca="1" si="35"/>
        <v>〇</v>
      </c>
      <c r="AL112" t="str">
        <f t="shared" ca="1" si="36"/>
        <v>〇</v>
      </c>
      <c r="AM112" t="str">
        <f t="shared" ca="1" si="37"/>
        <v>〇</v>
      </c>
      <c r="AN112" t="str">
        <f t="shared" ca="1" si="38"/>
        <v>〇</v>
      </c>
      <c r="AO112" t="str">
        <f t="shared" ca="1" si="39"/>
        <v>〇</v>
      </c>
      <c r="AP112" t="str">
        <f t="shared" ca="1" si="40"/>
        <v>〇</v>
      </c>
      <c r="AQ112" t="str">
        <f t="shared" ca="1" si="41"/>
        <v>〇</v>
      </c>
      <c r="AR112" t="str">
        <f t="shared" ca="1" si="42"/>
        <v>〇</v>
      </c>
      <c r="AS112" t="str">
        <f t="shared" ca="1" si="43"/>
        <v>〇</v>
      </c>
      <c r="AT112" t="str">
        <f t="shared" ca="1" si="44"/>
        <v>〇</v>
      </c>
      <c r="AU112" t="str">
        <f t="shared" ca="1" si="45"/>
        <v>〇</v>
      </c>
      <c r="AV112" t="str">
        <f t="shared" ca="1" si="46"/>
        <v>〇</v>
      </c>
      <c r="AW112" t="str">
        <f t="shared" ca="1" si="47"/>
        <v>〇</v>
      </c>
      <c r="AX112" t="str">
        <f t="shared" ca="1" si="48"/>
        <v>〇</v>
      </c>
    </row>
    <row r="113" spans="1:50">
      <c r="A113" cm="1">
        <f t="array" aca="1" ref="A113" ca="1">INDIRECT("'"&amp;試験名&amp;"'!A"&amp;ROW()-2)</f>
        <v>0</v>
      </c>
      <c r="B113">
        <f t="shared" ca="1" si="32"/>
        <v>14</v>
      </c>
      <c r="W113" s="3">
        <f t="shared" ca="1" si="33"/>
        <v>14</v>
      </c>
      <c r="X113" s="3">
        <f t="shared" ca="1" si="51"/>
        <v>0</v>
      </c>
      <c r="Y113" s="3">
        <f t="shared" ca="1" si="27"/>
        <v>0</v>
      </c>
      <c r="Z113" s="3">
        <f t="shared" ca="1" si="28"/>
        <v>0</v>
      </c>
      <c r="AA113" s="3">
        <f t="shared" ca="1" si="29"/>
        <v>0</v>
      </c>
      <c r="AB113" s="3">
        <f ca="1">IF(W113="","",COUNTA(T_受験者[])/4-COUNTA($C113:$V113))</f>
        <v>6</v>
      </c>
      <c r="AC113" s="3" cm="1">
        <f t="array" aca="1" ref="AC113" ca="1">IF(W113="","",INDIRECT("'"&amp;試験名&amp;"'!B"&amp;ROW()-2))</f>
        <v>0</v>
      </c>
      <c r="AD113" s="4">
        <f ca="1">IF(W113="","",COUNTIF(AE113:AX113,"〇")/(COUNTA(T_受験者[])/4))</f>
        <v>3.3333333333333335</v>
      </c>
      <c r="AE113" t="str">
        <f t="shared" ca="1" si="34"/>
        <v>〇</v>
      </c>
      <c r="AF113" t="str">
        <f t="shared" ca="1" si="34"/>
        <v>〇</v>
      </c>
      <c r="AG113" t="str">
        <f t="shared" ca="1" si="49"/>
        <v>〇</v>
      </c>
      <c r="AH113" t="str">
        <f t="shared" ca="1" si="50"/>
        <v>〇</v>
      </c>
      <c r="AI113" t="str">
        <f t="shared" ca="1" si="30"/>
        <v>〇</v>
      </c>
      <c r="AJ113" t="str">
        <f t="shared" ca="1" si="31"/>
        <v>〇</v>
      </c>
      <c r="AK113" t="str">
        <f t="shared" ca="1" si="35"/>
        <v>〇</v>
      </c>
      <c r="AL113" t="str">
        <f t="shared" ca="1" si="36"/>
        <v>〇</v>
      </c>
      <c r="AM113" t="str">
        <f t="shared" ca="1" si="37"/>
        <v>〇</v>
      </c>
      <c r="AN113" t="str">
        <f t="shared" ca="1" si="38"/>
        <v>〇</v>
      </c>
      <c r="AO113" t="str">
        <f t="shared" ca="1" si="39"/>
        <v>〇</v>
      </c>
      <c r="AP113" t="str">
        <f t="shared" ca="1" si="40"/>
        <v>〇</v>
      </c>
      <c r="AQ113" t="str">
        <f t="shared" ca="1" si="41"/>
        <v>〇</v>
      </c>
      <c r="AR113" t="str">
        <f t="shared" ca="1" si="42"/>
        <v>〇</v>
      </c>
      <c r="AS113" t="str">
        <f t="shared" ca="1" si="43"/>
        <v>〇</v>
      </c>
      <c r="AT113" t="str">
        <f t="shared" ca="1" si="44"/>
        <v>〇</v>
      </c>
      <c r="AU113" t="str">
        <f t="shared" ca="1" si="45"/>
        <v>〇</v>
      </c>
      <c r="AV113" t="str">
        <f t="shared" ca="1" si="46"/>
        <v>〇</v>
      </c>
      <c r="AW113" t="str">
        <f t="shared" ca="1" si="47"/>
        <v>〇</v>
      </c>
      <c r="AX113" t="str">
        <f t="shared" ca="1" si="48"/>
        <v>〇</v>
      </c>
    </row>
    <row r="114" spans="1:50">
      <c r="A114" cm="1">
        <f t="array" aca="1" ref="A114" ca="1">INDIRECT("'"&amp;試験名&amp;"'!A"&amp;ROW()-2)</f>
        <v>0</v>
      </c>
      <c r="B114">
        <f t="shared" ca="1" si="32"/>
        <v>15</v>
      </c>
      <c r="W114" s="3">
        <f t="shared" ca="1" si="33"/>
        <v>15</v>
      </c>
      <c r="X114" s="3">
        <f t="shared" ca="1" si="51"/>
        <v>0</v>
      </c>
      <c r="Y114" s="3">
        <f t="shared" ca="1" si="27"/>
        <v>0</v>
      </c>
      <c r="Z114" s="3">
        <f t="shared" ca="1" si="28"/>
        <v>0</v>
      </c>
      <c r="AA114" s="3">
        <f t="shared" ca="1" si="29"/>
        <v>0</v>
      </c>
      <c r="AB114" s="3">
        <f ca="1">IF(W114="","",COUNTA(T_受験者[])/4-COUNTA($C114:$V114))</f>
        <v>6</v>
      </c>
      <c r="AC114" s="3" cm="1">
        <f t="array" aca="1" ref="AC114" ca="1">IF(W114="","",INDIRECT("'"&amp;試験名&amp;"'!B"&amp;ROW()-2))</f>
        <v>0</v>
      </c>
      <c r="AD114" s="4">
        <f ca="1">IF(W114="","",COUNTIF(AE114:AX114,"〇")/(COUNTA(T_受験者[])/4))</f>
        <v>3.3333333333333335</v>
      </c>
      <c r="AE114" t="str">
        <f t="shared" ca="1" si="34"/>
        <v>〇</v>
      </c>
      <c r="AF114" t="str">
        <f t="shared" ca="1" si="34"/>
        <v>〇</v>
      </c>
      <c r="AG114" t="str">
        <f t="shared" ca="1" si="49"/>
        <v>〇</v>
      </c>
      <c r="AH114" t="str">
        <f t="shared" ca="1" si="50"/>
        <v>〇</v>
      </c>
      <c r="AI114" t="str">
        <f t="shared" ca="1" si="30"/>
        <v>〇</v>
      </c>
      <c r="AJ114" t="str">
        <f t="shared" ca="1" si="31"/>
        <v>〇</v>
      </c>
      <c r="AK114" t="str">
        <f t="shared" ca="1" si="35"/>
        <v>〇</v>
      </c>
      <c r="AL114" t="str">
        <f t="shared" ca="1" si="36"/>
        <v>〇</v>
      </c>
      <c r="AM114" t="str">
        <f t="shared" ca="1" si="37"/>
        <v>〇</v>
      </c>
      <c r="AN114" t="str">
        <f t="shared" ca="1" si="38"/>
        <v>〇</v>
      </c>
      <c r="AO114" t="str">
        <f t="shared" ca="1" si="39"/>
        <v>〇</v>
      </c>
      <c r="AP114" t="str">
        <f t="shared" ca="1" si="40"/>
        <v>〇</v>
      </c>
      <c r="AQ114" t="str">
        <f t="shared" ca="1" si="41"/>
        <v>〇</v>
      </c>
      <c r="AR114" t="str">
        <f t="shared" ca="1" si="42"/>
        <v>〇</v>
      </c>
      <c r="AS114" t="str">
        <f t="shared" ca="1" si="43"/>
        <v>〇</v>
      </c>
      <c r="AT114" t="str">
        <f t="shared" ca="1" si="44"/>
        <v>〇</v>
      </c>
      <c r="AU114" t="str">
        <f t="shared" ca="1" si="45"/>
        <v>〇</v>
      </c>
      <c r="AV114" t="str">
        <f t="shared" ca="1" si="46"/>
        <v>〇</v>
      </c>
      <c r="AW114" t="str">
        <f t="shared" ca="1" si="47"/>
        <v>〇</v>
      </c>
      <c r="AX114" t="str">
        <f t="shared" ca="1" si="48"/>
        <v>〇</v>
      </c>
    </row>
    <row r="115" spans="1:50">
      <c r="A115" cm="1">
        <f t="array" aca="1" ref="A115" ca="1">INDIRECT("'"&amp;試験名&amp;"'!A"&amp;ROW()-2)</f>
        <v>0</v>
      </c>
      <c r="B115">
        <f t="shared" ca="1" si="32"/>
        <v>16</v>
      </c>
      <c r="W115" s="3">
        <f t="shared" ca="1" si="33"/>
        <v>16</v>
      </c>
      <c r="X115" s="3">
        <f t="shared" ca="1" si="51"/>
        <v>0</v>
      </c>
      <c r="Y115" s="3">
        <f t="shared" ca="1" si="27"/>
        <v>0</v>
      </c>
      <c r="Z115" s="3">
        <f t="shared" ca="1" si="28"/>
        <v>0</v>
      </c>
      <c r="AA115" s="3">
        <f t="shared" ca="1" si="29"/>
        <v>0</v>
      </c>
      <c r="AB115" s="3">
        <f ca="1">IF(W115="","",COUNTA(T_受験者[])/4-COUNTA($C115:$V115))</f>
        <v>6</v>
      </c>
      <c r="AC115" s="3" cm="1">
        <f t="array" aca="1" ref="AC115" ca="1">IF(W115="","",INDIRECT("'"&amp;試験名&amp;"'!B"&amp;ROW()-2))</f>
        <v>0</v>
      </c>
      <c r="AD115" s="4">
        <f ca="1">IF(W115="","",COUNTIF(AE115:AX115,"〇")/(COUNTA(T_受験者[])/4))</f>
        <v>3.3333333333333335</v>
      </c>
      <c r="AE115" t="str">
        <f t="shared" ca="1" si="34"/>
        <v>〇</v>
      </c>
      <c r="AF115" t="str">
        <f t="shared" ca="1" si="34"/>
        <v>〇</v>
      </c>
      <c r="AG115" t="str">
        <f t="shared" ca="1" si="49"/>
        <v>〇</v>
      </c>
      <c r="AH115" t="str">
        <f t="shared" ca="1" si="50"/>
        <v>〇</v>
      </c>
      <c r="AI115" t="str">
        <f t="shared" ca="1" si="30"/>
        <v>〇</v>
      </c>
      <c r="AJ115" t="str">
        <f t="shared" ca="1" si="31"/>
        <v>〇</v>
      </c>
      <c r="AK115" t="str">
        <f t="shared" ca="1" si="35"/>
        <v>〇</v>
      </c>
      <c r="AL115" t="str">
        <f t="shared" ca="1" si="36"/>
        <v>〇</v>
      </c>
      <c r="AM115" t="str">
        <f t="shared" ca="1" si="37"/>
        <v>〇</v>
      </c>
      <c r="AN115" t="str">
        <f t="shared" ca="1" si="38"/>
        <v>〇</v>
      </c>
      <c r="AO115" t="str">
        <f t="shared" ca="1" si="39"/>
        <v>〇</v>
      </c>
      <c r="AP115" t="str">
        <f t="shared" ca="1" si="40"/>
        <v>〇</v>
      </c>
      <c r="AQ115" t="str">
        <f t="shared" ca="1" si="41"/>
        <v>〇</v>
      </c>
      <c r="AR115" t="str">
        <f t="shared" ca="1" si="42"/>
        <v>〇</v>
      </c>
      <c r="AS115" t="str">
        <f t="shared" ca="1" si="43"/>
        <v>〇</v>
      </c>
      <c r="AT115" t="str">
        <f t="shared" ca="1" si="44"/>
        <v>〇</v>
      </c>
      <c r="AU115" t="str">
        <f t="shared" ca="1" si="45"/>
        <v>〇</v>
      </c>
      <c r="AV115" t="str">
        <f t="shared" ca="1" si="46"/>
        <v>〇</v>
      </c>
      <c r="AW115" t="str">
        <f t="shared" ca="1" si="47"/>
        <v>〇</v>
      </c>
      <c r="AX115" t="str">
        <f t="shared" ca="1" si="48"/>
        <v>〇</v>
      </c>
    </row>
    <row r="116" spans="1:50">
      <c r="A116" cm="1">
        <f t="array" aca="1" ref="A116" ca="1">INDIRECT("'"&amp;試験名&amp;"'!A"&amp;ROW()-2)</f>
        <v>0</v>
      </c>
      <c r="B116">
        <f t="shared" ca="1" si="32"/>
        <v>17</v>
      </c>
      <c r="W116" s="3">
        <f t="shared" ca="1" si="33"/>
        <v>17</v>
      </c>
      <c r="X116" s="3">
        <f t="shared" ca="1" si="51"/>
        <v>0</v>
      </c>
      <c r="Y116" s="3">
        <f t="shared" ca="1" si="27"/>
        <v>0</v>
      </c>
      <c r="Z116" s="3">
        <f t="shared" ca="1" si="28"/>
        <v>0</v>
      </c>
      <c r="AA116" s="3">
        <f t="shared" ca="1" si="29"/>
        <v>0</v>
      </c>
      <c r="AB116" s="3">
        <f ca="1">IF(W116="","",COUNTA(T_受験者[])/4-COUNTA($C116:$V116))</f>
        <v>6</v>
      </c>
      <c r="AC116" s="3" cm="1">
        <f t="array" aca="1" ref="AC116" ca="1">IF(W116="","",INDIRECT("'"&amp;試験名&amp;"'!B"&amp;ROW()-2))</f>
        <v>0</v>
      </c>
      <c r="AD116" s="4">
        <f ca="1">IF(W116="","",COUNTIF(AE116:AX116,"〇")/(COUNTA(T_受験者[])/4))</f>
        <v>3.3333333333333335</v>
      </c>
      <c r="AE116" t="str">
        <f t="shared" ca="1" si="34"/>
        <v>〇</v>
      </c>
      <c r="AF116" t="str">
        <f t="shared" ca="1" si="34"/>
        <v>〇</v>
      </c>
      <c r="AG116" t="str">
        <f t="shared" ca="1" si="49"/>
        <v>〇</v>
      </c>
      <c r="AH116" t="str">
        <f t="shared" ca="1" si="50"/>
        <v>〇</v>
      </c>
      <c r="AI116" t="str">
        <f t="shared" ca="1" si="30"/>
        <v>〇</v>
      </c>
      <c r="AJ116" t="str">
        <f t="shared" ca="1" si="31"/>
        <v>〇</v>
      </c>
      <c r="AK116" t="str">
        <f t="shared" ca="1" si="35"/>
        <v>〇</v>
      </c>
      <c r="AL116" t="str">
        <f t="shared" ca="1" si="36"/>
        <v>〇</v>
      </c>
      <c r="AM116" t="str">
        <f t="shared" ca="1" si="37"/>
        <v>〇</v>
      </c>
      <c r="AN116" t="str">
        <f t="shared" ca="1" si="38"/>
        <v>〇</v>
      </c>
      <c r="AO116" t="str">
        <f t="shared" ca="1" si="39"/>
        <v>〇</v>
      </c>
      <c r="AP116" t="str">
        <f t="shared" ca="1" si="40"/>
        <v>〇</v>
      </c>
      <c r="AQ116" t="str">
        <f t="shared" ca="1" si="41"/>
        <v>〇</v>
      </c>
      <c r="AR116" t="str">
        <f t="shared" ca="1" si="42"/>
        <v>〇</v>
      </c>
      <c r="AS116" t="str">
        <f t="shared" ca="1" si="43"/>
        <v>〇</v>
      </c>
      <c r="AT116" t="str">
        <f t="shared" ca="1" si="44"/>
        <v>〇</v>
      </c>
      <c r="AU116" t="str">
        <f t="shared" ca="1" si="45"/>
        <v>〇</v>
      </c>
      <c r="AV116" t="str">
        <f t="shared" ca="1" si="46"/>
        <v>〇</v>
      </c>
      <c r="AW116" t="str">
        <f t="shared" ca="1" si="47"/>
        <v>〇</v>
      </c>
      <c r="AX116" t="str">
        <f t="shared" ca="1" si="48"/>
        <v>〇</v>
      </c>
    </row>
    <row r="117" spans="1:50">
      <c r="A117" cm="1">
        <f t="array" aca="1" ref="A117" ca="1">INDIRECT("'"&amp;試験名&amp;"'!A"&amp;ROW()-2)</f>
        <v>0</v>
      </c>
      <c r="B117">
        <f t="shared" ca="1" si="32"/>
        <v>18</v>
      </c>
      <c r="W117" s="3">
        <f t="shared" ca="1" si="33"/>
        <v>18</v>
      </c>
      <c r="X117" s="3">
        <f t="shared" ca="1" si="51"/>
        <v>0</v>
      </c>
      <c r="Y117" s="3">
        <f ca="1">IF(W117="","",COUNTIF($C117:$V117,Y$2))</f>
        <v>0</v>
      </c>
      <c r="Z117" s="3">
        <f ca="1">IF(W117="","",COUNTIF($C117:$V117,Z$2))</f>
        <v>0</v>
      </c>
      <c r="AA117" s="3">
        <f ca="1">IF(W117="","",COUNTIF($C117:$V117,AA$2))</f>
        <v>0</v>
      </c>
      <c r="AB117" s="3">
        <f ca="1">IF(W117="","",COUNTA(T_受験者[])/4-COUNTA($C117:$V117))</f>
        <v>6</v>
      </c>
      <c r="AC117" s="3" cm="1">
        <f t="array" aca="1" ref="AC117" ca="1">IF(W117="","",INDIRECT("'"&amp;試験名&amp;"'!B"&amp;ROW()-2))</f>
        <v>0</v>
      </c>
      <c r="AD117" s="4">
        <f ca="1">IF(W117="","",COUNTIF(AE117:AX117,"〇")/(COUNTA(T_受験者[])/4))</f>
        <v>3.3333333333333335</v>
      </c>
      <c r="AE117" t="str">
        <f t="shared" ca="1" si="34"/>
        <v>〇</v>
      </c>
      <c r="AF117" t="str">
        <f t="shared" ca="1" si="34"/>
        <v>〇</v>
      </c>
      <c r="AG117" t="str">
        <f t="shared" ca="1" si="49"/>
        <v>〇</v>
      </c>
      <c r="AH117" t="str">
        <f t="shared" ca="1" si="50"/>
        <v>〇</v>
      </c>
      <c r="AI117" t="str">
        <f t="shared" ca="1" si="30"/>
        <v>〇</v>
      </c>
      <c r="AJ117" t="str">
        <f t="shared" ca="1" si="31"/>
        <v>〇</v>
      </c>
      <c r="AK117" t="str">
        <f t="shared" ca="1" si="35"/>
        <v>〇</v>
      </c>
      <c r="AL117" t="str">
        <f t="shared" ca="1" si="36"/>
        <v>〇</v>
      </c>
      <c r="AM117" t="str">
        <f t="shared" ca="1" si="37"/>
        <v>〇</v>
      </c>
      <c r="AN117" t="str">
        <f t="shared" ca="1" si="38"/>
        <v>〇</v>
      </c>
      <c r="AO117" t="str">
        <f t="shared" ca="1" si="39"/>
        <v>〇</v>
      </c>
      <c r="AP117" t="str">
        <f t="shared" ca="1" si="40"/>
        <v>〇</v>
      </c>
      <c r="AQ117" t="str">
        <f t="shared" ca="1" si="41"/>
        <v>〇</v>
      </c>
      <c r="AR117" t="str">
        <f t="shared" ca="1" si="42"/>
        <v>〇</v>
      </c>
      <c r="AS117" t="str">
        <f t="shared" ca="1" si="43"/>
        <v>〇</v>
      </c>
      <c r="AT117" t="str">
        <f t="shared" ca="1" si="44"/>
        <v>〇</v>
      </c>
      <c r="AU117" t="str">
        <f t="shared" ca="1" si="45"/>
        <v>〇</v>
      </c>
      <c r="AV117" t="str">
        <f t="shared" ca="1" si="46"/>
        <v>〇</v>
      </c>
      <c r="AW117" t="str">
        <f t="shared" ca="1" si="47"/>
        <v>〇</v>
      </c>
      <c r="AX117" t="str">
        <f t="shared" ca="1" si="48"/>
        <v>〇</v>
      </c>
    </row>
  </sheetData>
  <phoneticPr fontId="1"/>
  <conditionalFormatting sqref="A3:B117">
    <cfRule type="expression" dxfId="28" priority="1">
      <formula>A3="文字語彙"</formula>
    </cfRule>
    <cfRule type="expression" dxfId="27" priority="2">
      <formula>A3="文法"</formula>
    </cfRule>
    <cfRule type="expression" dxfId="26" priority="3">
      <formula>A3="読解"</formula>
    </cfRule>
    <cfRule type="expression" dxfId="25" priority="4">
      <formula>A3="聴解"</formula>
    </cfRule>
  </conditionalFormatting>
  <conditionalFormatting sqref="X3:AA117">
    <cfRule type="expression" dxfId="24" priority="6">
      <formula>X$2=$AC3</formula>
    </cfRule>
  </conditionalFormatting>
  <conditionalFormatting sqref="AD3:AD117">
    <cfRule type="expression" dxfId="23" priority="5">
      <formula>$AD3&lt;=0.5</formula>
    </cfRule>
  </conditionalFormatting>
  <pageMargins left="0.7" right="0.7" top="0.75" bottom="0.75" header="0.3" footer="0.3"/>
  <pageSetup paperSize="9" scale="35" orientation="portrait" r:id="rId1"/>
  <headerFooter>
    <oddHeader>&amp;C&amp;A</oddHeader>
  </headerFooter>
  <rowBreaks count="2" manualBreakCount="2">
    <brk id="36" max="29" man="1"/>
    <brk id="71" max="29" man="1"/>
  </rowBreaks>
  <colBreaks count="1" manualBreakCount="1">
    <brk id="3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DC24-34CA-4A0A-8448-C6789F2DE16D}">
  <dimension ref="A1:V9"/>
  <sheetViews>
    <sheetView tabSelected="1" view="pageBreakPreview" zoomScale="90" zoomScaleNormal="100" zoomScaleSheetLayoutView="90" workbookViewId="0">
      <selection activeCell="I22" sqref="I22"/>
    </sheetView>
  </sheetViews>
  <sheetFormatPr defaultRowHeight="18.75"/>
  <cols>
    <col min="2" max="2" width="4.875" customWidth="1"/>
    <col min="3" max="3" width="3.5" customWidth="1"/>
    <col min="4" max="4" width="25.25" customWidth="1"/>
    <col min="5" max="5" width="5.625" customWidth="1"/>
    <col min="6" max="6" width="8.5" customWidth="1"/>
    <col min="7" max="11" width="5.625" customWidth="1"/>
    <col min="12" max="12" width="8.5" customWidth="1"/>
    <col min="13" max="13" width="5.625" customWidth="1"/>
    <col min="14" max="14" width="8.5" customWidth="1"/>
    <col min="15" max="18" width="5.625" customWidth="1"/>
    <col min="19" max="19" width="8.625" customWidth="1"/>
    <col min="20" max="20" width="4.375" customWidth="1"/>
    <col min="21" max="21" width="4.75" customWidth="1"/>
    <col min="22" max="22" width="6.75" customWidth="1"/>
  </cols>
  <sheetData>
    <row r="1" spans="1:22" ht="19.5" thickBot="1">
      <c r="A1" s="20" t="s">
        <v>22</v>
      </c>
      <c r="B1" s="23" t="str">
        <f>VLOOKUP(試験名,試験情報!A:B,2,FALSE)</f>
        <v>N4</v>
      </c>
      <c r="U1" t="s">
        <v>69</v>
      </c>
      <c r="V1" s="26">
        <f ca="1">STDEVP(T_成績[合計])</f>
        <v>14.926672621704931</v>
      </c>
    </row>
    <row r="2" spans="1:22">
      <c r="A2" t="str" cm="1">
        <f t="array" ref="A2:D2">T_受験者[#Headers]</f>
        <v>学籍番号</v>
      </c>
      <c r="B2" t="str">
        <v>クラス</v>
      </c>
      <c r="C2" t="str">
        <v>出席番号</v>
      </c>
      <c r="D2" t="str">
        <v>名前</v>
      </c>
      <c r="E2" t="s">
        <v>6</v>
      </c>
      <c r="F2" t="s">
        <v>7</v>
      </c>
      <c r="G2" t="s">
        <v>43</v>
      </c>
      <c r="H2" t="s">
        <v>41</v>
      </c>
      <c r="I2" t="s">
        <v>44</v>
      </c>
      <c r="J2" t="s">
        <v>42</v>
      </c>
      <c r="K2" t="s">
        <v>55</v>
      </c>
      <c r="L2" t="s">
        <v>56</v>
      </c>
      <c r="M2" t="s">
        <v>8</v>
      </c>
      <c r="N2" t="s">
        <v>9</v>
      </c>
      <c r="O2" t="s">
        <v>49</v>
      </c>
      <c r="P2" t="s">
        <v>60</v>
      </c>
      <c r="Q2" t="s">
        <v>61</v>
      </c>
      <c r="R2" t="s">
        <v>68</v>
      </c>
      <c r="S2" t="s">
        <v>57</v>
      </c>
      <c r="T2" t="s">
        <v>58</v>
      </c>
      <c r="U2" t="s">
        <v>59</v>
      </c>
      <c r="V2" t="s">
        <v>71</v>
      </c>
    </row>
    <row r="3" spans="1:22">
      <c r="A3" cm="1">
        <f t="array" ref="A3:D8">T_受験者[]</f>
        <v>2504094</v>
      </c>
      <c r="B3" t="str">
        <v>1-13</v>
      </c>
      <c r="C3">
        <v>13</v>
      </c>
      <c r="D3" t="str">
        <v>UGESH SAPKOTA</v>
      </c>
      <c r="E3">
        <f ca="1">COUNTIF(INDIRECT("解答入力!"&amp;ADDRESS(VLOOKUP(試験名,T_試験[#Data],7,FALSE)+2,30+C3)&amp;":"&amp;ADDRESS(VLOOKUP(試験名,T_試験[#Data],8,FALSE)+2,30+C3)),"〇")</f>
        <v>24</v>
      </c>
      <c r="F3" s="21">
        <f ca="1">ROUND(E3*60/VLOOKUP(試験名,T_試験[[#All],[書籍名および実施回]:[聴解問題数]],3,FALSE),0)</f>
        <v>42</v>
      </c>
      <c r="G3">
        <f ca="1">COUNTIF(INDIRECT("解答入力!"&amp;ADDRESS(VLOOKUP(試験名,T_試験[#Data],9,FALSE)+2,30+C3)&amp;":"&amp;ADDRESS(VLOOKUP(試験名,T_試験[#Data],10,FALSE)+2,30+C3)),"〇")</f>
        <v>11</v>
      </c>
      <c r="H3">
        <f ca="1">ROUND(G3*60/VLOOKUP(試験名,T_試験[[#All],[書籍名および実施回]:[聴解問題数]],4,FALSE),0)</f>
        <v>26</v>
      </c>
      <c r="I3">
        <f ca="1">COUNTIF(INDIRECT("解答入力!"&amp;ADDRESS(VLOOKUP(試験名,T_試験[#Data],11,FALSE)+2,30+C3)&amp;":"&amp;ADDRESS(VLOOKUP(試験名,T_試験[#Data],12,FALSE)+2,30+C3)),"〇")</f>
        <v>3</v>
      </c>
      <c r="J3">
        <f ca="1">ROUND(I3*60/VLOOKUP(試験名,T_試験[[#All],[書籍名および実施回]:[聴解問題数]],5,FALSE),0)</f>
        <v>18</v>
      </c>
      <c r="K3">
        <f t="shared" ref="K3:K7" ca="1" si="0">G3+I3</f>
        <v>14</v>
      </c>
      <c r="L3" s="21">
        <f ca="1">ROUND(K3*60/(VLOOKUP(試験名,T_試験[],4,FALSE)+VLOOKUP(試験名,T_試験[],5,FALSE)),0)</f>
        <v>24</v>
      </c>
      <c r="M3">
        <f ca="1">COUNTIF(INDIRECT("解答入力!"&amp;ADDRESS(VLOOKUP(試験名,T_試験[#Data],13,FALSE)+2,30+C3)&amp;":"&amp;ADDRESS(VLOOKUP(試験名,T_試験[#Data],14,FALSE)+2,30+C3)),"〇")</f>
        <v>17</v>
      </c>
      <c r="N3" s="21">
        <f ca="1">ROUND(M3*60/VLOOKUP(試験名,T_試験[[#All],[書籍名および実施回]:[聴解問題数]],6,FALSE),0)</f>
        <v>36</v>
      </c>
      <c r="O3">
        <f t="shared" ref="O3:O7" ca="1" si="1">IF(OR($B$1="N5",$B$1="N4"),F3+L3,0)</f>
        <v>66</v>
      </c>
      <c r="P3" t="str">
        <f ca="1">IF(OR($B$1="N5",($B$1="N4")),IF(O3&gt;=VLOOKUP($B$1,T_基準点[],3,FALSE),"○","✕"),IF(F3&gt;=VLOOKUP($B$1,T_基準点[],3,FALSE),"○","✕"))</f>
        <v>○</v>
      </c>
      <c r="Q3" t="str">
        <f>IF(OR($B$1="N5",($B$1="N4")),"○",IF(L3&gt;=VLOOKUP($B$1,T_基準点[],5,FALSE),"○","✕"))</f>
        <v>○</v>
      </c>
      <c r="R3" t="str">
        <f ca="1">IF(N3&gt;=VLOOKUP($B$1,T_基準点[],7,FALSE),"○","✕")</f>
        <v>○</v>
      </c>
      <c r="S3">
        <f t="shared" ref="S3:S7" ca="1" si="2">F3+L3+N3</f>
        <v>102</v>
      </c>
      <c r="T3">
        <f ca="1">RANK(S3,T_成績[合計],0)</f>
        <v>4</v>
      </c>
      <c r="U3" t="str">
        <f ca="1">IF(AND(P3="○",Q3="○",R3="○",S3&gt;=VLOOKUP($B$1,T_基準点[],8,FALSE)),"○","×")</f>
        <v>×</v>
      </c>
      <c r="V3" s="26">
        <f ca="1">50+10*(T_成績[[#This Row],[合計]]-T_成績[[#Totals],[合計]])/$V$1</f>
        <v>47.431890260821248</v>
      </c>
    </row>
    <row r="4" spans="1:22">
      <c r="A4">
        <v>2504103</v>
      </c>
      <c r="B4" t="str">
        <v>1-13</v>
      </c>
      <c r="C4">
        <v>14</v>
      </c>
      <c r="D4" t="str">
        <v>DHAKAL LILA MAYA</v>
      </c>
      <c r="E4">
        <f ca="1">COUNTIF(INDIRECT("解答入力!"&amp;ADDRESS(VLOOKUP(試験名,T_試験[#Data],7,FALSE)+2,30+C4)&amp;":"&amp;ADDRESS(VLOOKUP(試験名,T_試験[#Data],8,FALSE)+2,30+C4)),"〇")</f>
        <v>24</v>
      </c>
      <c r="F4" s="21">
        <f ca="1">ROUND(E4*60/VLOOKUP(試験名,T_試験[[#All],[書籍名および実施回]:[聴解問題数]],3,FALSE),0)</f>
        <v>42</v>
      </c>
      <c r="G4">
        <f ca="1">COUNTIF(INDIRECT("解答入力!"&amp;ADDRESS(VLOOKUP(試験名,T_試験[#Data],9,FALSE)+2,30+C4)&amp;":"&amp;ADDRESS(VLOOKUP(試験名,T_試験[#Data],10,FALSE)+2,30+C4)),"〇")</f>
        <v>11</v>
      </c>
      <c r="H4">
        <f ca="1">ROUND(G4*60/VLOOKUP(試験名,T_試験[[#All],[書籍名および実施回]:[聴解問題数]],4,FALSE),0)</f>
        <v>26</v>
      </c>
      <c r="I4">
        <f ca="1">COUNTIF(INDIRECT("解答入力!"&amp;ADDRESS(VLOOKUP(試験名,T_試験[#Data],11,FALSE)+2,30+C4)&amp;":"&amp;ADDRESS(VLOOKUP(試験名,T_試験[#Data],12,FALSE)+2,30+C4)),"〇")</f>
        <v>3</v>
      </c>
      <c r="J4">
        <f ca="1">ROUND(I4*60/VLOOKUP(試験名,T_試験[[#All],[書籍名および実施回]:[聴解問題数]],5,FALSE),0)</f>
        <v>18</v>
      </c>
      <c r="K4">
        <f t="shared" ca="1" si="0"/>
        <v>14</v>
      </c>
      <c r="L4" s="21">
        <f ca="1">ROUND(K4*60/(VLOOKUP(試験名,T_試験[],4,FALSE)+VLOOKUP(試験名,T_試験[],5,FALSE)),0)</f>
        <v>24</v>
      </c>
      <c r="M4">
        <f ca="1">COUNTIF(INDIRECT("解答入力!"&amp;ADDRESS(VLOOKUP(試験名,T_試験[#Data],13,FALSE)+2,30+C4)&amp;":"&amp;ADDRESS(VLOOKUP(試験名,T_試験[#Data],14,FALSE)+2,30+C4)),"〇")</f>
        <v>18</v>
      </c>
      <c r="N4" s="21">
        <f ca="1">ROUND(M4*60/VLOOKUP(試験名,T_試験[[#All],[書籍名および実施回]:[聴解問題数]],6,FALSE),0)</f>
        <v>39</v>
      </c>
      <c r="O4">
        <f t="shared" ca="1" si="1"/>
        <v>66</v>
      </c>
      <c r="P4" t="str">
        <f ca="1">IF(OR($B$1="N5",($B$1="N4")),IF(O4&gt;=VLOOKUP($B$1,T_基準点[],3,FALSE),"○","✕"),IF(F4&gt;=VLOOKUP($B$1,T_基準点[],3,FALSE),"○","✕"))</f>
        <v>○</v>
      </c>
      <c r="Q4" t="str">
        <f>IF(OR($B$1="N5",($B$1="N4")),"○",IF(L4&gt;=VLOOKUP($B$1,T_基準点[],5,FALSE),"○","✕"))</f>
        <v>○</v>
      </c>
      <c r="R4" t="str">
        <f ca="1">IF(N4&gt;=VLOOKUP($B$1,T_基準点[],7,FALSE),"○","✕")</f>
        <v>○</v>
      </c>
      <c r="S4">
        <f t="shared" ca="1" si="2"/>
        <v>105</v>
      </c>
      <c r="T4">
        <f ca="1">RANK(S4,T_成績[合計],0)</f>
        <v>3</v>
      </c>
      <c r="U4" t="str">
        <f ca="1">IF(AND(P4="○",Q4="○",R4="○",S4&gt;=VLOOKUP($B$1,T_基準点[],8,FALSE)),"○","×")</f>
        <v>×</v>
      </c>
      <c r="V4" s="26">
        <f ca="1">50+10*(T_成績[[#This Row],[合計]]-T_成績[[#Totals],[合計]])/$V$1</f>
        <v>49.441715274091578</v>
      </c>
    </row>
    <row r="5" spans="1:22">
      <c r="A5">
        <v>2504108</v>
      </c>
      <c r="B5" t="str">
        <v>1-13</v>
      </c>
      <c r="C5">
        <v>15</v>
      </c>
      <c r="D5" t="str">
        <v>NIRMALA BIST</v>
      </c>
      <c r="E5">
        <f ca="1">COUNTIF(INDIRECT("解答入力!"&amp;ADDRESS(VLOOKUP(試験名,T_試験[#Data],7,FALSE)+2,30+C5)&amp;":"&amp;ADDRESS(VLOOKUP(試験名,T_試験[#Data],8,FALSE)+2,30+C5)),"〇")</f>
        <v>18</v>
      </c>
      <c r="F5" s="21">
        <f ca="1">ROUND(E5*60/VLOOKUP(試験名,T_試験[[#All],[書籍名および実施回]:[聴解問題数]],3,FALSE),0)</f>
        <v>32</v>
      </c>
      <c r="G5">
        <f ca="1">COUNTIF(INDIRECT("解答入力!"&amp;ADDRESS(VLOOKUP(試験名,T_試験[#Data],9,FALSE)+2,30+C5)&amp;":"&amp;ADDRESS(VLOOKUP(試験名,T_試験[#Data],10,FALSE)+2,30+C5)),"〇")</f>
        <v>13</v>
      </c>
      <c r="H5">
        <f ca="1">ROUND(G5*60/VLOOKUP(試験名,T_試験[[#All],[書籍名および実施回]:[聴解問題数]],4,FALSE),0)</f>
        <v>31</v>
      </c>
      <c r="I5">
        <f ca="1">COUNTIF(INDIRECT("解答入力!"&amp;ADDRESS(VLOOKUP(試験名,T_試験[#Data],11,FALSE)+2,30+C5)&amp;":"&amp;ADDRESS(VLOOKUP(試験名,T_試験[#Data],12,FALSE)+2,30+C5)),"〇")</f>
        <v>3</v>
      </c>
      <c r="J5">
        <f ca="1">ROUND(I5*60/VLOOKUP(試験名,T_試験[[#All],[書籍名および実施回]:[聴解問題数]],5,FALSE),0)</f>
        <v>18</v>
      </c>
      <c r="K5">
        <f t="shared" ca="1" si="0"/>
        <v>16</v>
      </c>
      <c r="L5" s="21">
        <f ca="1">ROUND(K5*60/(VLOOKUP(試験名,T_試験[],4,FALSE)+VLOOKUP(試験名,T_試験[],5,FALSE)),0)</f>
        <v>27</v>
      </c>
      <c r="M5">
        <f ca="1">COUNTIF(INDIRECT("解答入力!"&amp;ADDRESS(VLOOKUP(試験名,T_試験[#Data],13,FALSE)+2,30+C5)&amp;":"&amp;ADDRESS(VLOOKUP(試験名,T_試験[#Data],14,FALSE)+2,30+C5)),"〇")</f>
        <v>20</v>
      </c>
      <c r="N5" s="21">
        <f ca="1">ROUND(M5*60/VLOOKUP(試験名,T_試験[[#All],[書籍名および実施回]:[聴解問題数]],6,FALSE),0)</f>
        <v>43</v>
      </c>
      <c r="O5">
        <f t="shared" ca="1" si="1"/>
        <v>59</v>
      </c>
      <c r="P5" t="str">
        <f ca="1">IF(OR($B$1="N5",($B$1="N4")),IF(O5&gt;=VLOOKUP($B$1,T_基準点[],3,FALSE),"○","✕"),IF(F5&gt;=VLOOKUP($B$1,T_基準点[],3,FALSE),"○","✕"))</f>
        <v>○</v>
      </c>
      <c r="Q5" t="str">
        <f>IF(OR($B$1="N5",($B$1="N4")),"○",IF(L5&gt;=VLOOKUP($B$1,T_基準点[],5,FALSE),"○","✕"))</f>
        <v>○</v>
      </c>
      <c r="R5" t="str">
        <f ca="1">IF(N5&gt;=VLOOKUP($B$1,T_基準点[],7,FALSE),"○","✕")</f>
        <v>○</v>
      </c>
      <c r="S5">
        <f t="shared" ca="1" si="2"/>
        <v>102</v>
      </c>
      <c r="T5">
        <f ca="1">RANK(S5,T_成績[合計],0)</f>
        <v>4</v>
      </c>
      <c r="U5" t="str">
        <f ca="1">IF(AND(P5="○",Q5="○",R5="○",S5&gt;=VLOOKUP($B$1,T_基準点[],8,FALSE)),"○","×")</f>
        <v>×</v>
      </c>
      <c r="V5" s="26">
        <f ca="1">50+10*(T_成績[[#This Row],[合計]]-T_成績[[#Totals],[合計]])/$V$1</f>
        <v>47.431890260821248</v>
      </c>
    </row>
    <row r="6" spans="1:22">
      <c r="A6">
        <v>2504114</v>
      </c>
      <c r="B6" t="str">
        <v>1-13</v>
      </c>
      <c r="C6">
        <v>16</v>
      </c>
      <c r="D6" t="str">
        <v>CHAUDHARY RAJESH</v>
      </c>
      <c r="E6">
        <f ca="1">COUNTIF(INDIRECT("解答入力!"&amp;ADDRESS(VLOOKUP(試験名,T_試験[#Data],7,FALSE)+2,30+C6)&amp;":"&amp;ADDRESS(VLOOKUP(試験名,T_試験[#Data],8,FALSE)+2,30+C6)),"〇")</f>
        <v>25</v>
      </c>
      <c r="F6" s="21">
        <f ca="1">ROUND(E6*60/VLOOKUP(試験名,T_試験[[#All],[書籍名および実施回]:[聴解問題数]],3,FALSE),0)</f>
        <v>44</v>
      </c>
      <c r="G6">
        <f ca="1">COUNTIF(INDIRECT("解答入力!"&amp;ADDRESS(VLOOKUP(試験名,T_試験[#Data],9,FALSE)+2,30+C6)&amp;":"&amp;ADDRESS(VLOOKUP(試験名,T_試験[#Data],10,FALSE)+2,30+C6)),"〇")</f>
        <v>14</v>
      </c>
      <c r="H6">
        <f ca="1">ROUND(G6*60/VLOOKUP(試験名,T_試験[[#All],[書籍名および実施回]:[聴解問題数]],4,FALSE),0)</f>
        <v>34</v>
      </c>
      <c r="I6">
        <f ca="1">COUNTIF(INDIRECT("解答入力!"&amp;ADDRESS(VLOOKUP(試験名,T_試験[#Data],11,FALSE)+2,30+C6)&amp;":"&amp;ADDRESS(VLOOKUP(試験名,T_試験[#Data],12,FALSE)+2,30+C6)),"〇")</f>
        <v>5</v>
      </c>
      <c r="J6">
        <f ca="1">ROUND(I6*60/VLOOKUP(試験名,T_試験[[#All],[書籍名および実施回]:[聴解問題数]],5,FALSE),0)</f>
        <v>30</v>
      </c>
      <c r="K6">
        <f t="shared" ca="1" si="0"/>
        <v>19</v>
      </c>
      <c r="L6" s="21">
        <f ca="1">ROUND(K6*60/(VLOOKUP(試験名,T_試験[],4,FALSE)+VLOOKUP(試験名,T_試験[],5,FALSE)),0)</f>
        <v>33</v>
      </c>
      <c r="M6">
        <f ca="1">COUNTIF(INDIRECT("解答入力!"&amp;ADDRESS(VLOOKUP(試験名,T_試験[#Data],13,FALSE)+2,30+C6)&amp;":"&amp;ADDRESS(VLOOKUP(試験名,T_試験[#Data],14,FALSE)+2,30+C6)),"〇")</f>
        <v>19</v>
      </c>
      <c r="N6" s="21">
        <f ca="1">ROUND(M6*60/VLOOKUP(試験名,T_試験[[#All],[書籍名および実施回]:[聴解問題数]],6,FALSE),0)</f>
        <v>41</v>
      </c>
      <c r="O6">
        <f t="shared" ca="1" si="1"/>
        <v>77</v>
      </c>
      <c r="P6" t="str">
        <f ca="1">IF(OR($B$1="N5",($B$1="N4")),IF(O6&gt;=VLOOKUP($B$1,T_基準点[],3,FALSE),"○","✕"),IF(F6&gt;=VLOOKUP($B$1,T_基準点[],3,FALSE),"○","✕"))</f>
        <v>○</v>
      </c>
      <c r="Q6" t="str">
        <f>IF(OR($B$1="N5",($B$1="N4")),"○",IF(L6&gt;=VLOOKUP($B$1,T_基準点[],5,FALSE),"○","✕"))</f>
        <v>○</v>
      </c>
      <c r="R6" t="str">
        <f ca="1">IF(N6&gt;=VLOOKUP($B$1,T_基準点[],7,FALSE),"○","✕")</f>
        <v>○</v>
      </c>
      <c r="S6">
        <f t="shared" ca="1" si="2"/>
        <v>118</v>
      </c>
      <c r="T6">
        <f ca="1">RANK(S6,T_成績[合計],0)</f>
        <v>2</v>
      </c>
      <c r="U6" t="str">
        <f ca="1">IF(AND(P6="○",Q6="○",R6="○",S6&gt;=VLOOKUP($B$1,T_基準点[],8,FALSE)),"○","×")</f>
        <v>×</v>
      </c>
      <c r="V6" s="26">
        <f ca="1">50+10*(T_成績[[#This Row],[合計]]-T_成績[[#Totals],[合計]])/$V$1</f>
        <v>58.150956998263013</v>
      </c>
    </row>
    <row r="7" spans="1:22">
      <c r="A7">
        <v>2510013</v>
      </c>
      <c r="B7" t="str">
        <v>1-13</v>
      </c>
      <c r="C7">
        <v>20</v>
      </c>
      <c r="D7" t="str">
        <v>LE XUAN BACH</v>
      </c>
      <c r="E7">
        <f ca="1">COUNTIF(INDIRECT("解答入力!"&amp;ADDRESS(VLOOKUP(試験名,T_試験[#Data],7,FALSE)+2,30+C7)&amp;":"&amp;ADDRESS(VLOOKUP(試験名,T_試験[#Data],8,FALSE)+2,30+C7)),"〇")</f>
        <v>30</v>
      </c>
      <c r="F7" s="21">
        <f ca="1">ROUND(E7*60/VLOOKUP(試験名,T_試験[[#All],[書籍名および実施回]:[聴解問題数]],3,FALSE),0)</f>
        <v>53</v>
      </c>
      <c r="G7">
        <f ca="1">COUNTIF(INDIRECT("解答入力!"&amp;ADDRESS(VLOOKUP(試験名,T_試験[#Data],9,FALSE)+2,30+C7)&amp;":"&amp;ADDRESS(VLOOKUP(試験名,T_試験[#Data],10,FALSE)+2,30+C7)),"〇")</f>
        <v>17</v>
      </c>
      <c r="H7">
        <f ca="1">ROUND(G7*60/VLOOKUP(試験名,T_試験[[#All],[書籍名および実施回]:[聴解問題数]],4,FALSE),0)</f>
        <v>41</v>
      </c>
      <c r="I7">
        <f ca="1">COUNTIF(INDIRECT("解答入力!"&amp;ADDRESS(VLOOKUP(試験名,T_試験[#Data],11,FALSE)+2,30+C7)&amp;":"&amp;ADDRESS(VLOOKUP(試験名,T_試験[#Data],12,FALSE)+2,30+C7)),"〇")</f>
        <v>3</v>
      </c>
      <c r="J7">
        <f ca="1">ROUND(I7*60/VLOOKUP(試験名,T_試験[[#All],[書籍名および実施回]:[聴解問題数]],5,FALSE),0)</f>
        <v>18</v>
      </c>
      <c r="K7">
        <f t="shared" ca="1" si="0"/>
        <v>20</v>
      </c>
      <c r="L7" s="21">
        <f ca="1">ROUND(K7*60/(VLOOKUP(試験名,T_試験[],4,FALSE)+VLOOKUP(試験名,T_試験[],5,FALSE)),0)</f>
        <v>34</v>
      </c>
      <c r="M7">
        <f ca="1">COUNTIF(INDIRECT("解答入力!"&amp;ADDRESS(VLOOKUP(試験名,T_試験[#Data],13,FALSE)+2,30+C7)&amp;":"&amp;ADDRESS(VLOOKUP(試験名,T_試験[#Data],14,FALSE)+2,30+C7)),"〇")</f>
        <v>19</v>
      </c>
      <c r="N7" s="21">
        <f ca="1">ROUND(M7*60/VLOOKUP(試験名,T_試験[[#All],[書籍名および実施回]:[聴解問題数]],6,FALSE),0)</f>
        <v>41</v>
      </c>
      <c r="O7">
        <f t="shared" ca="1" si="1"/>
        <v>87</v>
      </c>
      <c r="P7" t="str">
        <f ca="1">IF(OR($B$1="N5",($B$1="N4")),IF(O7&gt;=VLOOKUP($B$1,T_基準点[],3,FALSE),"○","✕"),IF(F7&gt;=VLOOKUP($B$1,T_基準点[],3,FALSE),"○","✕"))</f>
        <v>○</v>
      </c>
      <c r="Q7" t="str">
        <f>IF(OR($B$1="N5",($B$1="N4")),"○",IF(L7&gt;=VLOOKUP($B$1,T_基準点[],5,FALSE),"○","✕"))</f>
        <v>○</v>
      </c>
      <c r="R7" t="str">
        <f ca="1">IF(N7&gt;=VLOOKUP($B$1,T_基準点[],7,FALSE),"○","✕")</f>
        <v>○</v>
      </c>
      <c r="S7">
        <f t="shared" ca="1" si="2"/>
        <v>128</v>
      </c>
      <c r="T7">
        <f ca="1">RANK(S7,T_成績[合計],0)</f>
        <v>1</v>
      </c>
      <c r="U7" t="str">
        <f ca="1">IF(AND(P7="○",Q7="○",R7="○",S7&gt;=VLOOKUP($B$1,T_基準点[],8,FALSE)),"○","×")</f>
        <v>○</v>
      </c>
      <c r="V7" s="26">
        <f ca="1">50+10*(T_成績[[#This Row],[合計]]-T_成績[[#Totals],[合計]])/$V$1</f>
        <v>64.850373709164117</v>
      </c>
    </row>
    <row r="8" spans="1:22">
      <c r="A8">
        <v>2504019</v>
      </c>
      <c r="B8" t="str">
        <v>1-13</v>
      </c>
      <c r="C8">
        <v>3</v>
      </c>
      <c r="D8" t="str">
        <v>KC HIMAL</v>
      </c>
      <c r="E8">
        <f ca="1">COUNTIF(INDIRECT("解答入力!"&amp;ADDRESS(VLOOKUP(試験名,T_試験[#Data],7,FALSE)+2,30+C8)&amp;":"&amp;ADDRESS(VLOOKUP(試験名,T_試験[#Data],8,FALSE)+2,30+C8)),"〇")</f>
        <v>17</v>
      </c>
      <c r="F8" s="21">
        <f ca="1">ROUND(E8*60/VLOOKUP(試験名,T_試験[[#All],[書籍名および実施回]:[聴解問題数]],3,FALSE),0)</f>
        <v>30</v>
      </c>
      <c r="G8">
        <f ca="1">COUNTIF(INDIRECT("解答入力!"&amp;ADDRESS(VLOOKUP(試験名,T_試験[#Data],9,FALSE)+2,30+C8)&amp;":"&amp;ADDRESS(VLOOKUP(試験名,T_試験[#Data],10,FALSE)+2,30+C8)),"〇")</f>
        <v>10</v>
      </c>
      <c r="H8">
        <f ca="1">ROUND(G8*60/VLOOKUP(試験名,T_試験[[#All],[書籍名および実施回]:[聴解問題数]],4,FALSE),0)</f>
        <v>24</v>
      </c>
      <c r="I8">
        <f ca="1">COUNTIF(INDIRECT("解答入力!"&amp;ADDRESS(VLOOKUP(試験名,T_試験[#Data],11,FALSE)+2,30+C8)&amp;":"&amp;ADDRESS(VLOOKUP(試験名,T_試験[#Data],12,FALSE)+2,30+C8)),"〇")</f>
        <v>3</v>
      </c>
      <c r="J8">
        <f ca="1">ROUND(I8*60/VLOOKUP(試験名,T_試験[[#All],[書籍名および実施回]:[聴解問題数]],5,FALSE),0)</f>
        <v>18</v>
      </c>
      <c r="K8">
        <f ca="1">G8+I8</f>
        <v>13</v>
      </c>
      <c r="L8" s="21">
        <f ca="1">ROUND(K8*60/(VLOOKUP(試験名,T_試験[],4,FALSE)+VLOOKUP(試験名,T_試験[],5,FALSE)),0)</f>
        <v>22</v>
      </c>
      <c r="M8">
        <f ca="1">COUNTIF(INDIRECT("解答入力!"&amp;ADDRESS(VLOOKUP(試験名,T_試験[#Data],13,FALSE)+2,30+C8)&amp;":"&amp;ADDRESS(VLOOKUP(試験名,T_試験[#Data],14,FALSE)+2,30+C8)),"〇")</f>
        <v>13</v>
      </c>
      <c r="N8" s="21">
        <f ca="1">ROUND(M8*60/VLOOKUP(試験名,T_試験[[#All],[書籍名および実施回]:[聴解問題数]],6,FALSE),0)</f>
        <v>28</v>
      </c>
      <c r="O8">
        <f ca="1">IF(OR($B$1="N5",$B$1="N4"),F8+L8,0)</f>
        <v>52</v>
      </c>
      <c r="P8" t="str">
        <f ca="1">IF(OR($B$1="N5",($B$1="N4")),IF(O8&gt;=VLOOKUP($B$1,T_基準点[],3,FALSE),"○","✕"),IF(F8&gt;=VLOOKUP($B$1,T_基準点[],3,FALSE),"○","✕"))</f>
        <v>○</v>
      </c>
      <c r="Q8" t="str">
        <f>IF(OR($B$1="N5",($B$1="N4")),"○",IF(L8&gt;=VLOOKUP($B$1,T_基準点[],5,FALSE),"○","✕"))</f>
        <v>○</v>
      </c>
      <c r="R8" t="str">
        <f ca="1">IF(N8&gt;=VLOOKUP($B$1,T_基準点[],7,FALSE),"○","✕")</f>
        <v>○</v>
      </c>
      <c r="S8">
        <f ca="1">F8+L8+N8</f>
        <v>80</v>
      </c>
      <c r="T8">
        <f ca="1">RANK(S8,T_成績[合計],0)</f>
        <v>6</v>
      </c>
      <c r="U8" t="str">
        <f ca="1">IF(AND(P8="○",Q8="○",R8="○",S8&gt;=VLOOKUP($B$1,T_基準点[],8,FALSE)),"○","×")</f>
        <v>×</v>
      </c>
      <c r="V8" s="26">
        <f ca="1">50+10*(T_成績[[#This Row],[合計]]-T_成績[[#Totals],[合計]])/$V$1</f>
        <v>32.693173496838824</v>
      </c>
    </row>
    <row r="9" spans="1:22">
      <c r="D9" t="s">
        <v>70</v>
      </c>
      <c r="E9" t="s">
        <v>67</v>
      </c>
      <c r="F9" s="26">
        <f ca="1">SUBTOTAL(101,T_成績[文字・語彙])</f>
        <v>40.5</v>
      </c>
      <c r="G9" s="25"/>
      <c r="H9" s="25"/>
      <c r="I9" s="25"/>
      <c r="J9" s="25"/>
      <c r="K9" s="25"/>
      <c r="L9" s="26">
        <f ca="1">SUBTOTAL(101,T_成績[文法・読解])</f>
        <v>27.333333333333332</v>
      </c>
      <c r="M9" s="25"/>
      <c r="N9" s="26">
        <f ca="1">SUBTOTAL(101,T_成績[聴解])</f>
        <v>38</v>
      </c>
      <c r="S9" s="26">
        <f ca="1">SUBTOTAL(101,T_成績[合計])</f>
        <v>105.83333333333333</v>
      </c>
    </row>
  </sheetData>
  <phoneticPr fontId="1"/>
  <conditionalFormatting sqref="F3:F8 L3:L8 N3:N8">
    <cfRule type="cellIs" dxfId="22" priority="1" operator="greaterThan">
      <formula>40.2</formula>
    </cfRule>
    <cfRule type="cellIs" dxfId="21" priority="2" operator="lessThanOrEqual">
      <formula>20.4</formula>
    </cfRule>
  </conditionalFormatting>
  <pageMargins left="0.7" right="0.7" top="0.75" bottom="0.75" header="0.3" footer="0.3"/>
  <pageSetup paperSize="9" scale="78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EAF4-D178-4C7F-A1CE-50085B6A38B4}">
  <dimension ref="A1:P21"/>
  <sheetViews>
    <sheetView view="pageBreakPreview" zoomScaleNormal="100" zoomScaleSheetLayoutView="100" workbookViewId="0">
      <selection activeCell="A2" sqref="A2"/>
    </sheetView>
  </sheetViews>
  <sheetFormatPr defaultRowHeight="13.5"/>
  <cols>
    <col min="1" max="1" width="9" style="5"/>
    <col min="2" max="2" width="24.25" style="5" customWidth="1"/>
    <col min="3" max="3" width="10" style="5" bestFit="1" customWidth="1"/>
    <col min="4" max="5" width="9" style="5"/>
    <col min="6" max="6" width="10" style="5" bestFit="1" customWidth="1"/>
    <col min="7" max="14" width="9" style="5"/>
    <col min="15" max="15" width="11.75" style="5" bestFit="1" customWidth="1"/>
    <col min="16" max="16384" width="9" style="5"/>
  </cols>
  <sheetData>
    <row r="1" spans="1:16" ht="32.25" customHeight="1">
      <c r="A1" s="9" t="s">
        <v>4</v>
      </c>
      <c r="B1" s="10" t="s">
        <v>5</v>
      </c>
      <c r="C1" s="27" t="s">
        <v>7</v>
      </c>
      <c r="D1" s="28"/>
      <c r="E1" s="29"/>
      <c r="F1" s="27" t="s">
        <v>41</v>
      </c>
      <c r="G1" s="28"/>
      <c r="H1" s="29"/>
      <c r="I1" s="27" t="s">
        <v>42</v>
      </c>
      <c r="J1" s="28"/>
      <c r="K1" s="29"/>
      <c r="L1" s="27" t="s">
        <v>9</v>
      </c>
      <c r="M1" s="28"/>
      <c r="N1" s="29"/>
      <c r="O1" s="11" t="s">
        <v>11</v>
      </c>
      <c r="P1" s="19" t="s">
        <v>10</v>
      </c>
    </row>
    <row r="2" spans="1:16" ht="64.5" customHeight="1">
      <c r="A2" s="12">
        <f>T_受験者[[#This Row],[学籍番号]]</f>
        <v>2504094</v>
      </c>
      <c r="B2" s="13" t="str">
        <f>T_受験者[[#This Row],[名前]]</f>
        <v>UGESH SAPKOTA</v>
      </c>
      <c r="C2" s="14" t="s" ph="1">
        <v>63</v>
      </c>
      <c r="D2" s="22">
        <f ca="1">VLOOKUP(A2,集計!A3:N7,6,FALSE)/60</f>
        <v>0.7</v>
      </c>
      <c r="E2" s="15" t="str">
        <f ca="1">IF(学生配布用!$D2&gt;=0.67,"A",IF(学生配布用!$D2&gt;=0.34,"B","C"))</f>
        <v>A</v>
      </c>
      <c r="F2" s="16" t="s" ph="1">
        <v>64</v>
      </c>
      <c r="G2" s="22">
        <f ca="1">VLOOKUP(A2,集計!A3:N7,8,FALSE)/60</f>
        <v>0.43333333333333335</v>
      </c>
      <c r="H2" s="15" t="str">
        <f ca="1">IF(学生配布用!$G2&gt;=0.67,"A",IF(学生配布用!$G2&gt;=0.34,"B","C"))</f>
        <v>B</v>
      </c>
      <c r="I2" s="16" t="s" ph="1">
        <v>65</v>
      </c>
      <c r="J2" s="22">
        <f ca="1">VLOOKUP(A2,集計!A3:N7,10,FALSE)/60</f>
        <v>0.3</v>
      </c>
      <c r="K2" s="15" t="str">
        <f ca="1">IF(学生配布用!$J2&gt;=0.67,"A",IF(学生配布用!$J2&gt;=0.34,"B","C"))</f>
        <v>C</v>
      </c>
      <c r="L2" s="16" t="s" ph="1">
        <v>66</v>
      </c>
      <c r="M2" s="22">
        <f ca="1">VLOOKUP(A2,集計!A3:N7,14,FALSE)/60</f>
        <v>0.6</v>
      </c>
      <c r="N2" s="15" t="str">
        <f ca="1">IF(学生配布用!$M2&gt;=0.67,"A",IF(学生配布用!$M2&gt;=0.34,"B","C"))</f>
        <v>B</v>
      </c>
      <c r="O2" s="17">
        <f ca="1">VLOOKUP(A2,集計!A3:U7,19,FALSE)</f>
        <v>102</v>
      </c>
      <c r="P2" s="18" t="str">
        <f ca="1">VLOOKUP(A2,集計!A3:U7,21,FALSE)</f>
        <v>×</v>
      </c>
    </row>
    <row r="3" spans="1:16" ht="64.5" customHeight="1">
      <c r="A3" s="12">
        <f>T_受験者[[#This Row],[学籍番号]]</f>
        <v>2504103</v>
      </c>
      <c r="B3" s="13" t="str">
        <f>T_受験者[[#This Row],[名前]]</f>
        <v>DHAKAL LILA MAYA</v>
      </c>
      <c r="C3" s="14" t="s" ph="1">
        <v>63</v>
      </c>
      <c r="D3" s="22">
        <f ca="1">VLOOKUP(A3,集計!A4:N9,6,FALSE)/60</f>
        <v>0.7</v>
      </c>
      <c r="E3" s="15" t="str">
        <f ca="1">IF(学生配布用!$D3&gt;=0.67,"A",IF(学生配布用!$D3&gt;=0.34,"B","C"))</f>
        <v>A</v>
      </c>
      <c r="F3" s="16" t="s" ph="1">
        <v>64</v>
      </c>
      <c r="G3" s="22">
        <f ca="1">VLOOKUP(A3,集計!A4:N9,8,FALSE)/60</f>
        <v>0.43333333333333335</v>
      </c>
      <c r="H3" s="15" t="str">
        <f ca="1">IF(学生配布用!$G3&gt;=0.67,"A",IF(学生配布用!$G3&gt;=0.34,"B","C"))</f>
        <v>B</v>
      </c>
      <c r="I3" s="16" t="s" ph="1">
        <v>65</v>
      </c>
      <c r="J3" s="22">
        <f ca="1">VLOOKUP(A3,集計!A4:N9,10,FALSE)/60</f>
        <v>0.3</v>
      </c>
      <c r="K3" s="15" t="str">
        <f ca="1">IF(学生配布用!$J3&gt;=0.67,"A",IF(学生配布用!$J3&gt;=0.34,"B","C"))</f>
        <v>C</v>
      </c>
      <c r="L3" s="16" t="s" ph="1">
        <v>66</v>
      </c>
      <c r="M3" s="22">
        <f ca="1">VLOOKUP(A3,集計!A4:N9,14,FALSE)/60</f>
        <v>0.65</v>
      </c>
      <c r="N3" s="15" t="str">
        <f ca="1">IF(学生配布用!$M3&gt;=0.67,"A",IF(学生配布用!$M3&gt;=0.34,"B","C"))</f>
        <v>B</v>
      </c>
      <c r="O3" s="17">
        <f ca="1">VLOOKUP(A3,集計!A4:U9,19,FALSE)</f>
        <v>105</v>
      </c>
      <c r="P3" s="18" t="str">
        <f ca="1">VLOOKUP(A3,集計!A4:U9,21,FALSE)</f>
        <v>×</v>
      </c>
    </row>
    <row r="4" spans="1:16" ht="64.5" customHeight="1">
      <c r="A4" s="12">
        <f>T_受験者[[#This Row],[学籍番号]]</f>
        <v>2504108</v>
      </c>
      <c r="B4" s="13" t="str">
        <f>T_受験者[[#This Row],[名前]]</f>
        <v>NIRMALA BIST</v>
      </c>
      <c r="C4" s="14" t="s" ph="1">
        <v>63</v>
      </c>
      <c r="D4" s="22">
        <f ca="1">VLOOKUP(A4,集計!A5:N10,6,FALSE)/60</f>
        <v>0.53333333333333333</v>
      </c>
      <c r="E4" s="15" t="str">
        <f ca="1">IF(学生配布用!$D4&gt;=0.67,"A",IF(学生配布用!$D4&gt;=0.34,"B","C"))</f>
        <v>B</v>
      </c>
      <c r="F4" s="16" t="s" ph="1">
        <v>64</v>
      </c>
      <c r="G4" s="22">
        <f ca="1">VLOOKUP(A4,集計!A5:N10,8,FALSE)/60</f>
        <v>0.51666666666666672</v>
      </c>
      <c r="H4" s="15" t="str">
        <f ca="1">IF(学生配布用!$G4&gt;=0.67,"A",IF(学生配布用!$G4&gt;=0.34,"B","C"))</f>
        <v>B</v>
      </c>
      <c r="I4" s="16" t="s" ph="1">
        <v>65</v>
      </c>
      <c r="J4" s="22">
        <f ca="1">VLOOKUP(A4,集計!A5:N10,10,FALSE)/60</f>
        <v>0.3</v>
      </c>
      <c r="K4" s="15" t="str">
        <f ca="1">IF(学生配布用!$J4&gt;=0.67,"A",IF(学生配布用!$J4&gt;=0.34,"B","C"))</f>
        <v>C</v>
      </c>
      <c r="L4" s="16" t="s" ph="1">
        <v>66</v>
      </c>
      <c r="M4" s="22">
        <f ca="1">VLOOKUP(A4,集計!A5:N10,14,FALSE)/60</f>
        <v>0.71666666666666667</v>
      </c>
      <c r="N4" s="15" t="str">
        <f ca="1">IF(学生配布用!$M4&gt;=0.67,"A",IF(学生配布用!$M4&gt;=0.34,"B","C"))</f>
        <v>A</v>
      </c>
      <c r="O4" s="17">
        <f ca="1">VLOOKUP(A4,集計!A5:U10,19,FALSE)</f>
        <v>102</v>
      </c>
      <c r="P4" s="18" t="str">
        <f ca="1">VLOOKUP(A4,集計!A5:U10,21,FALSE)</f>
        <v>×</v>
      </c>
    </row>
    <row r="5" spans="1:16" ht="64.5" customHeight="1">
      <c r="A5" s="12">
        <f>T_受験者[[#This Row],[学籍番号]]</f>
        <v>2504114</v>
      </c>
      <c r="B5" s="13" t="str">
        <f>T_受験者[[#This Row],[名前]]</f>
        <v>CHAUDHARY RAJESH</v>
      </c>
      <c r="C5" s="14" t="s" ph="1">
        <v>63</v>
      </c>
      <c r="D5" s="22">
        <f ca="1">VLOOKUP(A5,集計!A6:N11,6,FALSE)/60</f>
        <v>0.73333333333333328</v>
      </c>
      <c r="E5" s="15" t="str">
        <f ca="1">IF(学生配布用!$D5&gt;=0.67,"A",IF(学生配布用!$D5&gt;=0.34,"B","C"))</f>
        <v>A</v>
      </c>
      <c r="F5" s="16" t="s" ph="1">
        <v>64</v>
      </c>
      <c r="G5" s="22">
        <f ca="1">VLOOKUP(A5,集計!A6:N11,8,FALSE)/60</f>
        <v>0.56666666666666665</v>
      </c>
      <c r="H5" s="15" t="str">
        <f ca="1">IF(学生配布用!$G5&gt;=0.67,"A",IF(学生配布用!$G5&gt;=0.34,"B","C"))</f>
        <v>B</v>
      </c>
      <c r="I5" s="16" t="s" ph="1">
        <v>65</v>
      </c>
      <c r="J5" s="22">
        <f ca="1">VLOOKUP(A5,集計!A6:N11,10,FALSE)/60</f>
        <v>0.5</v>
      </c>
      <c r="K5" s="15" t="str">
        <f ca="1">IF(学生配布用!$J5&gt;=0.67,"A",IF(学生配布用!$J5&gt;=0.34,"B","C"))</f>
        <v>B</v>
      </c>
      <c r="L5" s="16" t="s" ph="1">
        <v>66</v>
      </c>
      <c r="M5" s="22">
        <f ca="1">VLOOKUP(A5,集計!A6:N11,14,FALSE)/60</f>
        <v>0.68333333333333335</v>
      </c>
      <c r="N5" s="15" t="str">
        <f ca="1">IF(学生配布用!$M5&gt;=0.67,"A",IF(学生配布用!$M5&gt;=0.34,"B","C"))</f>
        <v>A</v>
      </c>
      <c r="O5" s="17">
        <f ca="1">VLOOKUP(A5,集計!A6:U11,19,FALSE)</f>
        <v>118</v>
      </c>
      <c r="P5" s="18" t="str">
        <f ca="1">VLOOKUP(A5,集計!A6:U11,21,FALSE)</f>
        <v>×</v>
      </c>
    </row>
    <row r="6" spans="1:16" ht="64.5" customHeight="1">
      <c r="A6" s="12">
        <f>T_受験者[[#This Row],[学籍番号]]</f>
        <v>2510013</v>
      </c>
      <c r="B6" s="13" t="str">
        <f>T_受験者[[#This Row],[名前]]</f>
        <v>LE XUAN BACH</v>
      </c>
      <c r="C6" s="14" t="s" ph="1">
        <v>63</v>
      </c>
      <c r="D6" s="22">
        <f ca="1">VLOOKUP(A6,集計!A7:N12,6,FALSE)/60</f>
        <v>0.8833333333333333</v>
      </c>
      <c r="E6" s="15" t="str">
        <f ca="1">IF(学生配布用!$D6&gt;=0.67,"A",IF(学生配布用!$D6&gt;=0.34,"B","C"))</f>
        <v>A</v>
      </c>
      <c r="F6" s="16" t="s" ph="1">
        <v>64</v>
      </c>
      <c r="G6" s="22">
        <f ca="1">VLOOKUP(A6,集計!A7:N12,8,FALSE)/60</f>
        <v>0.68333333333333335</v>
      </c>
      <c r="H6" s="15" t="str">
        <f ca="1">IF(学生配布用!$G6&gt;=0.67,"A",IF(学生配布用!$G6&gt;=0.34,"B","C"))</f>
        <v>A</v>
      </c>
      <c r="I6" s="16" t="s" ph="1">
        <v>65</v>
      </c>
      <c r="J6" s="22">
        <f ca="1">VLOOKUP(A6,集計!A7:N12,10,FALSE)/60</f>
        <v>0.3</v>
      </c>
      <c r="K6" s="15" t="str">
        <f ca="1">IF(学生配布用!$J6&gt;=0.67,"A",IF(学生配布用!$J6&gt;=0.34,"B","C"))</f>
        <v>C</v>
      </c>
      <c r="L6" s="16" t="s" ph="1">
        <v>66</v>
      </c>
      <c r="M6" s="22">
        <f ca="1">VLOOKUP(A6,集計!A7:N12,14,FALSE)/60</f>
        <v>0.68333333333333335</v>
      </c>
      <c r="N6" s="15" t="str">
        <f ca="1">IF(学生配布用!$M6&gt;=0.67,"A",IF(学生配布用!$M6&gt;=0.34,"B","C"))</f>
        <v>A</v>
      </c>
      <c r="O6" s="17">
        <f ca="1">VLOOKUP(A6,集計!A7:U12,19,FALSE)</f>
        <v>128</v>
      </c>
      <c r="P6" s="18" t="str">
        <f ca="1">VLOOKUP(A6,集計!A7:U12,21,FALSE)</f>
        <v>○</v>
      </c>
    </row>
    <row r="7" spans="1:16" ht="64.5" customHeight="1">
      <c r="A7" s="12">
        <f>T_受験者[[#This Row],[学籍番号]]</f>
        <v>2504019</v>
      </c>
      <c r="B7" s="13" t="str">
        <f>T_受験者[[#This Row],[名前]]</f>
        <v>KC HIMAL</v>
      </c>
      <c r="C7" s="14" t="s" ph="1">
        <v>63</v>
      </c>
      <c r="D7" s="22" t="e">
        <f>VLOOKUP(A7,集計!A9:N13,6,FALSE)/60</f>
        <v>#N/A</v>
      </c>
      <c r="E7" s="15" t="e">
        <f>IF(学生配布用!$D7&gt;=0.67,"A",IF(学生配布用!$D7&gt;=0.34,"B","C"))</f>
        <v>#N/A</v>
      </c>
      <c r="F7" s="16" t="s" ph="1">
        <v>64</v>
      </c>
      <c r="G7" s="22" t="e">
        <f>VLOOKUP(A7,集計!A9:N13,8,FALSE)/60</f>
        <v>#N/A</v>
      </c>
      <c r="H7" s="15" t="e">
        <f>IF(学生配布用!$G7&gt;=0.67,"A",IF(学生配布用!$G7&gt;=0.34,"B","C"))</f>
        <v>#N/A</v>
      </c>
      <c r="I7" s="16" t="s" ph="1">
        <v>65</v>
      </c>
      <c r="J7" s="22" t="e">
        <f>VLOOKUP(A7,集計!A9:N13,10,FALSE)/60</f>
        <v>#N/A</v>
      </c>
      <c r="K7" s="15" t="e">
        <f>IF(学生配布用!$J7&gt;=0.67,"A",IF(学生配布用!$J7&gt;=0.34,"B","C"))</f>
        <v>#N/A</v>
      </c>
      <c r="L7" s="16" t="s" ph="1">
        <v>66</v>
      </c>
      <c r="M7" s="22" t="e">
        <f>VLOOKUP(A7,集計!A9:N13,14,FALSE)/60</f>
        <v>#N/A</v>
      </c>
      <c r="N7" s="15" t="e">
        <f>IF(学生配布用!$M7&gt;=0.67,"A",IF(学生配布用!$M7&gt;=0.34,"B","C"))</f>
        <v>#N/A</v>
      </c>
      <c r="O7" s="17" t="e">
        <f>VLOOKUP(A7,集計!A9:U13,19,FALSE)</f>
        <v>#N/A</v>
      </c>
      <c r="P7" s="18" t="e">
        <f>VLOOKUP(A7,集計!A9:U13,21,FALSE)</f>
        <v>#N/A</v>
      </c>
    </row>
    <row r="8" spans="1:16" ht="64.5" customHeight="1">
      <c r="A8" s="12" t="e">
        <f>T_受験者[[#This Row],[学籍番号]]</f>
        <v>#VALUE!</v>
      </c>
      <c r="B8" s="13" t="e">
        <f>T_受験者[[#This Row],[名前]]</f>
        <v>#VALUE!</v>
      </c>
      <c r="C8" s="14" t="s" ph="1">
        <v>63</v>
      </c>
      <c r="D8" s="22" t="e">
        <f>VLOOKUP(A8,集計!A9:N14,6,FALSE)/60</f>
        <v>#VALUE!</v>
      </c>
      <c r="E8" s="15" t="e">
        <f>IF(学生配布用!$D8&gt;=0.67,"A",IF(学生配布用!$D8&gt;=0.34,"B","C"))</f>
        <v>#VALUE!</v>
      </c>
      <c r="F8" s="16" t="s" ph="1">
        <v>64</v>
      </c>
      <c r="G8" s="22" t="e">
        <f>VLOOKUP(A8,集計!A9:N14,8,FALSE)/60</f>
        <v>#VALUE!</v>
      </c>
      <c r="H8" s="15" t="e">
        <f>IF(学生配布用!$G8&gt;=0.67,"A",IF(学生配布用!$G8&gt;=0.34,"B","C"))</f>
        <v>#VALUE!</v>
      </c>
      <c r="I8" s="16" t="s" ph="1">
        <v>65</v>
      </c>
      <c r="J8" s="22" t="e">
        <f>VLOOKUP(A8,集計!A9:N14,10,FALSE)/60</f>
        <v>#VALUE!</v>
      </c>
      <c r="K8" s="15" t="e">
        <f>IF(学生配布用!$J8&gt;=0.67,"A",IF(学生配布用!$J8&gt;=0.34,"B","C"))</f>
        <v>#VALUE!</v>
      </c>
      <c r="L8" s="16" t="s" ph="1">
        <v>66</v>
      </c>
      <c r="M8" s="22" t="e">
        <f>VLOOKUP(A8,集計!A9:N14,14,FALSE)/60</f>
        <v>#VALUE!</v>
      </c>
      <c r="N8" s="15" t="e">
        <f>IF(学生配布用!$M8&gt;=0.67,"A",IF(学生配布用!$M8&gt;=0.34,"B","C"))</f>
        <v>#VALUE!</v>
      </c>
      <c r="O8" s="17" t="e">
        <f>VLOOKUP(A8,集計!A9:U14,19,FALSE)</f>
        <v>#VALUE!</v>
      </c>
      <c r="P8" s="18" t="e">
        <f>VLOOKUP(A8,集計!A9:U14,21,FALSE)</f>
        <v>#VALUE!</v>
      </c>
    </row>
    <row r="9" spans="1:16" ht="64.5" customHeight="1">
      <c r="A9" s="12" t="e">
        <f>T_受験者[[#This Row],[学籍番号]]</f>
        <v>#VALUE!</v>
      </c>
      <c r="B9" s="13" t="e">
        <f>T_受験者[[#This Row],[名前]]</f>
        <v>#VALUE!</v>
      </c>
      <c r="C9" s="14" t="s" ph="1">
        <v>63</v>
      </c>
      <c r="D9" s="22" t="e">
        <f>VLOOKUP(A9,集計!A9:N15,6,FALSE)/60</f>
        <v>#VALUE!</v>
      </c>
      <c r="E9" s="15" t="e">
        <f>IF(学生配布用!$D9&gt;=0.67,"A",IF(学生配布用!$D9&gt;=0.34,"B","C"))</f>
        <v>#VALUE!</v>
      </c>
      <c r="F9" s="16" t="s" ph="1">
        <v>64</v>
      </c>
      <c r="G9" s="22" t="e">
        <f>VLOOKUP(A9,集計!A9:N15,8,FALSE)/60</f>
        <v>#VALUE!</v>
      </c>
      <c r="H9" s="15" t="e">
        <f>IF(学生配布用!$G9&gt;=0.67,"A",IF(学生配布用!$G9&gt;=0.34,"B","C"))</f>
        <v>#VALUE!</v>
      </c>
      <c r="I9" s="16" t="s" ph="1">
        <v>65</v>
      </c>
      <c r="J9" s="22" t="e">
        <f>VLOOKUP(A9,集計!A9:N15,10,FALSE)/60</f>
        <v>#VALUE!</v>
      </c>
      <c r="K9" s="15" t="e">
        <f>IF(学生配布用!$J9&gt;=0.67,"A",IF(学生配布用!$J9&gt;=0.34,"B","C"))</f>
        <v>#VALUE!</v>
      </c>
      <c r="L9" s="16" t="s" ph="1">
        <v>66</v>
      </c>
      <c r="M9" s="22" t="e">
        <f>VLOOKUP(A9,集計!A9:N15,14,FALSE)/60</f>
        <v>#VALUE!</v>
      </c>
      <c r="N9" s="15" t="e">
        <f>IF(学生配布用!$M9&gt;=0.67,"A",IF(学生配布用!$M9&gt;=0.34,"B","C"))</f>
        <v>#VALUE!</v>
      </c>
      <c r="O9" s="17" t="e">
        <f>VLOOKUP(A9,集計!A9:U15,19,FALSE)</f>
        <v>#VALUE!</v>
      </c>
      <c r="P9" s="18" t="e">
        <f>VLOOKUP(A9,集計!A9:U15,21,FALSE)</f>
        <v>#VALUE!</v>
      </c>
    </row>
    <row r="10" spans="1:16" ht="64.5" customHeight="1">
      <c r="A10" s="12" t="e">
        <f>T_受験者[[#This Row],[学籍番号]]</f>
        <v>#VALUE!</v>
      </c>
      <c r="B10" s="13" t="e">
        <f>T_受験者[[#This Row],[名前]]</f>
        <v>#VALUE!</v>
      </c>
      <c r="C10" s="14" t="s" ph="1">
        <v>63</v>
      </c>
      <c r="D10" s="22" t="e">
        <f>VLOOKUP(A10,集計!A9:N16,6,FALSE)/60</f>
        <v>#VALUE!</v>
      </c>
      <c r="E10" s="15" t="e">
        <f>IF(学生配布用!$D10&gt;=0.67,"A",IF(学生配布用!$D10&gt;=0.34,"B","C"))</f>
        <v>#VALUE!</v>
      </c>
      <c r="F10" s="16" t="s" ph="1">
        <v>64</v>
      </c>
      <c r="G10" s="22" t="e">
        <f>VLOOKUP(A10,集計!A9:N16,8,FALSE)/60</f>
        <v>#VALUE!</v>
      </c>
      <c r="H10" s="15" t="e">
        <f>IF(学生配布用!$G10&gt;=0.67,"A",IF(学生配布用!$G10&gt;=0.34,"B","C"))</f>
        <v>#VALUE!</v>
      </c>
      <c r="I10" s="16" t="s" ph="1">
        <v>65</v>
      </c>
      <c r="J10" s="22" t="e">
        <f>VLOOKUP(A10,集計!A9:N16,10,FALSE)/60</f>
        <v>#VALUE!</v>
      </c>
      <c r="K10" s="15" t="e">
        <f>IF(学生配布用!$J10&gt;=0.67,"A",IF(学生配布用!$J10&gt;=0.34,"B","C"))</f>
        <v>#VALUE!</v>
      </c>
      <c r="L10" s="16" t="s" ph="1">
        <v>66</v>
      </c>
      <c r="M10" s="22" t="e">
        <f>VLOOKUP(A10,集計!A9:N16,14,FALSE)/60</f>
        <v>#VALUE!</v>
      </c>
      <c r="N10" s="15" t="e">
        <f>IF(学生配布用!$M10&gt;=0.67,"A",IF(学生配布用!$M10&gt;=0.34,"B","C"))</f>
        <v>#VALUE!</v>
      </c>
      <c r="O10" s="17" t="e">
        <f>VLOOKUP(A10,集計!A9:U16,19,FALSE)</f>
        <v>#VALUE!</v>
      </c>
      <c r="P10" s="18" t="e">
        <f>VLOOKUP(A10,集計!A9:U16,21,FALSE)</f>
        <v>#VALUE!</v>
      </c>
    </row>
    <row r="11" spans="1:16" ht="64.5" customHeight="1">
      <c r="A11" s="12" t="e">
        <f>T_受験者[[#This Row],[学籍番号]]</f>
        <v>#VALUE!</v>
      </c>
      <c r="B11" s="13" t="e">
        <f>T_受験者[[#This Row],[名前]]</f>
        <v>#VALUE!</v>
      </c>
      <c r="C11" s="14" t="s" ph="1">
        <v>63</v>
      </c>
      <c r="D11" s="22" t="e">
        <f>VLOOKUP(A11,集計!A9:N17,6,FALSE)/60</f>
        <v>#VALUE!</v>
      </c>
      <c r="E11" s="15" t="e">
        <f>IF(学生配布用!$D11&gt;=0.67,"A",IF(学生配布用!$D11&gt;=0.34,"B","C"))</f>
        <v>#VALUE!</v>
      </c>
      <c r="F11" s="16" t="s" ph="1">
        <v>64</v>
      </c>
      <c r="G11" s="22" t="e">
        <f>VLOOKUP(A11,集計!A9:N17,8,FALSE)/60</f>
        <v>#VALUE!</v>
      </c>
      <c r="H11" s="15" t="e">
        <f>IF(学生配布用!$G11&gt;=0.67,"A",IF(学生配布用!$G11&gt;=0.34,"B","C"))</f>
        <v>#VALUE!</v>
      </c>
      <c r="I11" s="16" t="s" ph="1">
        <v>65</v>
      </c>
      <c r="J11" s="22" t="e">
        <f>VLOOKUP(A11,集計!A9:N17,10,FALSE)/60</f>
        <v>#VALUE!</v>
      </c>
      <c r="K11" s="15" t="e">
        <f>IF(学生配布用!$J11&gt;=0.67,"A",IF(学生配布用!$J11&gt;=0.34,"B","C"))</f>
        <v>#VALUE!</v>
      </c>
      <c r="L11" s="16" t="s" ph="1">
        <v>66</v>
      </c>
      <c r="M11" s="22" t="e">
        <f>VLOOKUP(A11,集計!A9:N17,14,FALSE)/60</f>
        <v>#VALUE!</v>
      </c>
      <c r="N11" s="15" t="e">
        <f>IF(学生配布用!$M11&gt;=0.67,"A",IF(学生配布用!$M11&gt;=0.34,"B","C"))</f>
        <v>#VALUE!</v>
      </c>
      <c r="O11" s="17" t="e">
        <f>VLOOKUP(A11,集計!A9:U17,19,FALSE)</f>
        <v>#VALUE!</v>
      </c>
      <c r="P11" s="18" t="e">
        <f>VLOOKUP(A11,集計!A9:U17,21,FALSE)</f>
        <v>#VALUE!</v>
      </c>
    </row>
    <row r="12" spans="1:16" ht="64.5" customHeight="1">
      <c r="A12" s="12" t="e">
        <f>T_受験者[[#This Row],[学籍番号]]</f>
        <v>#VALUE!</v>
      </c>
      <c r="B12" s="13" t="e">
        <f>T_受験者[[#This Row],[名前]]</f>
        <v>#VALUE!</v>
      </c>
      <c r="C12" s="14" t="s" ph="1">
        <v>63</v>
      </c>
      <c r="D12" s="22" t="e">
        <f>VLOOKUP(A12,集計!A9:N18,6,FALSE)/60</f>
        <v>#VALUE!</v>
      </c>
      <c r="E12" s="15" t="e">
        <f>IF(学生配布用!$D12&gt;=0.67,"A",IF(学生配布用!$D12&gt;=0.34,"B","C"))</f>
        <v>#VALUE!</v>
      </c>
      <c r="F12" s="16" t="s" ph="1">
        <v>64</v>
      </c>
      <c r="G12" s="22" t="e">
        <f>VLOOKUP(A12,集計!A9:N18,8,FALSE)/60</f>
        <v>#VALUE!</v>
      </c>
      <c r="H12" s="15" t="e">
        <f>IF(学生配布用!$G12&gt;=0.67,"A",IF(学生配布用!$G12&gt;=0.34,"B","C"))</f>
        <v>#VALUE!</v>
      </c>
      <c r="I12" s="16" t="s" ph="1">
        <v>65</v>
      </c>
      <c r="J12" s="22" t="e">
        <f>VLOOKUP(A12,集計!A9:N18,10,FALSE)/60</f>
        <v>#VALUE!</v>
      </c>
      <c r="K12" s="15" t="e">
        <f>IF(学生配布用!$J12&gt;=0.67,"A",IF(学生配布用!$J12&gt;=0.34,"B","C"))</f>
        <v>#VALUE!</v>
      </c>
      <c r="L12" s="16" t="s" ph="1">
        <v>66</v>
      </c>
      <c r="M12" s="22" t="e">
        <f>VLOOKUP(A12,集計!A9:N18,14,FALSE)/60</f>
        <v>#VALUE!</v>
      </c>
      <c r="N12" s="15" t="e">
        <f>IF(学生配布用!$M12&gt;=0.67,"A",IF(学生配布用!$M12&gt;=0.34,"B","C"))</f>
        <v>#VALUE!</v>
      </c>
      <c r="O12" s="17" t="e">
        <f>VLOOKUP(A12,集計!A9:U18,19,FALSE)</f>
        <v>#VALUE!</v>
      </c>
      <c r="P12" s="18" t="e">
        <f>VLOOKUP(A12,集計!A9:U18,21,FALSE)</f>
        <v>#VALUE!</v>
      </c>
    </row>
    <row r="13" spans="1:16" ht="64.5" customHeight="1">
      <c r="A13" s="12" t="e">
        <f>T_受験者[[#This Row],[学籍番号]]</f>
        <v>#VALUE!</v>
      </c>
      <c r="B13" s="13" t="e">
        <f>T_受験者[[#This Row],[名前]]</f>
        <v>#VALUE!</v>
      </c>
      <c r="C13" s="14" t="s" ph="1">
        <v>63</v>
      </c>
      <c r="D13" s="22" t="e">
        <f>VLOOKUP(A13,集計!A9:N19,6,FALSE)/60</f>
        <v>#VALUE!</v>
      </c>
      <c r="E13" s="15" t="e">
        <f>IF(学生配布用!$D13&gt;=0.67,"A",IF(学生配布用!$D13&gt;=0.34,"B","C"))</f>
        <v>#VALUE!</v>
      </c>
      <c r="F13" s="16" t="s" ph="1">
        <v>64</v>
      </c>
      <c r="G13" s="22" t="e">
        <f>VLOOKUP(A13,集計!A9:N19,8,FALSE)/60</f>
        <v>#VALUE!</v>
      </c>
      <c r="H13" s="15" t="e">
        <f>IF(学生配布用!$G13&gt;=0.67,"A",IF(学生配布用!$G13&gt;=0.34,"B","C"))</f>
        <v>#VALUE!</v>
      </c>
      <c r="I13" s="16" t="s" ph="1">
        <v>65</v>
      </c>
      <c r="J13" s="22" t="e">
        <f>VLOOKUP(A13,集計!A9:N19,10,FALSE)/60</f>
        <v>#VALUE!</v>
      </c>
      <c r="K13" s="15" t="e">
        <f>IF(学生配布用!$J13&gt;=0.67,"A",IF(学生配布用!$J13&gt;=0.34,"B","C"))</f>
        <v>#VALUE!</v>
      </c>
      <c r="L13" s="16" t="s" ph="1">
        <v>66</v>
      </c>
      <c r="M13" s="22" t="e">
        <f>VLOOKUP(A13,集計!A9:N19,14,FALSE)/60</f>
        <v>#VALUE!</v>
      </c>
      <c r="N13" s="15" t="e">
        <f>IF(学生配布用!$M13&gt;=0.67,"A",IF(学生配布用!$M13&gt;=0.34,"B","C"))</f>
        <v>#VALUE!</v>
      </c>
      <c r="O13" s="17" t="e">
        <f>VLOOKUP(A13,集計!A9:U19,19,FALSE)</f>
        <v>#VALUE!</v>
      </c>
      <c r="P13" s="18" t="e">
        <f>VLOOKUP(A13,集計!A9:U19,21,FALSE)</f>
        <v>#VALUE!</v>
      </c>
    </row>
    <row r="14" spans="1:16" ht="64.5" customHeight="1">
      <c r="A14" s="12" t="e">
        <f>T_受験者[[#This Row],[学籍番号]]</f>
        <v>#VALUE!</v>
      </c>
      <c r="B14" s="13" t="e">
        <f>T_受験者[[#This Row],[名前]]</f>
        <v>#VALUE!</v>
      </c>
      <c r="C14" s="14" t="s" ph="1">
        <v>63</v>
      </c>
      <c r="D14" s="22" t="e">
        <f>VLOOKUP(A14,集計!A9:N20,6,FALSE)/60</f>
        <v>#VALUE!</v>
      </c>
      <c r="E14" s="15" t="e">
        <f>IF(学生配布用!$D14&gt;=0.67,"A",IF(学生配布用!$D14&gt;=0.34,"B","C"))</f>
        <v>#VALUE!</v>
      </c>
      <c r="F14" s="16" t="s" ph="1">
        <v>64</v>
      </c>
      <c r="G14" s="22" t="e">
        <f>VLOOKUP(A14,集計!A9:N20,8,FALSE)/60</f>
        <v>#VALUE!</v>
      </c>
      <c r="H14" s="15" t="e">
        <f>IF(学生配布用!$G14&gt;=0.67,"A",IF(学生配布用!$G14&gt;=0.34,"B","C"))</f>
        <v>#VALUE!</v>
      </c>
      <c r="I14" s="16" t="s" ph="1">
        <v>65</v>
      </c>
      <c r="J14" s="22" t="e">
        <f>VLOOKUP(A14,集計!A9:N20,10,FALSE)/60</f>
        <v>#VALUE!</v>
      </c>
      <c r="K14" s="15" t="e">
        <f>IF(学生配布用!$J14&gt;=0.67,"A",IF(学生配布用!$J14&gt;=0.34,"B","C"))</f>
        <v>#VALUE!</v>
      </c>
      <c r="L14" s="16" t="s" ph="1">
        <v>66</v>
      </c>
      <c r="M14" s="22" t="e">
        <f>VLOOKUP(A14,集計!A9:N20,14,FALSE)/60</f>
        <v>#VALUE!</v>
      </c>
      <c r="N14" s="15" t="e">
        <f>IF(学生配布用!$M14&gt;=0.67,"A",IF(学生配布用!$M14&gt;=0.34,"B","C"))</f>
        <v>#VALUE!</v>
      </c>
      <c r="O14" s="17" t="e">
        <f>VLOOKUP(A14,集計!A9:U20,19,FALSE)</f>
        <v>#VALUE!</v>
      </c>
      <c r="P14" s="18" t="e">
        <f>VLOOKUP(A14,集計!A9:U20,21,FALSE)</f>
        <v>#VALUE!</v>
      </c>
    </row>
    <row r="15" spans="1:16" ht="64.5" customHeight="1">
      <c r="A15" s="12" t="e">
        <f>T_受験者[[#This Row],[学籍番号]]</f>
        <v>#VALUE!</v>
      </c>
      <c r="B15" s="13" t="e">
        <f>T_受験者[[#This Row],[名前]]</f>
        <v>#VALUE!</v>
      </c>
      <c r="C15" s="14" t="s" ph="1">
        <v>63</v>
      </c>
      <c r="D15" s="22" t="e">
        <f>VLOOKUP(A15,集計!A9:N21,6,FALSE)/60</f>
        <v>#VALUE!</v>
      </c>
      <c r="E15" s="15" t="e">
        <f>IF(学生配布用!$D15&gt;=0.67,"A",IF(学生配布用!$D15&gt;=0.34,"B","C"))</f>
        <v>#VALUE!</v>
      </c>
      <c r="F15" s="16" t="s" ph="1">
        <v>64</v>
      </c>
      <c r="G15" s="22" t="e">
        <f>VLOOKUP(A15,集計!A9:N21,8,FALSE)/60</f>
        <v>#VALUE!</v>
      </c>
      <c r="H15" s="15" t="e">
        <f>IF(学生配布用!$G15&gt;=0.67,"A",IF(学生配布用!$G15&gt;=0.34,"B","C"))</f>
        <v>#VALUE!</v>
      </c>
      <c r="I15" s="16" t="s" ph="1">
        <v>65</v>
      </c>
      <c r="J15" s="22" t="e">
        <f>VLOOKUP(A15,集計!A9:N21,10,FALSE)/60</f>
        <v>#VALUE!</v>
      </c>
      <c r="K15" s="15" t="e">
        <f>IF(学生配布用!$J15&gt;=0.67,"A",IF(学生配布用!$J15&gt;=0.34,"B","C"))</f>
        <v>#VALUE!</v>
      </c>
      <c r="L15" s="16" t="s" ph="1">
        <v>66</v>
      </c>
      <c r="M15" s="22" t="e">
        <f>VLOOKUP(A15,集計!A9:N21,14,FALSE)/60</f>
        <v>#VALUE!</v>
      </c>
      <c r="N15" s="15" t="e">
        <f>IF(学生配布用!$M15&gt;=0.67,"A",IF(学生配布用!$M15&gt;=0.34,"B","C"))</f>
        <v>#VALUE!</v>
      </c>
      <c r="O15" s="17" t="e">
        <f>VLOOKUP(A15,集計!A9:U21,19,FALSE)</f>
        <v>#VALUE!</v>
      </c>
      <c r="P15" s="18" t="e">
        <f>VLOOKUP(A15,集計!A9:U21,21,FALSE)</f>
        <v>#VALUE!</v>
      </c>
    </row>
    <row r="16" spans="1:16" ht="64.5" customHeight="1">
      <c r="A16" s="12" t="e">
        <f>T_受験者[[#This Row],[学籍番号]]</f>
        <v>#VALUE!</v>
      </c>
      <c r="B16" s="13" t="e">
        <f>T_受験者[[#This Row],[名前]]</f>
        <v>#VALUE!</v>
      </c>
      <c r="C16" s="14" t="s" ph="1">
        <v>63</v>
      </c>
      <c r="D16" s="22" t="e">
        <f>VLOOKUP(A16,集計!A9:N22,6,FALSE)/60</f>
        <v>#VALUE!</v>
      </c>
      <c r="E16" s="15" t="e">
        <f>IF(学生配布用!$D16&gt;=0.67,"A",IF(学生配布用!$D16&gt;=0.34,"B","C"))</f>
        <v>#VALUE!</v>
      </c>
      <c r="F16" s="16" t="s" ph="1">
        <v>64</v>
      </c>
      <c r="G16" s="22" t="e">
        <f>VLOOKUP(A16,集計!A9:N22,8,FALSE)/60</f>
        <v>#VALUE!</v>
      </c>
      <c r="H16" s="15" t="e">
        <f>IF(学生配布用!$G16&gt;=0.67,"A",IF(学生配布用!$G16&gt;=0.34,"B","C"))</f>
        <v>#VALUE!</v>
      </c>
      <c r="I16" s="16" t="s" ph="1">
        <v>65</v>
      </c>
      <c r="J16" s="22" t="e">
        <f>VLOOKUP(A16,集計!A9:N22,10,FALSE)/60</f>
        <v>#VALUE!</v>
      </c>
      <c r="K16" s="15" t="e">
        <f>IF(学生配布用!$J16&gt;=0.67,"A",IF(学生配布用!$J16&gt;=0.34,"B","C"))</f>
        <v>#VALUE!</v>
      </c>
      <c r="L16" s="16" t="s" ph="1">
        <v>66</v>
      </c>
      <c r="M16" s="22" t="e">
        <f>VLOOKUP(A16,集計!A9:N22,14,FALSE)/60</f>
        <v>#VALUE!</v>
      </c>
      <c r="N16" s="15" t="e">
        <f>IF(学生配布用!$M16&gt;=0.67,"A",IF(学生配布用!$M16&gt;=0.34,"B","C"))</f>
        <v>#VALUE!</v>
      </c>
      <c r="O16" s="17" t="e">
        <f>VLOOKUP(A16,集計!A9:U22,19,FALSE)</f>
        <v>#VALUE!</v>
      </c>
      <c r="P16" s="18" t="e">
        <f>VLOOKUP(A16,集計!A9:U22,21,FALSE)</f>
        <v>#VALUE!</v>
      </c>
    </row>
    <row r="17" spans="1:16" ht="64.5" customHeight="1">
      <c r="A17" s="12" t="e">
        <f>T_受験者[[#This Row],[学籍番号]]</f>
        <v>#VALUE!</v>
      </c>
      <c r="B17" s="13" t="e">
        <f>T_受験者[[#This Row],[名前]]</f>
        <v>#VALUE!</v>
      </c>
      <c r="C17" s="14" t="s" ph="1">
        <v>63</v>
      </c>
      <c r="D17" s="22" t="e">
        <f>VLOOKUP(A17,集計!A9:N23,6,FALSE)/60</f>
        <v>#VALUE!</v>
      </c>
      <c r="E17" s="15" t="e">
        <f>IF(学生配布用!$D17&gt;=0.67,"A",IF(学生配布用!$D17&gt;=0.34,"B","C"))</f>
        <v>#VALUE!</v>
      </c>
      <c r="F17" s="16" t="s" ph="1">
        <v>64</v>
      </c>
      <c r="G17" s="22" t="e">
        <f>VLOOKUP(A17,集計!A9:N23,8,FALSE)/60</f>
        <v>#VALUE!</v>
      </c>
      <c r="H17" s="15" t="e">
        <f>IF(学生配布用!$G17&gt;=0.67,"A",IF(学生配布用!$G17&gt;=0.34,"B","C"))</f>
        <v>#VALUE!</v>
      </c>
      <c r="I17" s="16" t="s" ph="1">
        <v>65</v>
      </c>
      <c r="J17" s="22" t="e">
        <f>VLOOKUP(A17,集計!A9:N23,10,FALSE)/60</f>
        <v>#VALUE!</v>
      </c>
      <c r="K17" s="15" t="e">
        <f>IF(学生配布用!$J17&gt;=0.67,"A",IF(学生配布用!$J17&gt;=0.34,"B","C"))</f>
        <v>#VALUE!</v>
      </c>
      <c r="L17" s="16" t="s" ph="1">
        <v>66</v>
      </c>
      <c r="M17" s="22" t="e">
        <f>VLOOKUP(A17,集計!A9:N23,14,FALSE)/60</f>
        <v>#VALUE!</v>
      </c>
      <c r="N17" s="15" t="e">
        <f>IF(学生配布用!$M17&gt;=0.67,"A",IF(学生配布用!$M17&gt;=0.34,"B","C"))</f>
        <v>#VALUE!</v>
      </c>
      <c r="O17" s="17" t="e">
        <f>VLOOKUP(A17,集計!A9:U23,19,FALSE)</f>
        <v>#VALUE!</v>
      </c>
      <c r="P17" s="18" t="e">
        <f>VLOOKUP(A17,集計!A9:U23,21,FALSE)</f>
        <v>#VALUE!</v>
      </c>
    </row>
    <row r="18" spans="1:16" ht="64.5" customHeight="1">
      <c r="A18" s="12" t="e">
        <f>T_受験者[[#This Row],[学籍番号]]</f>
        <v>#VALUE!</v>
      </c>
      <c r="B18" s="13" t="e">
        <f>T_受験者[[#This Row],[名前]]</f>
        <v>#VALUE!</v>
      </c>
      <c r="C18" s="14" t="s" ph="1">
        <v>63</v>
      </c>
      <c r="D18" s="22" t="e">
        <f>VLOOKUP(A18,集計!A9:N24,6,FALSE)/60</f>
        <v>#VALUE!</v>
      </c>
      <c r="E18" s="15" t="e">
        <f>IF(学生配布用!$D18&gt;=0.67,"A",IF(学生配布用!$D18&gt;=0.34,"B","C"))</f>
        <v>#VALUE!</v>
      </c>
      <c r="F18" s="16" t="s" ph="1">
        <v>64</v>
      </c>
      <c r="G18" s="22" t="e">
        <f>VLOOKUP(A18,集計!A9:N24,8,FALSE)/60</f>
        <v>#VALUE!</v>
      </c>
      <c r="H18" s="15" t="e">
        <f>IF(学生配布用!$G18&gt;=0.67,"A",IF(学生配布用!$G18&gt;=0.34,"B","C"))</f>
        <v>#VALUE!</v>
      </c>
      <c r="I18" s="16" t="s" ph="1">
        <v>65</v>
      </c>
      <c r="J18" s="22" t="e">
        <f>VLOOKUP(A18,集計!A9:N24,10,FALSE)/60</f>
        <v>#VALUE!</v>
      </c>
      <c r="K18" s="15" t="e">
        <f>IF(学生配布用!$J18&gt;=0.67,"A",IF(学生配布用!$J18&gt;=0.34,"B","C"))</f>
        <v>#VALUE!</v>
      </c>
      <c r="L18" s="16" t="s" ph="1">
        <v>66</v>
      </c>
      <c r="M18" s="22" t="e">
        <f>VLOOKUP(A18,集計!A9:N24,14,FALSE)/60</f>
        <v>#VALUE!</v>
      </c>
      <c r="N18" s="15" t="e">
        <f>IF(学生配布用!$M18&gt;=0.67,"A",IF(学生配布用!$M18&gt;=0.34,"B","C"))</f>
        <v>#VALUE!</v>
      </c>
      <c r="O18" s="17" t="e">
        <f>VLOOKUP(A18,集計!A9:U24,19,FALSE)</f>
        <v>#VALUE!</v>
      </c>
      <c r="P18" s="18" t="e">
        <f>VLOOKUP(A18,集計!A9:U24,21,FALSE)</f>
        <v>#VALUE!</v>
      </c>
    </row>
    <row r="19" spans="1:16" ht="64.5" customHeight="1">
      <c r="A19" s="12" t="e">
        <f>T_受験者[[#This Row],[学籍番号]]</f>
        <v>#VALUE!</v>
      </c>
      <c r="B19" s="13" t="e">
        <f>T_受験者[[#This Row],[名前]]</f>
        <v>#VALUE!</v>
      </c>
      <c r="C19" s="14" t="s" ph="1">
        <v>63</v>
      </c>
      <c r="D19" s="22" t="e">
        <f>VLOOKUP(A19,集計!A9:N25,6,FALSE)/60</f>
        <v>#VALUE!</v>
      </c>
      <c r="E19" s="15" t="e">
        <f>IF(学生配布用!$D19&gt;=0.67,"A",IF(学生配布用!$D19&gt;=0.34,"B","C"))</f>
        <v>#VALUE!</v>
      </c>
      <c r="F19" s="16" t="s" ph="1">
        <v>64</v>
      </c>
      <c r="G19" s="22" t="e">
        <f>VLOOKUP(A19,集計!A9:N25,8,FALSE)/60</f>
        <v>#VALUE!</v>
      </c>
      <c r="H19" s="15" t="e">
        <f>IF(学生配布用!$G19&gt;=0.67,"A",IF(学生配布用!$G19&gt;=0.34,"B","C"))</f>
        <v>#VALUE!</v>
      </c>
      <c r="I19" s="16" t="s" ph="1">
        <v>65</v>
      </c>
      <c r="J19" s="22" t="e">
        <f>VLOOKUP(A19,集計!A9:N25,10,FALSE)/60</f>
        <v>#VALUE!</v>
      </c>
      <c r="K19" s="15" t="e">
        <f>IF(学生配布用!$J19&gt;=0.67,"A",IF(学生配布用!$J19&gt;=0.34,"B","C"))</f>
        <v>#VALUE!</v>
      </c>
      <c r="L19" s="16" t="s" ph="1">
        <v>66</v>
      </c>
      <c r="M19" s="22" t="e">
        <f>VLOOKUP(A19,集計!A9:N25,14,FALSE)/60</f>
        <v>#VALUE!</v>
      </c>
      <c r="N19" s="15" t="e">
        <f>IF(学生配布用!$M19&gt;=0.67,"A",IF(学生配布用!$M19&gt;=0.34,"B","C"))</f>
        <v>#VALUE!</v>
      </c>
      <c r="O19" s="17" t="e">
        <f>VLOOKUP(A19,集計!A9:U25,19,FALSE)</f>
        <v>#VALUE!</v>
      </c>
      <c r="P19" s="18" t="e">
        <f>VLOOKUP(A19,集計!A9:U25,21,FALSE)</f>
        <v>#VALUE!</v>
      </c>
    </row>
    <row r="20" spans="1:16" ht="64.5" customHeight="1">
      <c r="A20" s="12" t="e">
        <f>T_受験者[[#This Row],[学籍番号]]</f>
        <v>#VALUE!</v>
      </c>
      <c r="B20" s="13" t="e">
        <f>T_受験者[[#This Row],[名前]]</f>
        <v>#VALUE!</v>
      </c>
      <c r="C20" s="14" t="s" ph="1">
        <v>63</v>
      </c>
      <c r="D20" s="22" t="e">
        <f>VLOOKUP(A20,集計!A9:N26,6,FALSE)/60</f>
        <v>#VALUE!</v>
      </c>
      <c r="E20" s="15" t="e">
        <f>IF(学生配布用!$D20&gt;=0.67,"A",IF(学生配布用!$D20&gt;=0.34,"B","C"))</f>
        <v>#VALUE!</v>
      </c>
      <c r="F20" s="16" t="s" ph="1">
        <v>64</v>
      </c>
      <c r="G20" s="22" t="e">
        <f>VLOOKUP(A20,集計!A9:N26,8,FALSE)/60</f>
        <v>#VALUE!</v>
      </c>
      <c r="H20" s="15" t="e">
        <f>IF(学生配布用!$G20&gt;=0.67,"A",IF(学生配布用!$G20&gt;=0.34,"B","C"))</f>
        <v>#VALUE!</v>
      </c>
      <c r="I20" s="16" t="s" ph="1">
        <v>65</v>
      </c>
      <c r="J20" s="22" t="e">
        <f>VLOOKUP(A20,集計!A9:N26,10,FALSE)/60</f>
        <v>#VALUE!</v>
      </c>
      <c r="K20" s="15" t="e">
        <f>IF(学生配布用!$J20&gt;=0.67,"A",IF(学生配布用!$J20&gt;=0.34,"B","C"))</f>
        <v>#VALUE!</v>
      </c>
      <c r="L20" s="16" t="s" ph="1">
        <v>66</v>
      </c>
      <c r="M20" s="22" t="e">
        <f>VLOOKUP(A20,集計!A9:N26,14,FALSE)/60</f>
        <v>#VALUE!</v>
      </c>
      <c r="N20" s="15" t="e">
        <f>IF(学生配布用!$M20&gt;=0.67,"A",IF(学生配布用!$M20&gt;=0.34,"B","C"))</f>
        <v>#VALUE!</v>
      </c>
      <c r="O20" s="17" t="e">
        <f>VLOOKUP(A20,集計!A9:U26,19,FALSE)</f>
        <v>#VALUE!</v>
      </c>
      <c r="P20" s="18" t="e">
        <f>VLOOKUP(A20,集計!A9:U26,21,FALSE)</f>
        <v>#VALUE!</v>
      </c>
    </row>
    <row r="21" spans="1:16" ht="64.5" customHeight="1">
      <c r="A21" s="12" t="e">
        <f>T_受験者[[#This Row],[学籍番号]]</f>
        <v>#VALUE!</v>
      </c>
      <c r="B21" s="13" t="e">
        <f>T_受験者[[#This Row],[名前]]</f>
        <v>#VALUE!</v>
      </c>
      <c r="C21" s="14" t="s" ph="1">
        <v>63</v>
      </c>
      <c r="D21" s="22" t="e">
        <f>VLOOKUP(A21,集計!A9:N27,6,FALSE)/60</f>
        <v>#VALUE!</v>
      </c>
      <c r="E21" s="15" t="e">
        <f>IF(学生配布用!$D21&gt;=0.67,"A",IF(学生配布用!$D21&gt;=0.34,"B","C"))</f>
        <v>#VALUE!</v>
      </c>
      <c r="F21" s="16" t="s" ph="1">
        <v>64</v>
      </c>
      <c r="G21" s="22" t="e">
        <f>VLOOKUP(A21,集計!A9:N27,8,FALSE)/60</f>
        <v>#VALUE!</v>
      </c>
      <c r="H21" s="15" t="e">
        <f>IF(学生配布用!$G21&gt;=0.67,"A",IF(学生配布用!$G21&gt;=0.34,"B","C"))</f>
        <v>#VALUE!</v>
      </c>
      <c r="I21" s="16" t="s" ph="1">
        <v>65</v>
      </c>
      <c r="J21" s="22" t="e">
        <f>VLOOKUP(A21,集計!A9:N27,10,FALSE)/60</f>
        <v>#VALUE!</v>
      </c>
      <c r="K21" s="15" t="e">
        <f>IF(学生配布用!$J21&gt;=0.67,"A",IF(学生配布用!$J21&gt;=0.34,"B","C"))</f>
        <v>#VALUE!</v>
      </c>
      <c r="L21" s="16" t="s" ph="1">
        <v>66</v>
      </c>
      <c r="M21" s="22" t="e">
        <f>VLOOKUP(A21,集計!A9:N27,14,FALSE)/60</f>
        <v>#VALUE!</v>
      </c>
      <c r="N21" s="15" t="e">
        <f>IF(学生配布用!$M21&gt;=0.67,"A",IF(学生配布用!$M21&gt;=0.34,"B","C"))</f>
        <v>#VALUE!</v>
      </c>
      <c r="O21" s="17" t="e">
        <f>VLOOKUP(A21,集計!A9:U27,19,FALSE)</f>
        <v>#VALUE!</v>
      </c>
      <c r="P21" s="18" t="e">
        <f>VLOOKUP(A21,集計!A9:U27,21,FALSE)</f>
        <v>#VALUE!</v>
      </c>
    </row>
  </sheetData>
  <mergeCells count="4">
    <mergeCell ref="C1:E1"/>
    <mergeCell ref="F1:H1"/>
    <mergeCell ref="I1:K1"/>
    <mergeCell ref="L1:N1"/>
  </mergeCells>
  <phoneticPr fontId="1"/>
  <pageMargins left="0" right="0" top="0" bottom="0" header="0" footer="0"/>
  <pageSetup paperSize="9" scale="7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FBBE-E964-4D09-BD2D-10B1DC71D1A4}">
  <dimension ref="A1:N10"/>
  <sheetViews>
    <sheetView workbookViewId="0">
      <selection activeCell="A11" sqref="A11"/>
    </sheetView>
  </sheetViews>
  <sheetFormatPr defaultRowHeight="18.75"/>
  <cols>
    <col min="1" max="1" width="19.625" customWidth="1"/>
    <col min="2" max="2" width="8.375" customWidth="1"/>
    <col min="3" max="3" width="15.875" customWidth="1"/>
    <col min="4" max="6" width="12.125" customWidth="1"/>
    <col min="7" max="8" width="14" customWidth="1"/>
    <col min="9" max="14" width="10.25" customWidth="1"/>
  </cols>
  <sheetData>
    <row r="1" spans="1:14">
      <c r="A1" t="s">
        <v>16</v>
      </c>
      <c r="B1" t="s">
        <v>22</v>
      </c>
      <c r="C1" t="s">
        <v>17</v>
      </c>
      <c r="D1" t="s">
        <v>18</v>
      </c>
      <c r="E1" t="s">
        <v>19</v>
      </c>
      <c r="F1" t="s">
        <v>20</v>
      </c>
      <c r="G1" t="s">
        <v>24</v>
      </c>
      <c r="H1" t="s">
        <v>27</v>
      </c>
      <c r="I1" t="s">
        <v>25</v>
      </c>
      <c r="J1" t="s">
        <v>26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21</v>
      </c>
      <c r="B2" t="s">
        <v>23</v>
      </c>
      <c r="C2">
        <v>35</v>
      </c>
      <c r="D2">
        <v>26</v>
      </c>
      <c r="E2">
        <v>6</v>
      </c>
      <c r="F2">
        <v>24</v>
      </c>
      <c r="G2" s="1">
        <v>1</v>
      </c>
      <c r="H2" s="1">
        <f t="shared" ref="H2:H7" si="0">C2</f>
        <v>35</v>
      </c>
      <c r="I2" s="1">
        <f t="shared" ref="I2:I7" si="1">H2+1</f>
        <v>36</v>
      </c>
      <c r="J2" s="1">
        <f t="shared" ref="J2:J7" si="2">H2+D2</f>
        <v>61</v>
      </c>
      <c r="K2" s="1">
        <f t="shared" ref="K2:K7" si="3">J2+1</f>
        <v>62</v>
      </c>
      <c r="L2" s="1">
        <f t="shared" ref="L2:L7" si="4">J2+E2</f>
        <v>67</v>
      </c>
      <c r="M2" s="1">
        <f t="shared" ref="M2:M7" si="5">L2+1</f>
        <v>68</v>
      </c>
      <c r="N2" s="1">
        <f t="shared" ref="N2:N7" si="6">L2+F2</f>
        <v>91</v>
      </c>
    </row>
    <row r="3" spans="1:14">
      <c r="A3" t="s">
        <v>33</v>
      </c>
      <c r="B3" t="s">
        <v>37</v>
      </c>
      <c r="C3">
        <v>35</v>
      </c>
      <c r="D3">
        <v>25</v>
      </c>
      <c r="E3">
        <v>10</v>
      </c>
      <c r="F3">
        <v>28</v>
      </c>
      <c r="G3" s="1">
        <v>1</v>
      </c>
      <c r="H3" s="1">
        <f t="shared" si="0"/>
        <v>35</v>
      </c>
      <c r="I3" s="1">
        <f t="shared" si="1"/>
        <v>36</v>
      </c>
      <c r="J3" s="1">
        <f t="shared" si="2"/>
        <v>60</v>
      </c>
      <c r="K3" s="1">
        <f t="shared" si="3"/>
        <v>61</v>
      </c>
      <c r="L3" s="1">
        <f t="shared" si="4"/>
        <v>70</v>
      </c>
      <c r="M3" s="1">
        <f t="shared" si="5"/>
        <v>71</v>
      </c>
      <c r="N3" s="1">
        <f t="shared" si="6"/>
        <v>98</v>
      </c>
    </row>
    <row r="4" spans="1:14">
      <c r="A4" t="s">
        <v>34</v>
      </c>
      <c r="B4" t="s">
        <v>38</v>
      </c>
      <c r="C4">
        <v>35</v>
      </c>
      <c r="D4">
        <v>23</v>
      </c>
      <c r="E4">
        <v>16</v>
      </c>
      <c r="F4">
        <v>28</v>
      </c>
      <c r="G4" s="1">
        <v>1</v>
      </c>
      <c r="H4" s="1">
        <f t="shared" si="0"/>
        <v>35</v>
      </c>
      <c r="I4" s="1">
        <f t="shared" si="1"/>
        <v>36</v>
      </c>
      <c r="J4" s="1">
        <f t="shared" si="2"/>
        <v>58</v>
      </c>
      <c r="K4" s="1">
        <f t="shared" si="3"/>
        <v>59</v>
      </c>
      <c r="L4" s="1">
        <f t="shared" si="4"/>
        <v>74</v>
      </c>
      <c r="M4" s="1">
        <f t="shared" si="5"/>
        <v>75</v>
      </c>
      <c r="N4" s="1">
        <f t="shared" si="6"/>
        <v>102</v>
      </c>
    </row>
    <row r="5" spans="1:14">
      <c r="A5" t="s">
        <v>35</v>
      </c>
      <c r="B5" t="s">
        <v>39</v>
      </c>
      <c r="G5" s="1">
        <v>1</v>
      </c>
      <c r="H5" s="1">
        <f t="shared" si="0"/>
        <v>0</v>
      </c>
      <c r="I5" s="1">
        <f t="shared" si="1"/>
        <v>1</v>
      </c>
      <c r="J5" s="1">
        <f t="shared" si="2"/>
        <v>0</v>
      </c>
      <c r="K5" s="1">
        <f t="shared" si="3"/>
        <v>1</v>
      </c>
      <c r="L5" s="1">
        <f t="shared" si="4"/>
        <v>0</v>
      </c>
      <c r="M5" s="1">
        <f t="shared" si="5"/>
        <v>1</v>
      </c>
      <c r="N5" s="1">
        <f t="shared" si="6"/>
        <v>0</v>
      </c>
    </row>
    <row r="6" spans="1:14">
      <c r="A6" t="s">
        <v>36</v>
      </c>
      <c r="B6" t="s">
        <v>40</v>
      </c>
      <c r="G6" s="1">
        <v>1</v>
      </c>
      <c r="H6" s="1">
        <f t="shared" si="0"/>
        <v>0</v>
      </c>
      <c r="I6" s="1">
        <f t="shared" si="1"/>
        <v>1</v>
      </c>
      <c r="J6" s="1">
        <f t="shared" si="2"/>
        <v>0</v>
      </c>
      <c r="K6" s="1">
        <f t="shared" si="3"/>
        <v>1</v>
      </c>
      <c r="L6" s="1">
        <f t="shared" si="4"/>
        <v>0</v>
      </c>
      <c r="M6" s="1">
        <f t="shared" si="5"/>
        <v>1</v>
      </c>
      <c r="N6" s="1">
        <f t="shared" si="6"/>
        <v>0</v>
      </c>
    </row>
    <row r="7" spans="1:14">
      <c r="A7" t="s">
        <v>72</v>
      </c>
      <c r="B7" t="s">
        <v>38</v>
      </c>
      <c r="C7">
        <v>35</v>
      </c>
      <c r="D7">
        <v>23</v>
      </c>
      <c r="E7">
        <v>16</v>
      </c>
      <c r="F7">
        <v>28</v>
      </c>
      <c r="G7" s="1">
        <v>1</v>
      </c>
      <c r="H7" s="1">
        <f t="shared" si="0"/>
        <v>35</v>
      </c>
      <c r="I7" s="1">
        <f t="shared" si="1"/>
        <v>36</v>
      </c>
      <c r="J7" s="1">
        <f t="shared" si="2"/>
        <v>58</v>
      </c>
      <c r="K7" s="1">
        <f t="shared" si="3"/>
        <v>59</v>
      </c>
      <c r="L7" s="1">
        <f t="shared" si="4"/>
        <v>74</v>
      </c>
      <c r="M7" s="1">
        <f t="shared" si="5"/>
        <v>75</v>
      </c>
      <c r="N7" s="1">
        <f t="shared" si="6"/>
        <v>102</v>
      </c>
    </row>
    <row r="8" spans="1:14">
      <c r="A8" t="s">
        <v>73</v>
      </c>
      <c r="B8" t="s">
        <v>37</v>
      </c>
      <c r="C8">
        <v>34</v>
      </c>
      <c r="D8">
        <v>25</v>
      </c>
      <c r="E8">
        <v>10</v>
      </c>
      <c r="F8">
        <v>28</v>
      </c>
      <c r="G8" s="1">
        <v>1</v>
      </c>
      <c r="H8" s="1">
        <f>C8</f>
        <v>34</v>
      </c>
      <c r="I8" s="1">
        <f>H8+1</f>
        <v>35</v>
      </c>
      <c r="J8" s="1">
        <f>H8+D8</f>
        <v>59</v>
      </c>
      <c r="K8" s="1">
        <f>J8+1</f>
        <v>60</v>
      </c>
      <c r="L8" s="1">
        <f>J8+E8</f>
        <v>69</v>
      </c>
      <c r="M8" s="1">
        <f>L8+1</f>
        <v>70</v>
      </c>
      <c r="N8" s="1">
        <f>L8+F8</f>
        <v>97</v>
      </c>
    </row>
    <row r="9" spans="1:14">
      <c r="A9" t="s">
        <v>74</v>
      </c>
      <c r="B9" t="s">
        <v>23</v>
      </c>
      <c r="C9">
        <v>33</v>
      </c>
      <c r="D9">
        <v>21</v>
      </c>
      <c r="E9">
        <v>11</v>
      </c>
      <c r="F9">
        <v>24</v>
      </c>
      <c r="G9" s="1"/>
      <c r="H9" s="1">
        <f>C9</f>
        <v>33</v>
      </c>
      <c r="I9" s="1">
        <f>H9+1</f>
        <v>34</v>
      </c>
      <c r="J9" s="1">
        <f>H9+D9</f>
        <v>54</v>
      </c>
      <c r="K9" s="1">
        <f>J9+1</f>
        <v>55</v>
      </c>
      <c r="L9" s="1">
        <f>J9+E9</f>
        <v>65</v>
      </c>
      <c r="M9" s="1">
        <f>L9+1</f>
        <v>66</v>
      </c>
      <c r="N9" s="1">
        <f>L9+F9</f>
        <v>89</v>
      </c>
    </row>
    <row r="10" spans="1:14">
      <c r="A10" t="s">
        <v>83</v>
      </c>
      <c r="B10" t="s">
        <v>37</v>
      </c>
      <c r="C10">
        <v>34</v>
      </c>
      <c r="D10">
        <v>25</v>
      </c>
      <c r="E10">
        <v>10</v>
      </c>
      <c r="F10">
        <v>28</v>
      </c>
      <c r="G10" s="1">
        <v>1</v>
      </c>
      <c r="H10" s="1">
        <f>C10</f>
        <v>34</v>
      </c>
      <c r="I10" s="1">
        <f>H10+1</f>
        <v>35</v>
      </c>
      <c r="J10" s="1">
        <f>H10+D10</f>
        <v>59</v>
      </c>
      <c r="K10" s="1">
        <f>J10+1</f>
        <v>60</v>
      </c>
      <c r="L10" s="1">
        <f>J10+E10</f>
        <v>69</v>
      </c>
      <c r="M10" s="1">
        <f>L10+1</f>
        <v>70</v>
      </c>
      <c r="N10" s="1">
        <f>L10+F10</f>
        <v>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4F1E-6EDB-4CE0-AF23-D8323FE282C0}">
  <dimension ref="A1:H6"/>
  <sheetViews>
    <sheetView workbookViewId="0">
      <selection activeCell="D9" sqref="D9"/>
    </sheetView>
  </sheetViews>
  <sheetFormatPr defaultRowHeight="18.75"/>
  <cols>
    <col min="2" max="2" width="23.5" bestFit="1" customWidth="1"/>
    <col min="3" max="7" width="9.5" customWidth="1"/>
  </cols>
  <sheetData>
    <row r="1" spans="1:8">
      <c r="A1" t="s">
        <v>22</v>
      </c>
      <c r="B1" t="s">
        <v>45</v>
      </c>
      <c r="C1" t="s">
        <v>51</v>
      </c>
      <c r="D1" t="s">
        <v>46</v>
      </c>
      <c r="E1" t="s">
        <v>52</v>
      </c>
      <c r="F1" t="s">
        <v>47</v>
      </c>
      <c r="G1" t="s">
        <v>53</v>
      </c>
      <c r="H1" t="s">
        <v>62</v>
      </c>
    </row>
    <row r="2" spans="1:8">
      <c r="A2" t="s">
        <v>40</v>
      </c>
      <c r="B2" t="s">
        <v>48</v>
      </c>
      <c r="C2">
        <v>19</v>
      </c>
      <c r="D2" t="s">
        <v>42</v>
      </c>
      <c r="E2">
        <v>19</v>
      </c>
      <c r="F2" t="s">
        <v>3</v>
      </c>
      <c r="G2">
        <v>19</v>
      </c>
      <c r="H2">
        <v>100</v>
      </c>
    </row>
    <row r="3" spans="1:8">
      <c r="A3" t="s">
        <v>39</v>
      </c>
      <c r="B3" t="s">
        <v>48</v>
      </c>
      <c r="C3">
        <v>19</v>
      </c>
      <c r="D3" t="s">
        <v>42</v>
      </c>
      <c r="E3">
        <v>19</v>
      </c>
      <c r="F3" t="s">
        <v>3</v>
      </c>
      <c r="G3">
        <v>19</v>
      </c>
      <c r="H3">
        <v>90</v>
      </c>
    </row>
    <row r="4" spans="1:8">
      <c r="A4" t="s">
        <v>38</v>
      </c>
      <c r="B4" t="s">
        <v>48</v>
      </c>
      <c r="C4">
        <v>19</v>
      </c>
      <c r="D4" t="s">
        <v>42</v>
      </c>
      <c r="E4">
        <v>19</v>
      </c>
      <c r="F4" t="s">
        <v>3</v>
      </c>
      <c r="G4">
        <v>19</v>
      </c>
      <c r="H4">
        <v>95</v>
      </c>
    </row>
    <row r="5" spans="1:8">
      <c r="A5" t="s">
        <v>37</v>
      </c>
      <c r="B5" t="s">
        <v>50</v>
      </c>
      <c r="C5">
        <v>38</v>
      </c>
      <c r="D5" t="s">
        <v>54</v>
      </c>
      <c r="E5">
        <v>0</v>
      </c>
      <c r="F5" t="s">
        <v>3</v>
      </c>
      <c r="G5">
        <v>19</v>
      </c>
      <c r="H5">
        <v>120</v>
      </c>
    </row>
    <row r="6" spans="1:8">
      <c r="A6" t="s">
        <v>23</v>
      </c>
      <c r="B6" t="s">
        <v>50</v>
      </c>
      <c r="C6">
        <v>38</v>
      </c>
      <c r="D6" t="s">
        <v>54</v>
      </c>
      <c r="E6">
        <v>0</v>
      </c>
      <c r="F6" t="s">
        <v>3</v>
      </c>
      <c r="G6">
        <v>19</v>
      </c>
      <c r="H6">
        <v>120</v>
      </c>
    </row>
  </sheetData>
  <phoneticPr fontId="1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8C86-05F5-48E1-87D0-73BF4CCBE619}">
  <dimension ref="A1"/>
  <sheetViews>
    <sheetView workbookViewId="0">
      <selection activeCell="K24" sqref="K24"/>
    </sheetView>
  </sheetViews>
  <sheetFormatPr defaultRowHeight="18.75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FA38-F266-49B0-80CE-A99F799F7D74}">
  <dimension ref="A1:K150"/>
  <sheetViews>
    <sheetView workbookViewId="0">
      <selection activeCell="E1" sqref="E1"/>
    </sheetView>
  </sheetViews>
  <sheetFormatPr defaultRowHeight="18.75"/>
  <cols>
    <col min="3" max="3" width="20.3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4</v>
      </c>
      <c r="C1" t="str">
        <f ca="1">RIGHT(CELL("filename",D1),LEN(CELL("filename",D1))-FIND("]",CELL("filename",D1)))</f>
        <v>公式問題集第二集 N5</v>
      </c>
      <c r="D1">
        <f ca="1">_xlfn.XLOOKUP($C1,試験情報!$A:$A,試験情報!G:G,"エラー",0,1)</f>
        <v>1</v>
      </c>
      <c r="E1">
        <f ca="1">_xlfn.XLOOKUP($C1,試験情報!$A:$A,試験情報!H:H,"エラー",0,1)</f>
        <v>35</v>
      </c>
      <c r="F1">
        <f ca="1">_xlfn.XLOOKUP($C1,試験情報!$A:$A,試験情報!I:I,"エラー",0,1)</f>
        <v>36</v>
      </c>
      <c r="G1">
        <f ca="1">_xlfn.XLOOKUP($C1,試験情報!$A:$A,試験情報!J:J,"エラー",0,1)</f>
        <v>61</v>
      </c>
      <c r="H1">
        <f ca="1">_xlfn.XLOOKUP($C1,試験情報!$A:$A,試験情報!K:K,"エラー",0,1)</f>
        <v>62</v>
      </c>
      <c r="I1">
        <f ca="1">_xlfn.XLOOKUP($C1,試験情報!$A:$A,試験情報!L:L,"エラー",0,1)</f>
        <v>67</v>
      </c>
      <c r="J1">
        <f ca="1">_xlfn.XLOOKUP($C1,試験情報!$A:$A,試験情報!M:M,"エラー",0,1)</f>
        <v>68</v>
      </c>
      <c r="K1">
        <f ca="1">_xlfn.XLOOKUP($C1,試験情報!$A:$A,試験情報!N:N,"エラー",0,1)</f>
        <v>91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1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3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1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3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4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1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4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2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3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2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2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4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3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2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1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1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4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3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2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4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4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1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2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1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2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3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4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1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2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1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3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2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文字語彙</v>
      </c>
      <c r="B35">
        <v>4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2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4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1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4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2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3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1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3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1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2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4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3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2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4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3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1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4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2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3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2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1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2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1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文法</v>
      </c>
      <c r="B59">
        <v>4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文法</v>
      </c>
      <c r="B60">
        <v>3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文法</v>
      </c>
      <c r="B61">
        <v>3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3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2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1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2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3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4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聴解</v>
      </c>
      <c r="B68">
        <v>3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聴解</v>
      </c>
      <c r="B69">
        <v>1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聴解</v>
      </c>
      <c r="B70">
        <v>4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聴解</v>
      </c>
      <c r="B71">
        <v>2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聴解</v>
      </c>
      <c r="B72">
        <v>1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聴解</v>
      </c>
      <c r="B73">
        <v>4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聴解</v>
      </c>
      <c r="B74">
        <v>3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4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1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3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1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2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2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3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3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1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2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2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1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3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3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2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1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2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/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/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/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/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/>
      </c>
    </row>
    <row r="97" spans="1:1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/>
      </c>
    </row>
    <row r="98" spans="1:1">
      <c r="A98" t="str" cm="1">
        <f t="array" aca="1" ref="A98" ca="1">_xlfn.IFS(AND(D$1&lt;=ROW(),ROW()&lt;=E$1),"文字語彙",AND(F$1&lt;=ROW(),ROW()&lt;=G$1),"文法",AND(H$1&lt;=ROW(),ROW()&lt;=I$1),"読解",AND(J$1&lt;=ROW(),ROW()&lt;=K$1),"聴解",K$1&lt;ROW(),"")</f>
        <v/>
      </c>
    </row>
    <row r="99" spans="1:1">
      <c r="A99" t="str" cm="1">
        <f t="array" aca="1" ref="A99" ca="1">_xlfn.IFS(AND(D$1&lt;=ROW(),ROW()&lt;=E$1),"文字語彙",AND(F$1&lt;=ROW(),ROW()&lt;=G$1),"文法",AND(H$1&lt;=ROW(),ROW()&lt;=I$1),"読解",AND(J$1&lt;=ROW(),ROW()&lt;=K$1),"聴解",K$1&lt;ROW(),"")</f>
        <v/>
      </c>
    </row>
    <row r="100" spans="1:1">
      <c r="A100" t="str" cm="1">
        <f t="array" aca="1" ref="A100" ca="1">_xlfn.IFS(AND(D$1&lt;=ROW(),ROW()&lt;=E$1),"文字語彙",AND(F$1&lt;=ROW(),ROW()&lt;=G$1),"文法",AND(H$1&lt;=ROW(),ROW()&lt;=I$1),"読解",AND(J$1&lt;=ROW(),ROW()&lt;=K$1),"聴解",K$1&lt;ROW(),"")</f>
        <v/>
      </c>
    </row>
    <row r="101" spans="1:1">
      <c r="A101" t="str" cm="1">
        <f t="array" aca="1" ref="A101" ca="1">_xlfn.IFS(AND(D$1&lt;=ROW(),ROW()&lt;=E$1),"文字語彙",AND(F$1&lt;=ROW(),ROW()&lt;=G$1),"文法",AND(H$1&lt;=ROW(),ROW()&lt;=I$1),"読解",AND(J$1&lt;=ROW(),ROW()&lt;=K$1),"聴解",K$1&lt;ROW(),"")</f>
        <v/>
      </c>
    </row>
    <row r="102" spans="1:1">
      <c r="A102" t="str" cm="1">
        <f t="array" aca="1" ref="A102" ca="1">_xlfn.IFS(AND(D$1&lt;=ROW(),ROW()&lt;=E$1),"文字語彙",AND(F$1&lt;=ROW(),ROW()&lt;=G$1),"文法",AND(H$1&lt;=ROW(),ROW()&lt;=I$1),"読解",AND(J$1&lt;=ROW(),ROW()&lt;=K$1),"聴解",K$1&lt;ROW(),"")</f>
        <v/>
      </c>
    </row>
    <row r="103" spans="1:1">
      <c r="A103" t="str" cm="1">
        <f t="array" aca="1" ref="A103" ca="1">_xlfn.IFS(AND(D$1&lt;=ROW(),ROW()&lt;=E$1),"文字語彙",AND(F$1&lt;=ROW(),ROW()&lt;=G$1),"文法",AND(H$1&lt;=ROW(),ROW()&lt;=I$1),"読解",AND(J$1&lt;=ROW(),ROW()&lt;=K$1),"聴解",K$1&lt;ROW(),"")</f>
        <v/>
      </c>
    </row>
    <row r="104" spans="1:1">
      <c r="A104" t="str" cm="1">
        <f t="array" aca="1" ref="A104" ca="1">_xlfn.IFS(AND(D$1&lt;=ROW(),ROW()&lt;=E$1),"文字語彙",AND(F$1&lt;=ROW(),ROW()&lt;=G$1),"文法",AND(H$1&lt;=ROW(),ROW()&lt;=I$1),"読解",AND(J$1&lt;=ROW(),ROW()&lt;=K$1),"聴解",K$1&lt;ROW(),"")</f>
        <v/>
      </c>
    </row>
    <row r="105" spans="1:1">
      <c r="A105" t="str" cm="1">
        <f t="array" aca="1" ref="A105" ca="1">_xlfn.IFS(AND(D$1&lt;=ROW(),ROW()&lt;=E$1),"文字語彙",AND(F$1&lt;=ROW(),ROW()&lt;=G$1),"文法",AND(H$1&lt;=ROW(),ROW()&lt;=I$1),"読解",AND(J$1&lt;=ROW(),ROW()&lt;=K$1),"聴解",K$1&lt;ROW(),"")</f>
        <v/>
      </c>
    </row>
    <row r="106" spans="1:1">
      <c r="A106" t="str" cm="1">
        <f t="array" aca="1" ref="A106" ca="1">_xlfn.IFS(AND(D$1&lt;=ROW(),ROW()&lt;=E$1),"文字語彙",AND(F$1&lt;=ROW(),ROW()&lt;=G$1),"文法",AND(H$1&lt;=ROW(),ROW()&lt;=I$1),"読解",AND(J$1&lt;=ROW(),ROW()&lt;=K$1),"聴解",K$1&lt;ROW(),"")</f>
        <v/>
      </c>
    </row>
    <row r="107" spans="1:1">
      <c r="A107" t="str" cm="1">
        <f t="array" aca="1" ref="A107" ca="1">_xlfn.IFS(AND(D$1&lt;=ROW(),ROW()&lt;=E$1),"文字語彙",AND(F$1&lt;=ROW(),ROW()&lt;=G$1),"文法",AND(H$1&lt;=ROW(),ROW()&lt;=I$1),"読解",AND(J$1&lt;=ROW(),ROW()&lt;=K$1),"聴解",K$1&lt;ROW(),"")</f>
        <v/>
      </c>
    </row>
    <row r="108" spans="1:1">
      <c r="A108" t="str" cm="1">
        <f t="array" aca="1" ref="A108" ca="1">_xlfn.IFS(AND(D$1&lt;=ROW(),ROW()&lt;=E$1),"文字語彙",AND(F$1&lt;=ROW(),ROW()&lt;=G$1),"文法",AND(H$1&lt;=ROW(),ROW()&lt;=I$1),"読解",AND(J$1&lt;=ROW(),ROW()&lt;=K$1),"聴解",K$1&lt;ROW(),"")</f>
        <v/>
      </c>
    </row>
    <row r="109" spans="1:1">
      <c r="A109" t="str" cm="1">
        <f t="array" aca="1" ref="A109" ca="1">_xlfn.IFS(AND(D$1&lt;=ROW(),ROW()&lt;=E$1),"文字語彙",AND(F$1&lt;=ROW(),ROW()&lt;=G$1),"文法",AND(H$1&lt;=ROW(),ROW()&lt;=I$1),"読解",AND(J$1&lt;=ROW(),ROW()&lt;=K$1),"聴解",K$1&lt;ROW(),"")</f>
        <v/>
      </c>
    </row>
    <row r="110" spans="1:1">
      <c r="A110" t="str" cm="1">
        <f t="array" aca="1" ref="A110" ca="1">_xlfn.IFS(AND(D$1&lt;=ROW(),ROW()&lt;=E$1),"文字語彙",AND(F$1&lt;=ROW(),ROW()&lt;=G$1),"文法",AND(H$1&lt;=ROW(),ROW()&lt;=I$1),"読解",AND(J$1&lt;=ROW(),ROW()&lt;=K$1),"聴解",K$1&lt;ROW(),"")</f>
        <v/>
      </c>
    </row>
    <row r="111" spans="1:1">
      <c r="A111" t="str" cm="1">
        <f t="array" aca="1" ref="A111" ca="1">_xlfn.IFS(AND(D$1&lt;=ROW(),ROW()&lt;=E$1),"文字語彙",AND(F$1&lt;=ROW(),ROW()&lt;=G$1),"文法",AND(H$1&lt;=ROW(),ROW()&lt;=I$1),"読解",AND(J$1&lt;=ROW(),ROW()&lt;=K$1),"聴解",K$1&lt;ROW(),"")</f>
        <v/>
      </c>
    </row>
    <row r="112" spans="1:1">
      <c r="A112" t="str" cm="1">
        <f t="array" aca="1" ref="A112" ca="1">_xlfn.IFS(AND(D$1&lt;=ROW(),ROW()&lt;=E$1),"文字語彙",AND(F$1&lt;=ROW(),ROW()&lt;=G$1),"文法",AND(H$1&lt;=ROW(),ROW()&lt;=I$1),"読解",AND(J$1&lt;=ROW(),ROW()&lt;=K$1),"聴解",K$1&lt;ROW(),"")</f>
        <v/>
      </c>
    </row>
    <row r="113" spans="1:1">
      <c r="A113" t="str" cm="1">
        <f t="array" aca="1" ref="A113" ca="1">_xlfn.IFS(AND(D$1&lt;=ROW(),ROW()&lt;=E$1),"文字語彙",AND(F$1&lt;=ROW(),ROW()&lt;=G$1),"文法",AND(H$1&lt;=ROW(),ROW()&lt;=I$1),"読解",AND(J$1&lt;=ROW(),ROW()&lt;=K$1),"聴解",K$1&lt;ROW(),"")</f>
        <v/>
      </c>
    </row>
    <row r="114" spans="1:1">
      <c r="A114" t="str" cm="1">
        <f t="array" aca="1" ref="A114" ca="1">_xlfn.IFS(AND(D$1&lt;=ROW(),ROW()&lt;=E$1),"文字語彙",AND(F$1&lt;=ROW(),ROW()&lt;=G$1),"文法",AND(H$1&lt;=ROW(),ROW()&lt;=I$1),"読解",AND(J$1&lt;=ROW(),ROW()&lt;=K$1),"聴解",K$1&lt;ROW(),"")</f>
        <v/>
      </c>
    </row>
    <row r="115" spans="1:1">
      <c r="A115" t="str" cm="1">
        <f t="array" aca="1" ref="A115" ca="1">_xlfn.IFS(AND(D$1&lt;=ROW(),ROW()&lt;=E$1),"文字語彙",AND(F$1&lt;=ROW(),ROW()&lt;=G$1),"文法",AND(H$1&lt;=ROW(),ROW()&lt;=I$1),"読解",AND(J$1&lt;=ROW(),ROW()&lt;=K$1),"聴解",K$1&lt;ROW(),"")</f>
        <v/>
      </c>
    </row>
    <row r="116" spans="1:1">
      <c r="A116" t="str" cm="1">
        <f t="array" aca="1" ref="A116" ca="1">_xlfn.IFS(AND(D$1&lt;=ROW(),ROW()&lt;=E$1),"文字語彙",AND(F$1&lt;=ROW(),ROW()&lt;=G$1),"文法",AND(H$1&lt;=ROW(),ROW()&lt;=I$1),"読解",AND(J$1&lt;=ROW(),ROW()&lt;=K$1),"聴解",K$1&lt;ROW(),"")</f>
        <v/>
      </c>
    </row>
    <row r="117" spans="1:1">
      <c r="A117" t="str" cm="1">
        <f t="array" aca="1" ref="A117" ca="1">_xlfn.IFS(AND(D$1&lt;=ROW(),ROW()&lt;=E$1),"文字語彙",AND(F$1&lt;=ROW(),ROW()&lt;=G$1),"文法",AND(H$1&lt;=ROW(),ROW()&lt;=I$1),"読解",AND(J$1&lt;=ROW(),ROW()&lt;=K$1),"聴解",K$1&lt;ROW(),"")</f>
        <v/>
      </c>
    </row>
    <row r="118" spans="1:1">
      <c r="A118" t="str" cm="1">
        <f t="array" aca="1" ref="A118" ca="1">_xlfn.IFS(AND(D$1&lt;=ROW(),ROW()&lt;=E$1),"文字語彙",AND(F$1&lt;=ROW(),ROW()&lt;=G$1),"文法",AND(H$1&lt;=ROW(),ROW()&lt;=I$1),"読解",AND(J$1&lt;=ROW(),ROW()&lt;=K$1),"聴解",K$1&lt;ROW(),"")</f>
        <v/>
      </c>
    </row>
    <row r="119" spans="1:1">
      <c r="A119" t="str" cm="1">
        <f t="array" aca="1" ref="A119" ca="1">_xlfn.IFS(AND(D$1&lt;=ROW(),ROW()&lt;=E$1),"文字語彙",AND(F$1&lt;=ROW(),ROW()&lt;=G$1),"文法",AND(H$1&lt;=ROW(),ROW()&lt;=I$1),"読解",AND(J$1&lt;=ROW(),ROW()&lt;=K$1),"聴解",K$1&lt;ROW(),"")</f>
        <v/>
      </c>
    </row>
    <row r="120" spans="1:1">
      <c r="A120" t="str" cm="1">
        <f t="array" aca="1" ref="A120" ca="1">_xlfn.IFS(AND(D$1&lt;=ROW(),ROW()&lt;=E$1),"文字語彙",AND(F$1&lt;=ROW(),ROW()&lt;=G$1),"文法",AND(H$1&lt;=ROW(),ROW()&lt;=I$1),"読解",AND(J$1&lt;=ROW(),ROW()&lt;=K$1),"聴解",K$1&lt;ROW(),"")</f>
        <v/>
      </c>
    </row>
    <row r="121" spans="1:1">
      <c r="A121" t="str" cm="1">
        <f t="array" aca="1" ref="A121" ca="1">_xlfn.IFS(AND(D$1&lt;=ROW(),ROW()&lt;=E$1),"文字語彙",AND(F$1&lt;=ROW(),ROW()&lt;=G$1),"文法",AND(H$1&lt;=ROW(),ROW()&lt;=I$1),"読解",AND(J$1&lt;=ROW(),ROW()&lt;=K$1),"聴解",K$1&lt;ROW(),"")</f>
        <v/>
      </c>
    </row>
    <row r="122" spans="1:1">
      <c r="A122" t="str" cm="1">
        <f t="array" aca="1" ref="A122" ca="1">_xlfn.IFS(AND(D$1&lt;=ROW(),ROW()&lt;=E$1),"文字語彙",AND(F$1&lt;=ROW(),ROW()&lt;=G$1),"文法",AND(H$1&lt;=ROW(),ROW()&lt;=I$1),"読解",AND(J$1&lt;=ROW(),ROW()&lt;=K$1),"聴解",K$1&lt;ROW(),"")</f>
        <v/>
      </c>
    </row>
    <row r="123" spans="1:1">
      <c r="A123" t="str" cm="1">
        <f t="array" aca="1" ref="A123" ca="1">_xlfn.IFS(AND(D$1&lt;=ROW(),ROW()&lt;=E$1),"文字語彙",AND(F$1&lt;=ROW(),ROW()&lt;=G$1),"文法",AND(H$1&lt;=ROW(),ROW()&lt;=I$1),"読解",AND(J$1&lt;=ROW(),ROW()&lt;=K$1),"聴解",K$1&lt;ROW(),"")</f>
        <v/>
      </c>
    </row>
    <row r="124" spans="1:1">
      <c r="A124" t="str" cm="1">
        <f t="array" aca="1" ref="A124" ca="1">_xlfn.IFS(AND(D$1&lt;=ROW(),ROW()&lt;=E$1),"文字語彙",AND(F$1&lt;=ROW(),ROW()&lt;=G$1),"文法",AND(H$1&lt;=ROW(),ROW()&lt;=I$1),"読解",AND(J$1&lt;=ROW(),ROW()&lt;=K$1),"聴解",K$1&lt;ROW(),"")</f>
        <v/>
      </c>
    </row>
    <row r="125" spans="1:1">
      <c r="A125" t="str" cm="1">
        <f t="array" aca="1" ref="A125" ca="1">_xlfn.IFS(AND(D$1&lt;=ROW(),ROW()&lt;=E$1),"文字語彙",AND(F$1&lt;=ROW(),ROW()&lt;=G$1),"文法",AND(H$1&lt;=ROW(),ROW()&lt;=I$1),"読解",AND(J$1&lt;=ROW(),ROW()&lt;=K$1),"聴解",K$1&lt;ROW(),"")</f>
        <v/>
      </c>
    </row>
    <row r="126" spans="1:1">
      <c r="A126" t="str" cm="1">
        <f t="array" aca="1" ref="A126" ca="1">_xlfn.IFS(AND(D$1&lt;=ROW(),ROW()&lt;=E$1),"文字語彙",AND(F$1&lt;=ROW(),ROW()&lt;=G$1),"文法",AND(H$1&lt;=ROW(),ROW()&lt;=I$1),"読解",AND(J$1&lt;=ROW(),ROW()&lt;=K$1),"聴解",K$1&lt;ROW(),"")</f>
        <v/>
      </c>
    </row>
    <row r="127" spans="1:1">
      <c r="A127" t="str" cm="1">
        <f t="array" aca="1" ref="A127" ca="1">_xlfn.IFS(AND(D$1&lt;=ROW(),ROW()&lt;=E$1),"文字語彙",AND(F$1&lt;=ROW(),ROW()&lt;=G$1),"文法",AND(H$1&lt;=ROW(),ROW()&lt;=I$1),"読解",AND(J$1&lt;=ROW(),ROW()&lt;=K$1),"聴解",K$1&lt;ROW(),"")</f>
        <v/>
      </c>
    </row>
    <row r="128" spans="1:1">
      <c r="A128" t="str" cm="1">
        <f t="array" aca="1" ref="A128" ca="1">_xlfn.IFS(AND(D$1&lt;=ROW(),ROW()&lt;=E$1),"文字語彙",AND(F$1&lt;=ROW(),ROW()&lt;=G$1),"文法",AND(H$1&lt;=ROW(),ROW()&lt;=I$1),"読解",AND(J$1&lt;=ROW(),ROW()&lt;=K$1),"聴解",K$1&lt;ROW(),"")</f>
        <v/>
      </c>
    </row>
    <row r="129" spans="1:1">
      <c r="A129" t="str" cm="1">
        <f t="array" aca="1" ref="A129" ca="1">_xlfn.IFS(AND(D$1&lt;=ROW(),ROW()&lt;=E$1),"文字語彙",AND(F$1&lt;=ROW(),ROW()&lt;=G$1),"文法",AND(H$1&lt;=ROW(),ROW()&lt;=I$1),"読解",AND(J$1&lt;=ROW(),ROW()&lt;=K$1),"聴解",K$1&lt;ROW(),"")</f>
        <v/>
      </c>
    </row>
    <row r="130" spans="1:1">
      <c r="A130" t="str" cm="1">
        <f t="array" aca="1" ref="A130" ca="1">_xlfn.IFS(AND(D$1&lt;=ROW(),ROW()&lt;=E$1),"文字語彙",AND(F$1&lt;=ROW(),ROW()&lt;=G$1),"文法",AND(H$1&lt;=ROW(),ROW()&lt;=I$1),"読解",AND(J$1&lt;=ROW(),ROW()&lt;=K$1),"聴解",K$1&lt;ROW(),"")</f>
        <v/>
      </c>
    </row>
    <row r="131" spans="1:1">
      <c r="A131" t="str" cm="1">
        <f t="array" aca="1" ref="A131" ca="1">_xlfn.IFS(AND(D$1&lt;=ROW(),ROW()&lt;=E$1),"文字語彙",AND(F$1&lt;=ROW(),ROW()&lt;=G$1),"文法",AND(H$1&lt;=ROW(),ROW()&lt;=I$1),"読解",AND(J$1&lt;=ROW(),ROW()&lt;=K$1),"聴解",K$1&lt;ROW(),"")</f>
        <v/>
      </c>
    </row>
    <row r="132" spans="1:1">
      <c r="A132" t="str" cm="1">
        <f t="array" aca="1" ref="A132" ca="1">_xlfn.IFS(AND(D$1&lt;=ROW(),ROW()&lt;=E$1),"文字語彙",AND(F$1&lt;=ROW(),ROW()&lt;=G$1),"文法",AND(H$1&lt;=ROW(),ROW()&lt;=I$1),"読解",AND(J$1&lt;=ROW(),ROW()&lt;=K$1),"聴解",K$1&lt;ROW(),"")</f>
        <v/>
      </c>
    </row>
    <row r="133" spans="1:1">
      <c r="A133" t="str" cm="1">
        <f t="array" aca="1" ref="A133" ca="1">_xlfn.IFS(AND(D$1&lt;=ROW(),ROW()&lt;=E$1),"文字語彙",AND(F$1&lt;=ROW(),ROW()&lt;=G$1),"文法",AND(H$1&lt;=ROW(),ROW()&lt;=I$1),"読解",AND(J$1&lt;=ROW(),ROW()&lt;=K$1),"聴解",K$1&lt;ROW(),"")</f>
        <v/>
      </c>
    </row>
    <row r="134" spans="1:1">
      <c r="A134" t="str" cm="1">
        <f t="array" aca="1" ref="A134" ca="1">_xlfn.IFS(AND(D$1&lt;=ROW(),ROW()&lt;=E$1),"文字語彙",AND(F$1&lt;=ROW(),ROW()&lt;=G$1),"文法",AND(H$1&lt;=ROW(),ROW()&lt;=I$1),"読解",AND(J$1&lt;=ROW(),ROW()&lt;=K$1),"聴解",K$1&lt;ROW(),"")</f>
        <v/>
      </c>
    </row>
    <row r="135" spans="1:1">
      <c r="A135" t="str" cm="1">
        <f t="array" aca="1" ref="A135" ca="1">_xlfn.IFS(AND(D$1&lt;=ROW(),ROW()&lt;=E$1),"文字語彙",AND(F$1&lt;=ROW(),ROW()&lt;=G$1),"文法",AND(H$1&lt;=ROW(),ROW()&lt;=I$1),"読解",AND(J$1&lt;=ROW(),ROW()&lt;=K$1),"聴解",K$1&lt;ROW(),"")</f>
        <v/>
      </c>
    </row>
    <row r="136" spans="1:1">
      <c r="A136" t="str" cm="1">
        <f t="array" aca="1" ref="A136" ca="1">_xlfn.IFS(AND(D$1&lt;=ROW(),ROW()&lt;=E$1),"文字語彙",AND(F$1&lt;=ROW(),ROW()&lt;=G$1),"文法",AND(H$1&lt;=ROW(),ROW()&lt;=I$1),"読解",AND(J$1&lt;=ROW(),ROW()&lt;=K$1),"聴解",K$1&lt;ROW(),"")</f>
        <v/>
      </c>
    </row>
    <row r="137" spans="1:1">
      <c r="A137" t="str" cm="1">
        <f t="array" aca="1" ref="A137" ca="1">_xlfn.IFS(AND(D$1&lt;=ROW(),ROW()&lt;=E$1),"文字語彙",AND(F$1&lt;=ROW(),ROW()&lt;=G$1),"文法",AND(H$1&lt;=ROW(),ROW()&lt;=I$1),"読解",AND(J$1&lt;=ROW(),ROW()&lt;=K$1),"聴解",K$1&lt;ROW(),"")</f>
        <v/>
      </c>
    </row>
    <row r="138" spans="1:1">
      <c r="A138" t="str" cm="1">
        <f t="array" aca="1" ref="A138" ca="1">_xlfn.IFS(AND(D$1&lt;=ROW(),ROW()&lt;=E$1),"文字語彙",AND(F$1&lt;=ROW(),ROW()&lt;=G$1),"文法",AND(H$1&lt;=ROW(),ROW()&lt;=I$1),"読解",AND(J$1&lt;=ROW(),ROW()&lt;=K$1),"聴解",K$1&lt;ROW(),"")</f>
        <v/>
      </c>
    </row>
    <row r="139" spans="1:1">
      <c r="A139" t="str" cm="1">
        <f t="array" aca="1" ref="A139" ca="1">_xlfn.IFS(AND(D$1&lt;=ROW(),ROW()&lt;=E$1),"文字語彙",AND(F$1&lt;=ROW(),ROW()&lt;=G$1),"文法",AND(H$1&lt;=ROW(),ROW()&lt;=I$1),"読解",AND(J$1&lt;=ROW(),ROW()&lt;=K$1),"聴解",K$1&lt;ROW(),"")</f>
        <v/>
      </c>
    </row>
    <row r="140" spans="1:1">
      <c r="A140" t="str" cm="1">
        <f t="array" aca="1" ref="A140" ca="1">_xlfn.IFS(AND(D$1&lt;=ROW(),ROW()&lt;=E$1),"文字語彙",AND(F$1&lt;=ROW(),ROW()&lt;=G$1),"文法",AND(H$1&lt;=ROW(),ROW()&lt;=I$1),"読解",AND(J$1&lt;=ROW(),ROW()&lt;=K$1),"聴解",K$1&lt;ROW(),"")</f>
        <v/>
      </c>
    </row>
    <row r="141" spans="1:1">
      <c r="A141" t="str" cm="1">
        <f t="array" aca="1" ref="A141" ca="1">_xlfn.IFS(AND(D$1&lt;=ROW(),ROW()&lt;=E$1),"文字語彙",AND(F$1&lt;=ROW(),ROW()&lt;=G$1),"文法",AND(H$1&lt;=ROW(),ROW()&lt;=I$1),"読解",AND(J$1&lt;=ROW(),ROW()&lt;=K$1),"聴解",K$1&lt;ROW(),"")</f>
        <v/>
      </c>
    </row>
    <row r="142" spans="1:1">
      <c r="A142" t="str" cm="1">
        <f t="array" aca="1" ref="A142" ca="1">_xlfn.IFS(AND(D$1&lt;=ROW(),ROW()&lt;=E$1),"文字語彙",AND(F$1&lt;=ROW(),ROW()&lt;=G$1),"文法",AND(H$1&lt;=ROW(),ROW()&lt;=I$1),"読解",AND(J$1&lt;=ROW(),ROW()&lt;=K$1),"聴解",K$1&lt;ROW(),"")</f>
        <v/>
      </c>
    </row>
    <row r="143" spans="1:1">
      <c r="A143" t="str" cm="1">
        <f t="array" aca="1" ref="A143" ca="1">_xlfn.IFS(AND(D$1&lt;=ROW(),ROW()&lt;=E$1),"文字語彙",AND(F$1&lt;=ROW(),ROW()&lt;=G$1),"文法",AND(H$1&lt;=ROW(),ROW()&lt;=I$1),"読解",AND(J$1&lt;=ROW(),ROW()&lt;=K$1),"聴解",K$1&lt;ROW(),"")</f>
        <v/>
      </c>
    </row>
    <row r="144" spans="1:1">
      <c r="A144" t="str" cm="1">
        <f t="array" aca="1" ref="A144" ca="1">_xlfn.IFS(AND(D$1&lt;=ROW(),ROW()&lt;=E$1),"文字語彙",AND(F$1&lt;=ROW(),ROW()&lt;=G$1),"文法",AND(H$1&lt;=ROW(),ROW()&lt;=I$1),"読解",AND(J$1&lt;=ROW(),ROW()&lt;=K$1),"聴解",K$1&lt;ROW(),"")</f>
        <v/>
      </c>
    </row>
    <row r="145" spans="1:1">
      <c r="A145" t="str" cm="1">
        <f t="array" aca="1" ref="A145" ca="1">_xlfn.IFS(AND(D$1&lt;=ROW(),ROW()&lt;=E$1),"文字語彙",AND(F$1&lt;=ROW(),ROW()&lt;=G$1),"文法",AND(H$1&lt;=ROW(),ROW()&lt;=I$1),"読解",AND(J$1&lt;=ROW(),ROW()&lt;=K$1),"聴解",K$1&lt;ROW(),"")</f>
        <v/>
      </c>
    </row>
    <row r="146" spans="1:1">
      <c r="A146" t="str" cm="1">
        <f t="array" aca="1" ref="A146" ca="1">_xlfn.IFS(AND(D$1&lt;=ROW(),ROW()&lt;=E$1),"文字語彙",AND(F$1&lt;=ROW(),ROW()&lt;=G$1),"文法",AND(H$1&lt;=ROW(),ROW()&lt;=I$1),"読解",AND(J$1&lt;=ROW(),ROW()&lt;=K$1),"聴解",K$1&lt;ROW(),"")</f>
        <v/>
      </c>
    </row>
    <row r="147" spans="1:1">
      <c r="A147" t="str" cm="1">
        <f t="array" aca="1" ref="A147" ca="1">_xlfn.IFS(AND(D$1&lt;=ROW(),ROW()&lt;=E$1),"文字語彙",AND(F$1&lt;=ROW(),ROW()&lt;=G$1),"文法",AND(H$1&lt;=ROW(),ROW()&lt;=I$1),"読解",AND(J$1&lt;=ROW(),ROW()&lt;=K$1),"聴解",K$1&lt;ROW(),"")</f>
        <v/>
      </c>
    </row>
    <row r="148" spans="1:1">
      <c r="A148" t="str" cm="1">
        <f t="array" aca="1" ref="A148" ca="1">_xlfn.IFS(AND(D$1&lt;=ROW(),ROW()&lt;=E$1),"文字語彙",AND(F$1&lt;=ROW(),ROW()&lt;=G$1),"文法",AND(H$1&lt;=ROW(),ROW()&lt;=I$1),"読解",AND(J$1&lt;=ROW(),ROW()&lt;=K$1),"聴解",K$1&lt;ROW(),"")</f>
        <v/>
      </c>
    </row>
    <row r="149" spans="1:1">
      <c r="A149" t="str" cm="1">
        <f t="array" aca="1" ref="A149" ca="1">_xlfn.IFS(AND(D$1&lt;=ROW(),ROW()&lt;=E$1),"文字語彙",AND(F$1&lt;=ROW(),ROW()&lt;=G$1),"文法",AND(H$1&lt;=ROW(),ROW()&lt;=I$1),"読解",AND(J$1&lt;=ROW(),ROW()&lt;=K$1),"聴解",K$1&lt;ROW(),"")</f>
        <v/>
      </c>
    </row>
    <row r="150" spans="1:1">
      <c r="A150" t="str" cm="1">
        <f t="array" aca="1" ref="A150" ca="1">_xlfn.IFS(AND(D$1&lt;=ROW(),ROW()&lt;=E$1),"文字語彙",AND(F$1&lt;=ROW(),ROW()&lt;=G$1),"文法",AND(H$1&lt;=ROW(),ROW()&lt;=I$1),"読解",AND(J$1&lt;=ROW(),ROW()&lt;=K$1),"聴解",K$1&lt;ROW(),"")</f>
        <v/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4FAC-36CC-4F32-9CFF-5EFE1E44BAC8}">
  <dimension ref="A1:K150"/>
  <sheetViews>
    <sheetView workbookViewId="0">
      <selection activeCell="E2" sqref="E2"/>
    </sheetView>
  </sheetViews>
  <sheetFormatPr defaultRowHeight="18.75"/>
  <cols>
    <col min="3" max="3" width="20.3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3</v>
      </c>
      <c r="C1" t="str">
        <f ca="1">RIGHT(CELL("filename",D1),LEN(CELL("filename",D1))-FIND("]",CELL("filename",D1)))</f>
        <v>公式問題集第二集 N4</v>
      </c>
      <c r="D1">
        <f ca="1">_xlfn.XLOOKUP($C1,試験情報!$A:$A,試験情報!G:G,"エラー",0,1)</f>
        <v>1</v>
      </c>
      <c r="E1">
        <f ca="1">_xlfn.XLOOKUP($C1,試験情報!$A:$A,試験情報!H:H,"エラー",0,1)</f>
        <v>35</v>
      </c>
      <c r="F1">
        <f ca="1">_xlfn.XLOOKUP($C1,試験情報!$A:$A,試験情報!I:I,"エラー",0,1)</f>
        <v>36</v>
      </c>
      <c r="G1">
        <f ca="1">_xlfn.XLOOKUP($C1,試験情報!$A:$A,試験情報!J:J,"エラー",0,1)</f>
        <v>60</v>
      </c>
      <c r="H1">
        <f ca="1">_xlfn.XLOOKUP($C1,試験情報!$A:$A,試験情報!K:K,"エラー",0,1)</f>
        <v>61</v>
      </c>
      <c r="I1">
        <f ca="1">_xlfn.XLOOKUP($C1,試験情報!$A:$A,試験情報!L:L,"エラー",0,1)</f>
        <v>70</v>
      </c>
      <c r="J1">
        <f ca="1">_xlfn.XLOOKUP($C1,試験情報!$A:$A,試験情報!M:M,"エラー",0,1)</f>
        <v>71</v>
      </c>
      <c r="K1">
        <f ca="1">_xlfn.XLOOKUP($C1,試験情報!$A:$A,試験情報!N:N,"エラー",0,1)</f>
        <v>98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4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1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2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4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3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4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2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1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2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3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4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1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3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4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1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2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2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3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2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1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4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4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1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2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2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4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1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3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3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1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3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2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文字語彙</v>
      </c>
      <c r="B35">
        <v>4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3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4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2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1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4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1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3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4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2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4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3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2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3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1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2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1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2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3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1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4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3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1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4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文法</v>
      </c>
      <c r="B59">
        <v>2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文法</v>
      </c>
      <c r="B60">
        <v>3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4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2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3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4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3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1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2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読解</v>
      </c>
      <c r="B68">
        <v>3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読解</v>
      </c>
      <c r="B69">
        <v>4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読解</v>
      </c>
      <c r="B70">
        <v>1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聴解</v>
      </c>
      <c r="B71">
        <v>1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聴解</v>
      </c>
      <c r="B72">
        <v>3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聴解</v>
      </c>
      <c r="B73">
        <v>2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聴解</v>
      </c>
      <c r="B74">
        <v>4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3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3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3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1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1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2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4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2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2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4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3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2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2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1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3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2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1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>聴解</v>
      </c>
      <c r="B92">
        <v>3</v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>聴解</v>
      </c>
      <c r="B93">
        <v>3</v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>聴解</v>
      </c>
      <c r="B94">
        <v>1</v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>聴解</v>
      </c>
      <c r="B95">
        <v>2</v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>聴解</v>
      </c>
      <c r="B96">
        <v>3</v>
      </c>
    </row>
    <row r="97" spans="1:2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>聴解</v>
      </c>
      <c r="B97">
        <v>2</v>
      </c>
    </row>
    <row r="98" spans="1:2">
      <c r="A98" t="str" cm="1">
        <f t="array" aca="1" ref="A98" ca="1">_xlfn.IFS(AND(D$1&lt;=ROW(),ROW()&lt;=E$1),"文字語彙",AND(F$1&lt;=ROW(),ROW()&lt;=G$1),"文法",AND(H$1&lt;=ROW(),ROW()&lt;=I$1),"読解",AND(J$1&lt;=ROW(),ROW()&lt;=K$1),"聴解",K$1&lt;ROW(),"")</f>
        <v>聴解</v>
      </c>
      <c r="B98">
        <v>1</v>
      </c>
    </row>
    <row r="99" spans="1:2">
      <c r="A99" t="str" cm="1">
        <f t="array" aca="1" ref="A99" ca="1">_xlfn.IFS(AND(D$1&lt;=ROW(),ROW()&lt;=E$1),"文字語彙",AND(F$1&lt;=ROW(),ROW()&lt;=G$1),"文法",AND(H$1&lt;=ROW(),ROW()&lt;=I$1),"読解",AND(J$1&lt;=ROW(),ROW()&lt;=K$1),"聴解",K$1&lt;ROW(),"")</f>
        <v/>
      </c>
    </row>
    <row r="100" spans="1:2">
      <c r="A100" t="str" cm="1">
        <f t="array" aca="1" ref="A100" ca="1">_xlfn.IFS(AND(D$1&lt;=ROW(),ROW()&lt;=E$1),"文字語彙",AND(F$1&lt;=ROW(),ROW()&lt;=G$1),"文法",AND(H$1&lt;=ROW(),ROW()&lt;=I$1),"読解",AND(J$1&lt;=ROW(),ROW()&lt;=K$1),"聴解",K$1&lt;ROW(),"")</f>
        <v/>
      </c>
    </row>
    <row r="101" spans="1:2">
      <c r="A101" t="str" cm="1">
        <f t="array" aca="1" ref="A101" ca="1">_xlfn.IFS(AND(D$1&lt;=ROW(),ROW()&lt;=E$1),"文字語彙",AND(F$1&lt;=ROW(),ROW()&lt;=G$1),"文法",AND(H$1&lt;=ROW(),ROW()&lt;=I$1),"読解",AND(J$1&lt;=ROW(),ROW()&lt;=K$1),"聴解",K$1&lt;ROW(),"")</f>
        <v/>
      </c>
    </row>
    <row r="102" spans="1:2">
      <c r="A102" t="str" cm="1">
        <f t="array" aca="1" ref="A102" ca="1">_xlfn.IFS(AND(D$1&lt;=ROW(),ROW()&lt;=E$1),"文字語彙",AND(F$1&lt;=ROW(),ROW()&lt;=G$1),"文法",AND(H$1&lt;=ROW(),ROW()&lt;=I$1),"読解",AND(J$1&lt;=ROW(),ROW()&lt;=K$1),"聴解",K$1&lt;ROW(),"")</f>
        <v/>
      </c>
    </row>
    <row r="103" spans="1:2">
      <c r="A103" t="str" cm="1">
        <f t="array" aca="1" ref="A103" ca="1">_xlfn.IFS(AND(D$1&lt;=ROW(),ROW()&lt;=E$1),"文字語彙",AND(F$1&lt;=ROW(),ROW()&lt;=G$1),"文法",AND(H$1&lt;=ROW(),ROW()&lt;=I$1),"読解",AND(J$1&lt;=ROW(),ROW()&lt;=K$1),"聴解",K$1&lt;ROW(),"")</f>
        <v/>
      </c>
    </row>
    <row r="104" spans="1:2">
      <c r="A104" t="str" cm="1">
        <f t="array" aca="1" ref="A104" ca="1">_xlfn.IFS(AND(D$1&lt;=ROW(),ROW()&lt;=E$1),"文字語彙",AND(F$1&lt;=ROW(),ROW()&lt;=G$1),"文法",AND(H$1&lt;=ROW(),ROW()&lt;=I$1),"読解",AND(J$1&lt;=ROW(),ROW()&lt;=K$1),"聴解",K$1&lt;ROW(),"")</f>
        <v/>
      </c>
    </row>
    <row r="105" spans="1:2">
      <c r="A105" t="str" cm="1">
        <f t="array" aca="1" ref="A105" ca="1">_xlfn.IFS(AND(D$1&lt;=ROW(),ROW()&lt;=E$1),"文字語彙",AND(F$1&lt;=ROW(),ROW()&lt;=G$1),"文法",AND(H$1&lt;=ROW(),ROW()&lt;=I$1),"読解",AND(J$1&lt;=ROW(),ROW()&lt;=K$1),"聴解",K$1&lt;ROW(),"")</f>
        <v/>
      </c>
    </row>
    <row r="106" spans="1:2">
      <c r="A106" t="str" cm="1">
        <f t="array" aca="1" ref="A106" ca="1">_xlfn.IFS(AND(D$1&lt;=ROW(),ROW()&lt;=E$1),"文字語彙",AND(F$1&lt;=ROW(),ROW()&lt;=G$1),"文法",AND(H$1&lt;=ROW(),ROW()&lt;=I$1),"読解",AND(J$1&lt;=ROW(),ROW()&lt;=K$1),"聴解",K$1&lt;ROW(),"")</f>
        <v/>
      </c>
    </row>
    <row r="107" spans="1:2">
      <c r="A107" t="str" cm="1">
        <f t="array" aca="1" ref="A107" ca="1">_xlfn.IFS(AND(D$1&lt;=ROW(),ROW()&lt;=E$1),"文字語彙",AND(F$1&lt;=ROW(),ROW()&lt;=G$1),"文法",AND(H$1&lt;=ROW(),ROW()&lt;=I$1),"読解",AND(J$1&lt;=ROW(),ROW()&lt;=K$1),"聴解",K$1&lt;ROW(),"")</f>
        <v/>
      </c>
    </row>
    <row r="108" spans="1:2">
      <c r="A108" t="str" cm="1">
        <f t="array" aca="1" ref="A108" ca="1">_xlfn.IFS(AND(D$1&lt;=ROW(),ROW()&lt;=E$1),"文字語彙",AND(F$1&lt;=ROW(),ROW()&lt;=G$1),"文法",AND(H$1&lt;=ROW(),ROW()&lt;=I$1),"読解",AND(J$1&lt;=ROW(),ROW()&lt;=K$1),"聴解",K$1&lt;ROW(),"")</f>
        <v/>
      </c>
    </row>
    <row r="109" spans="1:2">
      <c r="A109" t="str" cm="1">
        <f t="array" aca="1" ref="A109" ca="1">_xlfn.IFS(AND(D$1&lt;=ROW(),ROW()&lt;=E$1),"文字語彙",AND(F$1&lt;=ROW(),ROW()&lt;=G$1),"文法",AND(H$1&lt;=ROW(),ROW()&lt;=I$1),"読解",AND(J$1&lt;=ROW(),ROW()&lt;=K$1),"聴解",K$1&lt;ROW(),"")</f>
        <v/>
      </c>
    </row>
    <row r="110" spans="1:2">
      <c r="A110" t="str" cm="1">
        <f t="array" aca="1" ref="A110" ca="1">_xlfn.IFS(AND(D$1&lt;=ROW(),ROW()&lt;=E$1),"文字語彙",AND(F$1&lt;=ROW(),ROW()&lt;=G$1),"文法",AND(H$1&lt;=ROW(),ROW()&lt;=I$1),"読解",AND(J$1&lt;=ROW(),ROW()&lt;=K$1),"聴解",K$1&lt;ROW(),"")</f>
        <v/>
      </c>
    </row>
    <row r="111" spans="1:2">
      <c r="A111" t="str" cm="1">
        <f t="array" aca="1" ref="A111" ca="1">_xlfn.IFS(AND(D$1&lt;=ROW(),ROW()&lt;=E$1),"文字語彙",AND(F$1&lt;=ROW(),ROW()&lt;=G$1),"文法",AND(H$1&lt;=ROW(),ROW()&lt;=I$1),"読解",AND(J$1&lt;=ROW(),ROW()&lt;=K$1),"聴解",K$1&lt;ROW(),"")</f>
        <v/>
      </c>
    </row>
    <row r="112" spans="1:2">
      <c r="A112" t="str" cm="1">
        <f t="array" aca="1" ref="A112" ca="1">_xlfn.IFS(AND(D$1&lt;=ROW(),ROW()&lt;=E$1),"文字語彙",AND(F$1&lt;=ROW(),ROW()&lt;=G$1),"文法",AND(H$1&lt;=ROW(),ROW()&lt;=I$1),"読解",AND(J$1&lt;=ROW(),ROW()&lt;=K$1),"聴解",K$1&lt;ROW(),"")</f>
        <v/>
      </c>
    </row>
    <row r="113" spans="1:1">
      <c r="A113" t="str" cm="1">
        <f t="array" aca="1" ref="A113" ca="1">_xlfn.IFS(AND(D$1&lt;=ROW(),ROW()&lt;=E$1),"文字語彙",AND(F$1&lt;=ROW(),ROW()&lt;=G$1),"文法",AND(H$1&lt;=ROW(),ROW()&lt;=I$1),"読解",AND(J$1&lt;=ROW(),ROW()&lt;=K$1),"聴解",K$1&lt;ROW(),"")</f>
        <v/>
      </c>
    </row>
    <row r="114" spans="1:1">
      <c r="A114" t="str" cm="1">
        <f t="array" aca="1" ref="A114" ca="1">_xlfn.IFS(AND(D$1&lt;=ROW(),ROW()&lt;=E$1),"文字語彙",AND(F$1&lt;=ROW(),ROW()&lt;=G$1),"文法",AND(H$1&lt;=ROW(),ROW()&lt;=I$1),"読解",AND(J$1&lt;=ROW(),ROW()&lt;=K$1),"聴解",K$1&lt;ROW(),"")</f>
        <v/>
      </c>
    </row>
    <row r="115" spans="1:1">
      <c r="A115" t="str" cm="1">
        <f t="array" aca="1" ref="A115" ca="1">_xlfn.IFS(AND(D$1&lt;=ROW(),ROW()&lt;=E$1),"文字語彙",AND(F$1&lt;=ROW(),ROW()&lt;=G$1),"文法",AND(H$1&lt;=ROW(),ROW()&lt;=I$1),"読解",AND(J$1&lt;=ROW(),ROW()&lt;=K$1),"聴解",K$1&lt;ROW(),"")</f>
        <v/>
      </c>
    </row>
    <row r="116" spans="1:1">
      <c r="A116" t="str" cm="1">
        <f t="array" aca="1" ref="A116" ca="1">_xlfn.IFS(AND(D$1&lt;=ROW(),ROW()&lt;=E$1),"文字語彙",AND(F$1&lt;=ROW(),ROW()&lt;=G$1),"文法",AND(H$1&lt;=ROW(),ROW()&lt;=I$1),"読解",AND(J$1&lt;=ROW(),ROW()&lt;=K$1),"聴解",K$1&lt;ROW(),"")</f>
        <v/>
      </c>
    </row>
    <row r="117" spans="1:1">
      <c r="A117" t="str" cm="1">
        <f t="array" aca="1" ref="A117" ca="1">_xlfn.IFS(AND(D$1&lt;=ROW(),ROW()&lt;=E$1),"文字語彙",AND(F$1&lt;=ROW(),ROW()&lt;=G$1),"文法",AND(H$1&lt;=ROW(),ROW()&lt;=I$1),"読解",AND(J$1&lt;=ROW(),ROW()&lt;=K$1),"聴解",K$1&lt;ROW(),"")</f>
        <v/>
      </c>
    </row>
    <row r="118" spans="1:1">
      <c r="A118" t="str" cm="1">
        <f t="array" aca="1" ref="A118" ca="1">_xlfn.IFS(AND(D$1&lt;=ROW(),ROW()&lt;=E$1),"文字語彙",AND(F$1&lt;=ROW(),ROW()&lt;=G$1),"文法",AND(H$1&lt;=ROW(),ROW()&lt;=I$1),"読解",AND(J$1&lt;=ROW(),ROW()&lt;=K$1),"聴解",K$1&lt;ROW(),"")</f>
        <v/>
      </c>
    </row>
    <row r="119" spans="1:1">
      <c r="A119" t="str" cm="1">
        <f t="array" aca="1" ref="A119" ca="1">_xlfn.IFS(AND(D$1&lt;=ROW(),ROW()&lt;=E$1),"文字語彙",AND(F$1&lt;=ROW(),ROW()&lt;=G$1),"文法",AND(H$1&lt;=ROW(),ROW()&lt;=I$1),"読解",AND(J$1&lt;=ROW(),ROW()&lt;=K$1),"聴解",K$1&lt;ROW(),"")</f>
        <v/>
      </c>
    </row>
    <row r="120" spans="1:1">
      <c r="A120" t="str" cm="1">
        <f t="array" aca="1" ref="A120" ca="1">_xlfn.IFS(AND(D$1&lt;=ROW(),ROW()&lt;=E$1),"文字語彙",AND(F$1&lt;=ROW(),ROW()&lt;=G$1),"文法",AND(H$1&lt;=ROW(),ROW()&lt;=I$1),"読解",AND(J$1&lt;=ROW(),ROW()&lt;=K$1),"聴解",K$1&lt;ROW(),"")</f>
        <v/>
      </c>
    </row>
    <row r="121" spans="1:1">
      <c r="A121" t="str" cm="1">
        <f t="array" aca="1" ref="A121" ca="1">_xlfn.IFS(AND(D$1&lt;=ROW(),ROW()&lt;=E$1),"文字語彙",AND(F$1&lt;=ROW(),ROW()&lt;=G$1),"文法",AND(H$1&lt;=ROW(),ROW()&lt;=I$1),"読解",AND(J$1&lt;=ROW(),ROW()&lt;=K$1),"聴解",K$1&lt;ROW(),"")</f>
        <v/>
      </c>
    </row>
    <row r="122" spans="1:1">
      <c r="A122" t="str" cm="1">
        <f t="array" aca="1" ref="A122" ca="1">_xlfn.IFS(AND(D$1&lt;=ROW(),ROW()&lt;=E$1),"文字語彙",AND(F$1&lt;=ROW(),ROW()&lt;=G$1),"文法",AND(H$1&lt;=ROW(),ROW()&lt;=I$1),"読解",AND(J$1&lt;=ROW(),ROW()&lt;=K$1),"聴解",K$1&lt;ROW(),"")</f>
        <v/>
      </c>
    </row>
    <row r="123" spans="1:1">
      <c r="A123" t="str" cm="1">
        <f t="array" aca="1" ref="A123" ca="1">_xlfn.IFS(AND(D$1&lt;=ROW(),ROW()&lt;=E$1),"文字語彙",AND(F$1&lt;=ROW(),ROW()&lt;=G$1),"文法",AND(H$1&lt;=ROW(),ROW()&lt;=I$1),"読解",AND(J$1&lt;=ROW(),ROW()&lt;=K$1),"聴解",K$1&lt;ROW(),"")</f>
        <v/>
      </c>
    </row>
    <row r="124" spans="1:1">
      <c r="A124" t="str" cm="1">
        <f t="array" aca="1" ref="A124" ca="1">_xlfn.IFS(AND(D$1&lt;=ROW(),ROW()&lt;=E$1),"文字語彙",AND(F$1&lt;=ROW(),ROW()&lt;=G$1),"文法",AND(H$1&lt;=ROW(),ROW()&lt;=I$1),"読解",AND(J$1&lt;=ROW(),ROW()&lt;=K$1),"聴解",K$1&lt;ROW(),"")</f>
        <v/>
      </c>
    </row>
    <row r="125" spans="1:1">
      <c r="A125" t="str" cm="1">
        <f t="array" aca="1" ref="A125" ca="1">_xlfn.IFS(AND(D$1&lt;=ROW(),ROW()&lt;=E$1),"文字語彙",AND(F$1&lt;=ROW(),ROW()&lt;=G$1),"文法",AND(H$1&lt;=ROW(),ROW()&lt;=I$1),"読解",AND(J$1&lt;=ROW(),ROW()&lt;=K$1),"聴解",K$1&lt;ROW(),"")</f>
        <v/>
      </c>
    </row>
    <row r="126" spans="1:1">
      <c r="A126" t="str" cm="1">
        <f t="array" aca="1" ref="A126" ca="1">_xlfn.IFS(AND(D$1&lt;=ROW(),ROW()&lt;=E$1),"文字語彙",AND(F$1&lt;=ROW(),ROW()&lt;=G$1),"文法",AND(H$1&lt;=ROW(),ROW()&lt;=I$1),"読解",AND(J$1&lt;=ROW(),ROW()&lt;=K$1),"聴解",K$1&lt;ROW(),"")</f>
        <v/>
      </c>
    </row>
    <row r="127" spans="1:1">
      <c r="A127" t="str" cm="1">
        <f t="array" aca="1" ref="A127" ca="1">_xlfn.IFS(AND(D$1&lt;=ROW(),ROW()&lt;=E$1),"文字語彙",AND(F$1&lt;=ROW(),ROW()&lt;=G$1),"文法",AND(H$1&lt;=ROW(),ROW()&lt;=I$1),"読解",AND(J$1&lt;=ROW(),ROW()&lt;=K$1),"聴解",K$1&lt;ROW(),"")</f>
        <v/>
      </c>
    </row>
    <row r="128" spans="1:1">
      <c r="A128" t="str" cm="1">
        <f t="array" aca="1" ref="A128" ca="1">_xlfn.IFS(AND(D$1&lt;=ROW(),ROW()&lt;=E$1),"文字語彙",AND(F$1&lt;=ROW(),ROW()&lt;=G$1),"文法",AND(H$1&lt;=ROW(),ROW()&lt;=I$1),"読解",AND(J$1&lt;=ROW(),ROW()&lt;=K$1),"聴解",K$1&lt;ROW(),"")</f>
        <v/>
      </c>
    </row>
    <row r="129" spans="1:1">
      <c r="A129" t="str" cm="1">
        <f t="array" aca="1" ref="A129" ca="1">_xlfn.IFS(AND(D$1&lt;=ROW(),ROW()&lt;=E$1),"文字語彙",AND(F$1&lt;=ROW(),ROW()&lt;=G$1),"文法",AND(H$1&lt;=ROW(),ROW()&lt;=I$1),"読解",AND(J$1&lt;=ROW(),ROW()&lt;=K$1),"聴解",K$1&lt;ROW(),"")</f>
        <v/>
      </c>
    </row>
    <row r="130" spans="1:1">
      <c r="A130" t="str" cm="1">
        <f t="array" aca="1" ref="A130" ca="1">_xlfn.IFS(AND(D$1&lt;=ROW(),ROW()&lt;=E$1),"文字語彙",AND(F$1&lt;=ROW(),ROW()&lt;=G$1),"文法",AND(H$1&lt;=ROW(),ROW()&lt;=I$1),"読解",AND(J$1&lt;=ROW(),ROW()&lt;=K$1),"聴解",K$1&lt;ROW(),"")</f>
        <v/>
      </c>
    </row>
    <row r="131" spans="1:1">
      <c r="A131" t="str" cm="1">
        <f t="array" aca="1" ref="A131" ca="1">_xlfn.IFS(AND(D$1&lt;=ROW(),ROW()&lt;=E$1),"文字語彙",AND(F$1&lt;=ROW(),ROW()&lt;=G$1),"文法",AND(H$1&lt;=ROW(),ROW()&lt;=I$1),"読解",AND(J$1&lt;=ROW(),ROW()&lt;=K$1),"聴解",K$1&lt;ROW(),"")</f>
        <v/>
      </c>
    </row>
    <row r="132" spans="1:1">
      <c r="A132" t="str" cm="1">
        <f t="array" aca="1" ref="A132" ca="1">_xlfn.IFS(AND(D$1&lt;=ROW(),ROW()&lt;=E$1),"文字語彙",AND(F$1&lt;=ROW(),ROW()&lt;=G$1),"文法",AND(H$1&lt;=ROW(),ROW()&lt;=I$1),"読解",AND(J$1&lt;=ROW(),ROW()&lt;=K$1),"聴解",K$1&lt;ROW(),"")</f>
        <v/>
      </c>
    </row>
    <row r="133" spans="1:1">
      <c r="A133" t="str" cm="1">
        <f t="array" aca="1" ref="A133" ca="1">_xlfn.IFS(AND(D$1&lt;=ROW(),ROW()&lt;=E$1),"文字語彙",AND(F$1&lt;=ROW(),ROW()&lt;=G$1),"文法",AND(H$1&lt;=ROW(),ROW()&lt;=I$1),"読解",AND(J$1&lt;=ROW(),ROW()&lt;=K$1),"聴解",K$1&lt;ROW(),"")</f>
        <v/>
      </c>
    </row>
    <row r="134" spans="1:1">
      <c r="A134" t="str" cm="1">
        <f t="array" aca="1" ref="A134" ca="1">_xlfn.IFS(AND(D$1&lt;=ROW(),ROW()&lt;=E$1),"文字語彙",AND(F$1&lt;=ROW(),ROW()&lt;=G$1),"文法",AND(H$1&lt;=ROW(),ROW()&lt;=I$1),"読解",AND(J$1&lt;=ROW(),ROW()&lt;=K$1),"聴解",K$1&lt;ROW(),"")</f>
        <v/>
      </c>
    </row>
    <row r="135" spans="1:1">
      <c r="A135" t="str" cm="1">
        <f t="array" aca="1" ref="A135" ca="1">_xlfn.IFS(AND(D$1&lt;=ROW(),ROW()&lt;=E$1),"文字語彙",AND(F$1&lt;=ROW(),ROW()&lt;=G$1),"文法",AND(H$1&lt;=ROW(),ROW()&lt;=I$1),"読解",AND(J$1&lt;=ROW(),ROW()&lt;=K$1),"聴解",K$1&lt;ROW(),"")</f>
        <v/>
      </c>
    </row>
    <row r="136" spans="1:1">
      <c r="A136" t="str" cm="1">
        <f t="array" aca="1" ref="A136" ca="1">_xlfn.IFS(AND(D$1&lt;=ROW(),ROW()&lt;=E$1),"文字語彙",AND(F$1&lt;=ROW(),ROW()&lt;=G$1),"文法",AND(H$1&lt;=ROW(),ROW()&lt;=I$1),"読解",AND(J$1&lt;=ROW(),ROW()&lt;=K$1),"聴解",K$1&lt;ROW(),"")</f>
        <v/>
      </c>
    </row>
    <row r="137" spans="1:1">
      <c r="A137" t="str" cm="1">
        <f t="array" aca="1" ref="A137" ca="1">_xlfn.IFS(AND(D$1&lt;=ROW(),ROW()&lt;=E$1),"文字語彙",AND(F$1&lt;=ROW(),ROW()&lt;=G$1),"文法",AND(H$1&lt;=ROW(),ROW()&lt;=I$1),"読解",AND(J$1&lt;=ROW(),ROW()&lt;=K$1),"聴解",K$1&lt;ROW(),"")</f>
        <v/>
      </c>
    </row>
    <row r="138" spans="1:1">
      <c r="A138" t="str" cm="1">
        <f t="array" aca="1" ref="A138" ca="1">_xlfn.IFS(AND(D$1&lt;=ROW(),ROW()&lt;=E$1),"文字語彙",AND(F$1&lt;=ROW(),ROW()&lt;=G$1),"文法",AND(H$1&lt;=ROW(),ROW()&lt;=I$1),"読解",AND(J$1&lt;=ROW(),ROW()&lt;=K$1),"聴解",K$1&lt;ROW(),"")</f>
        <v/>
      </c>
    </row>
    <row r="139" spans="1:1">
      <c r="A139" t="str" cm="1">
        <f t="array" aca="1" ref="A139" ca="1">_xlfn.IFS(AND(D$1&lt;=ROW(),ROW()&lt;=E$1),"文字語彙",AND(F$1&lt;=ROW(),ROW()&lt;=G$1),"文法",AND(H$1&lt;=ROW(),ROW()&lt;=I$1),"読解",AND(J$1&lt;=ROW(),ROW()&lt;=K$1),"聴解",K$1&lt;ROW(),"")</f>
        <v/>
      </c>
    </row>
    <row r="140" spans="1:1">
      <c r="A140" t="str" cm="1">
        <f t="array" aca="1" ref="A140" ca="1">_xlfn.IFS(AND(D$1&lt;=ROW(),ROW()&lt;=E$1),"文字語彙",AND(F$1&lt;=ROW(),ROW()&lt;=G$1),"文法",AND(H$1&lt;=ROW(),ROW()&lt;=I$1),"読解",AND(J$1&lt;=ROW(),ROW()&lt;=K$1),"聴解",K$1&lt;ROW(),"")</f>
        <v/>
      </c>
    </row>
    <row r="141" spans="1:1">
      <c r="A141" t="str" cm="1">
        <f t="array" aca="1" ref="A141" ca="1">_xlfn.IFS(AND(D$1&lt;=ROW(),ROW()&lt;=E$1),"文字語彙",AND(F$1&lt;=ROW(),ROW()&lt;=G$1),"文法",AND(H$1&lt;=ROW(),ROW()&lt;=I$1),"読解",AND(J$1&lt;=ROW(),ROW()&lt;=K$1),"聴解",K$1&lt;ROW(),"")</f>
        <v/>
      </c>
    </row>
    <row r="142" spans="1:1">
      <c r="A142" t="str" cm="1">
        <f t="array" aca="1" ref="A142" ca="1">_xlfn.IFS(AND(D$1&lt;=ROW(),ROW()&lt;=E$1),"文字語彙",AND(F$1&lt;=ROW(),ROW()&lt;=G$1),"文法",AND(H$1&lt;=ROW(),ROW()&lt;=I$1),"読解",AND(J$1&lt;=ROW(),ROW()&lt;=K$1),"聴解",K$1&lt;ROW(),"")</f>
        <v/>
      </c>
    </row>
    <row r="143" spans="1:1">
      <c r="A143" t="str" cm="1">
        <f t="array" aca="1" ref="A143" ca="1">_xlfn.IFS(AND(D$1&lt;=ROW(),ROW()&lt;=E$1),"文字語彙",AND(F$1&lt;=ROW(),ROW()&lt;=G$1),"文法",AND(H$1&lt;=ROW(),ROW()&lt;=I$1),"読解",AND(J$1&lt;=ROW(),ROW()&lt;=K$1),"聴解",K$1&lt;ROW(),"")</f>
        <v/>
      </c>
    </row>
    <row r="144" spans="1:1">
      <c r="A144" t="str" cm="1">
        <f t="array" aca="1" ref="A144" ca="1">_xlfn.IFS(AND(D$1&lt;=ROW(),ROW()&lt;=E$1),"文字語彙",AND(F$1&lt;=ROW(),ROW()&lt;=G$1),"文法",AND(H$1&lt;=ROW(),ROW()&lt;=I$1),"読解",AND(J$1&lt;=ROW(),ROW()&lt;=K$1),"聴解",K$1&lt;ROW(),"")</f>
        <v/>
      </c>
    </row>
    <row r="145" spans="1:1">
      <c r="A145" t="str" cm="1">
        <f t="array" aca="1" ref="A145" ca="1">_xlfn.IFS(AND(D$1&lt;=ROW(),ROW()&lt;=E$1),"文字語彙",AND(F$1&lt;=ROW(),ROW()&lt;=G$1),"文法",AND(H$1&lt;=ROW(),ROW()&lt;=I$1),"読解",AND(J$1&lt;=ROW(),ROW()&lt;=K$1),"聴解",K$1&lt;ROW(),"")</f>
        <v/>
      </c>
    </row>
    <row r="146" spans="1:1">
      <c r="A146" t="str" cm="1">
        <f t="array" aca="1" ref="A146" ca="1">_xlfn.IFS(AND(D$1&lt;=ROW(),ROW()&lt;=E$1),"文字語彙",AND(F$1&lt;=ROW(),ROW()&lt;=G$1),"文法",AND(H$1&lt;=ROW(),ROW()&lt;=I$1),"読解",AND(J$1&lt;=ROW(),ROW()&lt;=K$1),"聴解",K$1&lt;ROW(),"")</f>
        <v/>
      </c>
    </row>
    <row r="147" spans="1:1">
      <c r="A147" t="str" cm="1">
        <f t="array" aca="1" ref="A147" ca="1">_xlfn.IFS(AND(D$1&lt;=ROW(),ROW()&lt;=E$1),"文字語彙",AND(F$1&lt;=ROW(),ROW()&lt;=G$1),"文法",AND(H$1&lt;=ROW(),ROW()&lt;=I$1),"読解",AND(J$1&lt;=ROW(),ROW()&lt;=K$1),"聴解",K$1&lt;ROW(),"")</f>
        <v/>
      </c>
    </row>
    <row r="148" spans="1:1">
      <c r="A148" t="str" cm="1">
        <f t="array" aca="1" ref="A148" ca="1">_xlfn.IFS(AND(D$1&lt;=ROW(),ROW()&lt;=E$1),"文字語彙",AND(F$1&lt;=ROW(),ROW()&lt;=G$1),"文法",AND(H$1&lt;=ROW(),ROW()&lt;=I$1),"読解",AND(J$1&lt;=ROW(),ROW()&lt;=K$1),"聴解",K$1&lt;ROW(),"")</f>
        <v/>
      </c>
    </row>
    <row r="149" spans="1:1">
      <c r="A149" t="str" cm="1">
        <f t="array" aca="1" ref="A149" ca="1">_xlfn.IFS(AND(D$1&lt;=ROW(),ROW()&lt;=E$1),"文字語彙",AND(F$1&lt;=ROW(),ROW()&lt;=G$1),"文法",AND(H$1&lt;=ROW(),ROW()&lt;=I$1),"読解",AND(J$1&lt;=ROW(),ROW()&lt;=K$1),"聴解",K$1&lt;ROW(),"")</f>
        <v/>
      </c>
    </row>
    <row r="150" spans="1:1">
      <c r="A150" t="str" cm="1">
        <f t="array" aca="1" ref="A150" ca="1">_xlfn.IFS(AND(D$1&lt;=ROW(),ROW()&lt;=E$1),"文字語彙",AND(F$1&lt;=ROW(),ROW()&lt;=G$1),"文法",AND(H$1&lt;=ROW(),ROW()&lt;=I$1),"読解",AND(J$1&lt;=ROW(),ROW()&lt;=K$1),"聴解",K$1&lt;ROW(),"")</f>
        <v/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0CEF-F8F8-48E2-91D0-264CEE99ADCD}">
  <dimension ref="A1:K150"/>
  <sheetViews>
    <sheetView workbookViewId="0">
      <selection activeCell="K1" sqref="D1:K1"/>
    </sheetView>
  </sheetViews>
  <sheetFormatPr defaultRowHeight="18.75"/>
  <cols>
    <col min="3" max="3" width="20.3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4</v>
      </c>
      <c r="C1" t="str">
        <f ca="1">RIGHT(CELL("filename",D1),LEN(CELL("filename",D1))-FIND("]",CELL("filename",D1)))</f>
        <v>公式問題集第二集 N3</v>
      </c>
      <c r="D1">
        <f ca="1">_xlfn.XLOOKUP($C1,試験情報!$A:$A,試験情報!G:G,"エラー",0,1)</f>
        <v>1</v>
      </c>
      <c r="E1">
        <f ca="1">_xlfn.XLOOKUP($C1,試験情報!$A:$A,試験情報!H:H,"エラー",0,1)</f>
        <v>35</v>
      </c>
      <c r="F1">
        <f ca="1">_xlfn.XLOOKUP($C1,試験情報!$A:$A,試験情報!I:I,"エラー",0,1)</f>
        <v>36</v>
      </c>
      <c r="G1">
        <f ca="1">_xlfn.XLOOKUP($C1,試験情報!$A:$A,試験情報!J:J,"エラー",0,1)</f>
        <v>58</v>
      </c>
      <c r="H1">
        <f ca="1">_xlfn.XLOOKUP($C1,試験情報!$A:$A,試験情報!K:K,"エラー",0,1)</f>
        <v>59</v>
      </c>
      <c r="I1">
        <f ca="1">_xlfn.XLOOKUP($C1,試験情報!$A:$A,試験情報!L:L,"エラー",0,1)</f>
        <v>74</v>
      </c>
      <c r="J1">
        <f ca="1">_xlfn.XLOOKUP($C1,試験情報!$A:$A,試験情報!M:M,"エラー",0,1)</f>
        <v>75</v>
      </c>
      <c r="K1">
        <f ca="1">_xlfn.XLOOKUP($C1,試験情報!$A:$A,試験情報!N:N,"エラー",0,1)</f>
        <v>102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2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1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3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2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4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3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1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4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3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3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2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1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4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2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4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1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3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1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3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2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4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4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1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2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4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1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3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1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2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3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2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2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1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文字語彙</v>
      </c>
      <c r="B35">
        <v>3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2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4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3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1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4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2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3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2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3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1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2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4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1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2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4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2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1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3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3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4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1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3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2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読解</v>
      </c>
      <c r="B59">
        <v>3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読解</v>
      </c>
      <c r="B60">
        <v>2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4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1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2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3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4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3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4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読解</v>
      </c>
      <c r="B68">
        <v>1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読解</v>
      </c>
      <c r="B69">
        <v>4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読解</v>
      </c>
      <c r="B70">
        <v>4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読解</v>
      </c>
      <c r="B71">
        <v>1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読解</v>
      </c>
      <c r="B72">
        <v>3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読解</v>
      </c>
      <c r="B73">
        <v>2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読解</v>
      </c>
      <c r="B74">
        <v>2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2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3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1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2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1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2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2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4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1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1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3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4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3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4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2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1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2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>聴解</v>
      </c>
      <c r="B92">
        <v>3</v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>聴解</v>
      </c>
      <c r="B93">
        <v>3</v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>聴解</v>
      </c>
      <c r="B94">
        <v>1</v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>聴解</v>
      </c>
      <c r="B95">
        <v>3</v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>聴解</v>
      </c>
      <c r="B96">
        <v>2</v>
      </c>
    </row>
    <row r="97" spans="1:2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>聴解</v>
      </c>
      <c r="B97">
        <v>1</v>
      </c>
    </row>
    <row r="98" spans="1:2">
      <c r="A98" t="str" cm="1">
        <f t="array" aca="1" ref="A98" ca="1">_xlfn.IFS(AND(D$1&lt;=ROW(),ROW()&lt;=E$1),"文字語彙",AND(F$1&lt;=ROW(),ROW()&lt;=G$1),"文法",AND(H$1&lt;=ROW(),ROW()&lt;=I$1),"読解",AND(J$1&lt;=ROW(),ROW()&lt;=K$1),"聴解",K$1&lt;ROW(),"")</f>
        <v>聴解</v>
      </c>
      <c r="B98">
        <v>1</v>
      </c>
    </row>
    <row r="99" spans="1:2">
      <c r="A99" t="str" cm="1">
        <f t="array" aca="1" ref="A99" ca="1">_xlfn.IFS(AND(D$1&lt;=ROW(),ROW()&lt;=E$1),"文字語彙",AND(F$1&lt;=ROW(),ROW()&lt;=G$1),"文法",AND(H$1&lt;=ROW(),ROW()&lt;=I$1),"読解",AND(J$1&lt;=ROW(),ROW()&lt;=K$1),"聴解",K$1&lt;ROW(),"")</f>
        <v>聴解</v>
      </c>
      <c r="B99">
        <v>3</v>
      </c>
    </row>
    <row r="100" spans="1:2">
      <c r="A100" t="str" cm="1">
        <f t="array" aca="1" ref="A100" ca="1">_xlfn.IFS(AND(D$1&lt;=ROW(),ROW()&lt;=E$1),"文字語彙",AND(F$1&lt;=ROW(),ROW()&lt;=G$1),"文法",AND(H$1&lt;=ROW(),ROW()&lt;=I$1),"読解",AND(J$1&lt;=ROW(),ROW()&lt;=K$1),"聴解",K$1&lt;ROW(),"")</f>
        <v>聴解</v>
      </c>
      <c r="B100">
        <v>2</v>
      </c>
    </row>
    <row r="101" spans="1:2">
      <c r="A101" t="str" cm="1">
        <f t="array" aca="1" ref="A101" ca="1">_xlfn.IFS(AND(D$1&lt;=ROW(),ROW()&lt;=E$1),"文字語彙",AND(F$1&lt;=ROW(),ROW()&lt;=G$1),"文法",AND(H$1&lt;=ROW(),ROW()&lt;=I$1),"読解",AND(J$1&lt;=ROW(),ROW()&lt;=K$1),"聴解",K$1&lt;ROW(),"")</f>
        <v>聴解</v>
      </c>
      <c r="B101">
        <v>1</v>
      </c>
    </row>
    <row r="102" spans="1:2">
      <c r="A102" t="str" cm="1">
        <f t="array" aca="1" ref="A102" ca="1">_xlfn.IFS(AND(D$1&lt;=ROW(),ROW()&lt;=E$1),"文字語彙",AND(F$1&lt;=ROW(),ROW()&lt;=G$1),"文法",AND(H$1&lt;=ROW(),ROW()&lt;=I$1),"読解",AND(J$1&lt;=ROW(),ROW()&lt;=K$1),"聴解",K$1&lt;ROW(),"")</f>
        <v>聴解</v>
      </c>
      <c r="B102">
        <v>2</v>
      </c>
    </row>
    <row r="103" spans="1:2">
      <c r="A103" t="str" cm="1">
        <f t="array" aca="1" ref="A103" ca="1">_xlfn.IFS(AND(D$1&lt;=ROW(),ROW()&lt;=E$1),"文字語彙",AND(F$1&lt;=ROW(),ROW()&lt;=G$1),"文法",AND(H$1&lt;=ROW(),ROW()&lt;=I$1),"読解",AND(J$1&lt;=ROW(),ROW()&lt;=K$1),"聴解",K$1&lt;ROW(),"")</f>
        <v/>
      </c>
    </row>
    <row r="104" spans="1:2">
      <c r="A104" t="str" cm="1">
        <f t="array" aca="1" ref="A104" ca="1">_xlfn.IFS(AND(D$1&lt;=ROW(),ROW()&lt;=E$1),"文字語彙",AND(F$1&lt;=ROW(),ROW()&lt;=G$1),"文法",AND(H$1&lt;=ROW(),ROW()&lt;=I$1),"読解",AND(J$1&lt;=ROW(),ROW()&lt;=K$1),"聴解",K$1&lt;ROW(),"")</f>
        <v/>
      </c>
    </row>
    <row r="105" spans="1:2">
      <c r="A105" t="str" cm="1">
        <f t="array" aca="1" ref="A105" ca="1">_xlfn.IFS(AND(D$1&lt;=ROW(),ROW()&lt;=E$1),"文字語彙",AND(F$1&lt;=ROW(),ROW()&lt;=G$1),"文法",AND(H$1&lt;=ROW(),ROW()&lt;=I$1),"読解",AND(J$1&lt;=ROW(),ROW()&lt;=K$1),"聴解",K$1&lt;ROW(),"")</f>
        <v/>
      </c>
    </row>
    <row r="106" spans="1:2">
      <c r="A106" t="str" cm="1">
        <f t="array" aca="1" ref="A106" ca="1">_xlfn.IFS(AND(D$1&lt;=ROW(),ROW()&lt;=E$1),"文字語彙",AND(F$1&lt;=ROW(),ROW()&lt;=G$1),"文法",AND(H$1&lt;=ROW(),ROW()&lt;=I$1),"読解",AND(J$1&lt;=ROW(),ROW()&lt;=K$1),"聴解",K$1&lt;ROW(),"")</f>
        <v/>
      </c>
    </row>
    <row r="107" spans="1:2">
      <c r="A107" t="str" cm="1">
        <f t="array" aca="1" ref="A107" ca="1">_xlfn.IFS(AND(D$1&lt;=ROW(),ROW()&lt;=E$1),"文字語彙",AND(F$1&lt;=ROW(),ROW()&lt;=G$1),"文法",AND(H$1&lt;=ROW(),ROW()&lt;=I$1),"読解",AND(J$1&lt;=ROW(),ROW()&lt;=K$1),"聴解",K$1&lt;ROW(),"")</f>
        <v/>
      </c>
    </row>
    <row r="108" spans="1:2">
      <c r="A108" t="str" cm="1">
        <f t="array" aca="1" ref="A108" ca="1">_xlfn.IFS(AND(D$1&lt;=ROW(),ROW()&lt;=E$1),"文字語彙",AND(F$1&lt;=ROW(),ROW()&lt;=G$1),"文法",AND(H$1&lt;=ROW(),ROW()&lt;=I$1),"読解",AND(J$1&lt;=ROW(),ROW()&lt;=K$1),"聴解",K$1&lt;ROW(),"")</f>
        <v/>
      </c>
    </row>
    <row r="109" spans="1:2">
      <c r="A109" t="str" cm="1">
        <f t="array" aca="1" ref="A109" ca="1">_xlfn.IFS(AND(D$1&lt;=ROW(),ROW()&lt;=E$1),"文字語彙",AND(F$1&lt;=ROW(),ROW()&lt;=G$1),"文法",AND(H$1&lt;=ROW(),ROW()&lt;=I$1),"読解",AND(J$1&lt;=ROW(),ROW()&lt;=K$1),"聴解",K$1&lt;ROW(),"")</f>
        <v/>
      </c>
    </row>
    <row r="110" spans="1:2">
      <c r="A110" t="str" cm="1">
        <f t="array" aca="1" ref="A110" ca="1">_xlfn.IFS(AND(D$1&lt;=ROW(),ROW()&lt;=E$1),"文字語彙",AND(F$1&lt;=ROW(),ROW()&lt;=G$1),"文法",AND(H$1&lt;=ROW(),ROW()&lt;=I$1),"読解",AND(J$1&lt;=ROW(),ROW()&lt;=K$1),"聴解",K$1&lt;ROW(),"")</f>
        <v/>
      </c>
    </row>
    <row r="111" spans="1:2">
      <c r="A111" t="str" cm="1">
        <f t="array" aca="1" ref="A111" ca="1">_xlfn.IFS(AND(D$1&lt;=ROW(),ROW()&lt;=E$1),"文字語彙",AND(F$1&lt;=ROW(),ROW()&lt;=G$1),"文法",AND(H$1&lt;=ROW(),ROW()&lt;=I$1),"読解",AND(J$1&lt;=ROW(),ROW()&lt;=K$1),"聴解",K$1&lt;ROW(),"")</f>
        <v/>
      </c>
    </row>
    <row r="112" spans="1:2">
      <c r="A112" t="str" cm="1">
        <f t="array" aca="1" ref="A112" ca="1">_xlfn.IFS(AND(D$1&lt;=ROW(),ROW()&lt;=E$1),"文字語彙",AND(F$1&lt;=ROW(),ROW()&lt;=G$1),"文法",AND(H$1&lt;=ROW(),ROW()&lt;=I$1),"読解",AND(J$1&lt;=ROW(),ROW()&lt;=K$1),"聴解",K$1&lt;ROW(),"")</f>
        <v/>
      </c>
    </row>
    <row r="113" spans="1:1">
      <c r="A113" t="str" cm="1">
        <f t="array" aca="1" ref="A113" ca="1">_xlfn.IFS(AND(D$1&lt;=ROW(),ROW()&lt;=E$1),"文字語彙",AND(F$1&lt;=ROW(),ROW()&lt;=G$1),"文法",AND(H$1&lt;=ROW(),ROW()&lt;=I$1),"読解",AND(J$1&lt;=ROW(),ROW()&lt;=K$1),"聴解",K$1&lt;ROW(),"")</f>
        <v/>
      </c>
    </row>
    <row r="114" spans="1:1">
      <c r="A114" t="str" cm="1">
        <f t="array" aca="1" ref="A114" ca="1">_xlfn.IFS(AND(D$1&lt;=ROW(),ROW()&lt;=E$1),"文字語彙",AND(F$1&lt;=ROW(),ROW()&lt;=G$1),"文法",AND(H$1&lt;=ROW(),ROW()&lt;=I$1),"読解",AND(J$1&lt;=ROW(),ROW()&lt;=K$1),"聴解",K$1&lt;ROW(),"")</f>
        <v/>
      </c>
    </row>
    <row r="115" spans="1:1">
      <c r="A115" t="str" cm="1">
        <f t="array" aca="1" ref="A115" ca="1">_xlfn.IFS(AND(D$1&lt;=ROW(),ROW()&lt;=E$1),"文字語彙",AND(F$1&lt;=ROW(),ROW()&lt;=G$1),"文法",AND(H$1&lt;=ROW(),ROW()&lt;=I$1),"読解",AND(J$1&lt;=ROW(),ROW()&lt;=K$1),"聴解",K$1&lt;ROW(),"")</f>
        <v/>
      </c>
    </row>
    <row r="116" spans="1:1">
      <c r="A116" t="str" cm="1">
        <f t="array" aca="1" ref="A116" ca="1">_xlfn.IFS(AND(D$1&lt;=ROW(),ROW()&lt;=E$1),"文字語彙",AND(F$1&lt;=ROW(),ROW()&lt;=G$1),"文法",AND(H$1&lt;=ROW(),ROW()&lt;=I$1),"読解",AND(J$1&lt;=ROW(),ROW()&lt;=K$1),"聴解",K$1&lt;ROW(),"")</f>
        <v/>
      </c>
    </row>
    <row r="117" spans="1:1">
      <c r="A117" t="str" cm="1">
        <f t="array" aca="1" ref="A117" ca="1">_xlfn.IFS(AND(D$1&lt;=ROW(),ROW()&lt;=E$1),"文字語彙",AND(F$1&lt;=ROW(),ROW()&lt;=G$1),"文法",AND(H$1&lt;=ROW(),ROW()&lt;=I$1),"読解",AND(J$1&lt;=ROW(),ROW()&lt;=K$1),"聴解",K$1&lt;ROW(),"")</f>
        <v/>
      </c>
    </row>
    <row r="118" spans="1:1">
      <c r="A118" t="str" cm="1">
        <f t="array" aca="1" ref="A118" ca="1">_xlfn.IFS(AND(D$1&lt;=ROW(),ROW()&lt;=E$1),"文字語彙",AND(F$1&lt;=ROW(),ROW()&lt;=G$1),"文法",AND(H$1&lt;=ROW(),ROW()&lt;=I$1),"読解",AND(J$1&lt;=ROW(),ROW()&lt;=K$1),"聴解",K$1&lt;ROW(),"")</f>
        <v/>
      </c>
    </row>
    <row r="119" spans="1:1">
      <c r="A119" t="str" cm="1">
        <f t="array" aca="1" ref="A119" ca="1">_xlfn.IFS(AND(D$1&lt;=ROW(),ROW()&lt;=E$1),"文字語彙",AND(F$1&lt;=ROW(),ROW()&lt;=G$1),"文法",AND(H$1&lt;=ROW(),ROW()&lt;=I$1),"読解",AND(J$1&lt;=ROW(),ROW()&lt;=K$1),"聴解",K$1&lt;ROW(),"")</f>
        <v/>
      </c>
    </row>
    <row r="120" spans="1:1">
      <c r="A120" t="str" cm="1">
        <f t="array" aca="1" ref="A120" ca="1">_xlfn.IFS(AND(D$1&lt;=ROW(),ROW()&lt;=E$1),"文字語彙",AND(F$1&lt;=ROW(),ROW()&lt;=G$1),"文法",AND(H$1&lt;=ROW(),ROW()&lt;=I$1),"読解",AND(J$1&lt;=ROW(),ROW()&lt;=K$1),"聴解",K$1&lt;ROW(),"")</f>
        <v/>
      </c>
    </row>
    <row r="121" spans="1:1">
      <c r="A121" t="str" cm="1">
        <f t="array" aca="1" ref="A121" ca="1">_xlfn.IFS(AND(D$1&lt;=ROW(),ROW()&lt;=E$1),"文字語彙",AND(F$1&lt;=ROW(),ROW()&lt;=G$1),"文法",AND(H$1&lt;=ROW(),ROW()&lt;=I$1),"読解",AND(J$1&lt;=ROW(),ROW()&lt;=K$1),"聴解",K$1&lt;ROW(),"")</f>
        <v/>
      </c>
    </row>
    <row r="122" spans="1:1">
      <c r="A122" t="str" cm="1">
        <f t="array" aca="1" ref="A122" ca="1">_xlfn.IFS(AND(D$1&lt;=ROW(),ROW()&lt;=E$1),"文字語彙",AND(F$1&lt;=ROW(),ROW()&lt;=G$1),"文法",AND(H$1&lt;=ROW(),ROW()&lt;=I$1),"読解",AND(J$1&lt;=ROW(),ROW()&lt;=K$1),"聴解",K$1&lt;ROW(),"")</f>
        <v/>
      </c>
    </row>
    <row r="123" spans="1:1">
      <c r="A123" t="str" cm="1">
        <f t="array" aca="1" ref="A123" ca="1">_xlfn.IFS(AND(D$1&lt;=ROW(),ROW()&lt;=E$1),"文字語彙",AND(F$1&lt;=ROW(),ROW()&lt;=G$1),"文法",AND(H$1&lt;=ROW(),ROW()&lt;=I$1),"読解",AND(J$1&lt;=ROW(),ROW()&lt;=K$1),"聴解",K$1&lt;ROW(),"")</f>
        <v/>
      </c>
    </row>
    <row r="124" spans="1:1">
      <c r="A124" t="str" cm="1">
        <f t="array" aca="1" ref="A124" ca="1">_xlfn.IFS(AND(D$1&lt;=ROW(),ROW()&lt;=E$1),"文字語彙",AND(F$1&lt;=ROW(),ROW()&lt;=G$1),"文法",AND(H$1&lt;=ROW(),ROW()&lt;=I$1),"読解",AND(J$1&lt;=ROW(),ROW()&lt;=K$1),"聴解",K$1&lt;ROW(),"")</f>
        <v/>
      </c>
    </row>
    <row r="125" spans="1:1">
      <c r="A125" t="str" cm="1">
        <f t="array" aca="1" ref="A125" ca="1">_xlfn.IFS(AND(D$1&lt;=ROW(),ROW()&lt;=E$1),"文字語彙",AND(F$1&lt;=ROW(),ROW()&lt;=G$1),"文法",AND(H$1&lt;=ROW(),ROW()&lt;=I$1),"読解",AND(J$1&lt;=ROW(),ROW()&lt;=K$1),"聴解",K$1&lt;ROW(),"")</f>
        <v/>
      </c>
    </row>
    <row r="126" spans="1:1">
      <c r="A126" t="str" cm="1">
        <f t="array" aca="1" ref="A126" ca="1">_xlfn.IFS(AND(D$1&lt;=ROW(),ROW()&lt;=E$1),"文字語彙",AND(F$1&lt;=ROW(),ROW()&lt;=G$1),"文法",AND(H$1&lt;=ROW(),ROW()&lt;=I$1),"読解",AND(J$1&lt;=ROW(),ROW()&lt;=K$1),"聴解",K$1&lt;ROW(),"")</f>
        <v/>
      </c>
    </row>
    <row r="127" spans="1:1">
      <c r="A127" t="str" cm="1">
        <f t="array" aca="1" ref="A127" ca="1">_xlfn.IFS(AND(D$1&lt;=ROW(),ROW()&lt;=E$1),"文字語彙",AND(F$1&lt;=ROW(),ROW()&lt;=G$1),"文法",AND(H$1&lt;=ROW(),ROW()&lt;=I$1),"読解",AND(J$1&lt;=ROW(),ROW()&lt;=K$1),"聴解",K$1&lt;ROW(),"")</f>
        <v/>
      </c>
    </row>
    <row r="128" spans="1:1">
      <c r="A128" t="str" cm="1">
        <f t="array" aca="1" ref="A128" ca="1">_xlfn.IFS(AND(D$1&lt;=ROW(),ROW()&lt;=E$1),"文字語彙",AND(F$1&lt;=ROW(),ROW()&lt;=G$1),"文法",AND(H$1&lt;=ROW(),ROW()&lt;=I$1),"読解",AND(J$1&lt;=ROW(),ROW()&lt;=K$1),"聴解",K$1&lt;ROW(),"")</f>
        <v/>
      </c>
    </row>
    <row r="129" spans="1:1">
      <c r="A129" t="str" cm="1">
        <f t="array" aca="1" ref="A129" ca="1">_xlfn.IFS(AND(D$1&lt;=ROW(),ROW()&lt;=E$1),"文字語彙",AND(F$1&lt;=ROW(),ROW()&lt;=G$1),"文法",AND(H$1&lt;=ROW(),ROW()&lt;=I$1),"読解",AND(J$1&lt;=ROW(),ROW()&lt;=K$1),"聴解",K$1&lt;ROW(),"")</f>
        <v/>
      </c>
    </row>
    <row r="130" spans="1:1">
      <c r="A130" t="str" cm="1">
        <f t="array" aca="1" ref="A130" ca="1">_xlfn.IFS(AND(D$1&lt;=ROW(),ROW()&lt;=E$1),"文字語彙",AND(F$1&lt;=ROW(),ROW()&lt;=G$1),"文法",AND(H$1&lt;=ROW(),ROW()&lt;=I$1),"読解",AND(J$1&lt;=ROW(),ROW()&lt;=K$1),"聴解",K$1&lt;ROW(),"")</f>
        <v/>
      </c>
    </row>
    <row r="131" spans="1:1">
      <c r="A131" t="str" cm="1">
        <f t="array" aca="1" ref="A131" ca="1">_xlfn.IFS(AND(D$1&lt;=ROW(),ROW()&lt;=E$1),"文字語彙",AND(F$1&lt;=ROW(),ROW()&lt;=G$1),"文法",AND(H$1&lt;=ROW(),ROW()&lt;=I$1),"読解",AND(J$1&lt;=ROW(),ROW()&lt;=K$1),"聴解",K$1&lt;ROW(),"")</f>
        <v/>
      </c>
    </row>
    <row r="132" spans="1:1">
      <c r="A132" t="str" cm="1">
        <f t="array" aca="1" ref="A132" ca="1">_xlfn.IFS(AND(D$1&lt;=ROW(),ROW()&lt;=E$1),"文字語彙",AND(F$1&lt;=ROW(),ROW()&lt;=G$1),"文法",AND(H$1&lt;=ROW(),ROW()&lt;=I$1),"読解",AND(J$1&lt;=ROW(),ROW()&lt;=K$1),"聴解",K$1&lt;ROW(),"")</f>
        <v/>
      </c>
    </row>
    <row r="133" spans="1:1">
      <c r="A133" t="str" cm="1">
        <f t="array" aca="1" ref="A133" ca="1">_xlfn.IFS(AND(D$1&lt;=ROW(),ROW()&lt;=E$1),"文字語彙",AND(F$1&lt;=ROW(),ROW()&lt;=G$1),"文法",AND(H$1&lt;=ROW(),ROW()&lt;=I$1),"読解",AND(J$1&lt;=ROW(),ROW()&lt;=K$1),"聴解",K$1&lt;ROW(),"")</f>
        <v/>
      </c>
    </row>
    <row r="134" spans="1:1">
      <c r="A134" t="str" cm="1">
        <f t="array" aca="1" ref="A134" ca="1">_xlfn.IFS(AND(D$1&lt;=ROW(),ROW()&lt;=E$1),"文字語彙",AND(F$1&lt;=ROW(),ROW()&lt;=G$1),"文法",AND(H$1&lt;=ROW(),ROW()&lt;=I$1),"読解",AND(J$1&lt;=ROW(),ROW()&lt;=K$1),"聴解",K$1&lt;ROW(),"")</f>
        <v/>
      </c>
    </row>
    <row r="135" spans="1:1">
      <c r="A135" t="str" cm="1">
        <f t="array" aca="1" ref="A135" ca="1">_xlfn.IFS(AND(D$1&lt;=ROW(),ROW()&lt;=E$1),"文字語彙",AND(F$1&lt;=ROW(),ROW()&lt;=G$1),"文法",AND(H$1&lt;=ROW(),ROW()&lt;=I$1),"読解",AND(J$1&lt;=ROW(),ROW()&lt;=K$1),"聴解",K$1&lt;ROW(),"")</f>
        <v/>
      </c>
    </row>
    <row r="136" spans="1:1">
      <c r="A136" t="str" cm="1">
        <f t="array" aca="1" ref="A136" ca="1">_xlfn.IFS(AND(D$1&lt;=ROW(),ROW()&lt;=E$1),"文字語彙",AND(F$1&lt;=ROW(),ROW()&lt;=G$1),"文法",AND(H$1&lt;=ROW(),ROW()&lt;=I$1),"読解",AND(J$1&lt;=ROW(),ROW()&lt;=K$1),"聴解",K$1&lt;ROW(),"")</f>
        <v/>
      </c>
    </row>
    <row r="137" spans="1:1">
      <c r="A137" t="str" cm="1">
        <f t="array" aca="1" ref="A137" ca="1">_xlfn.IFS(AND(D$1&lt;=ROW(),ROW()&lt;=E$1),"文字語彙",AND(F$1&lt;=ROW(),ROW()&lt;=G$1),"文法",AND(H$1&lt;=ROW(),ROW()&lt;=I$1),"読解",AND(J$1&lt;=ROW(),ROW()&lt;=K$1),"聴解",K$1&lt;ROW(),"")</f>
        <v/>
      </c>
    </row>
    <row r="138" spans="1:1">
      <c r="A138" t="str" cm="1">
        <f t="array" aca="1" ref="A138" ca="1">_xlfn.IFS(AND(D$1&lt;=ROW(),ROW()&lt;=E$1),"文字語彙",AND(F$1&lt;=ROW(),ROW()&lt;=G$1),"文法",AND(H$1&lt;=ROW(),ROW()&lt;=I$1),"読解",AND(J$1&lt;=ROW(),ROW()&lt;=K$1),"聴解",K$1&lt;ROW(),"")</f>
        <v/>
      </c>
    </row>
    <row r="139" spans="1:1">
      <c r="A139" t="str" cm="1">
        <f t="array" aca="1" ref="A139" ca="1">_xlfn.IFS(AND(D$1&lt;=ROW(),ROW()&lt;=E$1),"文字語彙",AND(F$1&lt;=ROW(),ROW()&lt;=G$1),"文法",AND(H$1&lt;=ROW(),ROW()&lt;=I$1),"読解",AND(J$1&lt;=ROW(),ROW()&lt;=K$1),"聴解",K$1&lt;ROW(),"")</f>
        <v/>
      </c>
    </row>
    <row r="140" spans="1:1">
      <c r="A140" t="str" cm="1">
        <f t="array" aca="1" ref="A140" ca="1">_xlfn.IFS(AND(D$1&lt;=ROW(),ROW()&lt;=E$1),"文字語彙",AND(F$1&lt;=ROW(),ROW()&lt;=G$1),"文法",AND(H$1&lt;=ROW(),ROW()&lt;=I$1),"読解",AND(J$1&lt;=ROW(),ROW()&lt;=K$1),"聴解",K$1&lt;ROW(),"")</f>
        <v/>
      </c>
    </row>
    <row r="141" spans="1:1">
      <c r="A141" t="str" cm="1">
        <f t="array" aca="1" ref="A141" ca="1">_xlfn.IFS(AND(D$1&lt;=ROW(),ROW()&lt;=E$1),"文字語彙",AND(F$1&lt;=ROW(),ROW()&lt;=G$1),"文法",AND(H$1&lt;=ROW(),ROW()&lt;=I$1),"読解",AND(J$1&lt;=ROW(),ROW()&lt;=K$1),"聴解",K$1&lt;ROW(),"")</f>
        <v/>
      </c>
    </row>
    <row r="142" spans="1:1">
      <c r="A142" t="str" cm="1">
        <f t="array" aca="1" ref="A142" ca="1">_xlfn.IFS(AND(D$1&lt;=ROW(),ROW()&lt;=E$1),"文字語彙",AND(F$1&lt;=ROW(),ROW()&lt;=G$1),"文法",AND(H$1&lt;=ROW(),ROW()&lt;=I$1),"読解",AND(J$1&lt;=ROW(),ROW()&lt;=K$1),"聴解",K$1&lt;ROW(),"")</f>
        <v/>
      </c>
    </row>
    <row r="143" spans="1:1">
      <c r="A143" t="str" cm="1">
        <f t="array" aca="1" ref="A143" ca="1">_xlfn.IFS(AND(D$1&lt;=ROW(),ROW()&lt;=E$1),"文字語彙",AND(F$1&lt;=ROW(),ROW()&lt;=G$1),"文法",AND(H$1&lt;=ROW(),ROW()&lt;=I$1),"読解",AND(J$1&lt;=ROW(),ROW()&lt;=K$1),"聴解",K$1&lt;ROW(),"")</f>
        <v/>
      </c>
    </row>
    <row r="144" spans="1:1">
      <c r="A144" t="str" cm="1">
        <f t="array" aca="1" ref="A144" ca="1">_xlfn.IFS(AND(D$1&lt;=ROW(),ROW()&lt;=E$1),"文字語彙",AND(F$1&lt;=ROW(),ROW()&lt;=G$1),"文法",AND(H$1&lt;=ROW(),ROW()&lt;=I$1),"読解",AND(J$1&lt;=ROW(),ROW()&lt;=K$1),"聴解",K$1&lt;ROW(),"")</f>
        <v/>
      </c>
    </row>
    <row r="145" spans="1:1">
      <c r="A145" t="str" cm="1">
        <f t="array" aca="1" ref="A145" ca="1">_xlfn.IFS(AND(D$1&lt;=ROW(),ROW()&lt;=E$1),"文字語彙",AND(F$1&lt;=ROW(),ROW()&lt;=G$1),"文法",AND(H$1&lt;=ROW(),ROW()&lt;=I$1),"読解",AND(J$1&lt;=ROW(),ROW()&lt;=K$1),"聴解",K$1&lt;ROW(),"")</f>
        <v/>
      </c>
    </row>
    <row r="146" spans="1:1">
      <c r="A146" t="str" cm="1">
        <f t="array" aca="1" ref="A146" ca="1">_xlfn.IFS(AND(D$1&lt;=ROW(),ROW()&lt;=E$1),"文字語彙",AND(F$1&lt;=ROW(),ROW()&lt;=G$1),"文法",AND(H$1&lt;=ROW(),ROW()&lt;=I$1),"読解",AND(J$1&lt;=ROW(),ROW()&lt;=K$1),"聴解",K$1&lt;ROW(),"")</f>
        <v/>
      </c>
    </row>
    <row r="147" spans="1:1">
      <c r="A147" t="str" cm="1">
        <f t="array" aca="1" ref="A147" ca="1">_xlfn.IFS(AND(D$1&lt;=ROW(),ROW()&lt;=E$1),"文字語彙",AND(F$1&lt;=ROW(),ROW()&lt;=G$1),"文法",AND(H$1&lt;=ROW(),ROW()&lt;=I$1),"読解",AND(J$1&lt;=ROW(),ROW()&lt;=K$1),"聴解",K$1&lt;ROW(),"")</f>
        <v/>
      </c>
    </row>
    <row r="148" spans="1:1">
      <c r="A148" t="str" cm="1">
        <f t="array" aca="1" ref="A148" ca="1">_xlfn.IFS(AND(D$1&lt;=ROW(),ROW()&lt;=E$1),"文字語彙",AND(F$1&lt;=ROW(),ROW()&lt;=G$1),"文法",AND(H$1&lt;=ROW(),ROW()&lt;=I$1),"読解",AND(J$1&lt;=ROW(),ROW()&lt;=K$1),"聴解",K$1&lt;ROW(),"")</f>
        <v/>
      </c>
    </row>
    <row r="149" spans="1:1">
      <c r="A149" t="str" cm="1">
        <f t="array" aca="1" ref="A149" ca="1">_xlfn.IFS(AND(D$1&lt;=ROW(),ROW()&lt;=E$1),"文字語彙",AND(F$1&lt;=ROW(),ROW()&lt;=G$1),"文法",AND(H$1&lt;=ROW(),ROW()&lt;=I$1),"読解",AND(J$1&lt;=ROW(),ROW()&lt;=K$1),"聴解",K$1&lt;ROW(),"")</f>
        <v/>
      </c>
    </row>
    <row r="150" spans="1:1">
      <c r="A150" t="str" cm="1">
        <f t="array" aca="1" ref="A150" ca="1">_xlfn.IFS(AND(D$1&lt;=ROW(),ROW()&lt;=E$1),"文字語彙",AND(F$1&lt;=ROW(),ROW()&lt;=G$1),"文法",AND(H$1&lt;=ROW(),ROW()&lt;=I$1),"読解",AND(J$1&lt;=ROW(),ROW()&lt;=K$1),"聴解",K$1&lt;ROW(),"")</f>
        <v/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2FE0-B2E9-45D7-810D-DA7BD50E9B78}">
  <dimension ref="A1:K150"/>
  <sheetViews>
    <sheetView workbookViewId="0">
      <selection activeCell="D1" sqref="D1:K1"/>
    </sheetView>
  </sheetViews>
  <sheetFormatPr defaultRowHeight="18.75"/>
  <cols>
    <col min="3" max="3" width="20.3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4</v>
      </c>
      <c r="C1" t="str">
        <f ca="1">RIGHT(CELL("filename",D1),LEN(CELL("filename",D1))-FIND("]",CELL("filename",D1)))</f>
        <v>完全模試N3第1回</v>
      </c>
      <c r="D1">
        <f ca="1">_xlfn.XLOOKUP($C1,試験情報!$A:$A,試験情報!G:G,"エラー",0,1)</f>
        <v>1</v>
      </c>
      <c r="E1">
        <f ca="1">_xlfn.XLOOKUP($C1,試験情報!$A:$A,試験情報!H:H,"エラー",0,1)</f>
        <v>35</v>
      </c>
      <c r="F1">
        <f ca="1">_xlfn.XLOOKUP($C1,試験情報!$A:$A,試験情報!I:I,"エラー",0,1)</f>
        <v>36</v>
      </c>
      <c r="G1">
        <f ca="1">_xlfn.XLOOKUP($C1,試験情報!$A:$A,試験情報!J:J,"エラー",0,1)</f>
        <v>58</v>
      </c>
      <c r="H1">
        <f ca="1">_xlfn.XLOOKUP($C1,試験情報!$A:$A,試験情報!K:K,"エラー",0,1)</f>
        <v>59</v>
      </c>
      <c r="I1">
        <f ca="1">_xlfn.XLOOKUP($C1,試験情報!$A:$A,試験情報!L:L,"エラー",0,1)</f>
        <v>74</v>
      </c>
      <c r="J1">
        <f ca="1">_xlfn.XLOOKUP($C1,試験情報!$A:$A,試験情報!M:M,"エラー",0,1)</f>
        <v>75</v>
      </c>
      <c r="K1">
        <f ca="1">_xlfn.XLOOKUP($C1,試験情報!$A:$A,試験情報!N:N,"エラー",0,1)</f>
        <v>102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2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1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4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2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3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4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2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3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1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3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2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4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1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1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3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1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2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4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2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3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1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2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4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4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2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4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2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3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2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2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1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3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文字語彙</v>
      </c>
      <c r="B35">
        <v>4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2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1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4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3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2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3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2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3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4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1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4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4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1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2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2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1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1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2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4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4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1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4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2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読解</v>
      </c>
      <c r="B59">
        <v>2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読解</v>
      </c>
      <c r="B60">
        <v>4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3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3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1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3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2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4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4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読解</v>
      </c>
      <c r="B68">
        <v>2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読解</v>
      </c>
      <c r="B69">
        <v>4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読解</v>
      </c>
      <c r="B70">
        <v>2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読解</v>
      </c>
      <c r="B71">
        <v>2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読解</v>
      </c>
      <c r="B72">
        <v>4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読解</v>
      </c>
      <c r="B73">
        <v>2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読解</v>
      </c>
      <c r="B74">
        <v>4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3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3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4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2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1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3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1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4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3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2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1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4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3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1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3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2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1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>聴解</v>
      </c>
      <c r="B92">
        <v>3</v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>聴解</v>
      </c>
      <c r="B93">
        <v>3</v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>聴解</v>
      </c>
      <c r="B94">
        <v>2</v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>聴解</v>
      </c>
      <c r="B95">
        <v>1</v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>聴解</v>
      </c>
      <c r="B96">
        <v>3</v>
      </c>
    </row>
    <row r="97" spans="1:2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>聴解</v>
      </c>
      <c r="B97">
        <v>1</v>
      </c>
    </row>
    <row r="98" spans="1:2">
      <c r="A98" t="str" cm="1">
        <f t="array" aca="1" ref="A98" ca="1">_xlfn.IFS(AND(D$1&lt;=ROW(),ROW()&lt;=E$1),"文字語彙",AND(F$1&lt;=ROW(),ROW()&lt;=G$1),"文法",AND(H$1&lt;=ROW(),ROW()&lt;=I$1),"読解",AND(J$1&lt;=ROW(),ROW()&lt;=K$1),"聴解",K$1&lt;ROW(),"")</f>
        <v>聴解</v>
      </c>
      <c r="B98">
        <v>3</v>
      </c>
    </row>
    <row r="99" spans="1:2">
      <c r="A99" t="str" cm="1">
        <f t="array" aca="1" ref="A99" ca="1">_xlfn.IFS(AND(D$1&lt;=ROW(),ROW()&lt;=E$1),"文字語彙",AND(F$1&lt;=ROW(),ROW()&lt;=G$1),"文法",AND(H$1&lt;=ROW(),ROW()&lt;=I$1),"読解",AND(J$1&lt;=ROW(),ROW()&lt;=K$1),"聴解",K$1&lt;ROW(),"")</f>
        <v>聴解</v>
      </c>
      <c r="B99">
        <v>3</v>
      </c>
    </row>
    <row r="100" spans="1:2">
      <c r="A100" t="str" cm="1">
        <f t="array" aca="1" ref="A100" ca="1">_xlfn.IFS(AND(D$1&lt;=ROW(),ROW()&lt;=E$1),"文字語彙",AND(F$1&lt;=ROW(),ROW()&lt;=G$1),"文法",AND(H$1&lt;=ROW(),ROW()&lt;=I$1),"読解",AND(J$1&lt;=ROW(),ROW()&lt;=K$1),"聴解",K$1&lt;ROW(),"")</f>
        <v>聴解</v>
      </c>
      <c r="B100">
        <v>1</v>
      </c>
    </row>
    <row r="101" spans="1:2">
      <c r="A101" t="str" cm="1">
        <f t="array" aca="1" ref="A101" ca="1">_xlfn.IFS(AND(D$1&lt;=ROW(),ROW()&lt;=E$1),"文字語彙",AND(F$1&lt;=ROW(),ROW()&lt;=G$1),"文法",AND(H$1&lt;=ROW(),ROW()&lt;=I$1),"読解",AND(J$1&lt;=ROW(),ROW()&lt;=K$1),"聴解",K$1&lt;ROW(),"")</f>
        <v>聴解</v>
      </c>
      <c r="B101">
        <v>2</v>
      </c>
    </row>
    <row r="102" spans="1:2">
      <c r="A102" t="str" cm="1">
        <f t="array" aca="1" ref="A102" ca="1">_xlfn.IFS(AND(D$1&lt;=ROW(),ROW()&lt;=E$1),"文字語彙",AND(F$1&lt;=ROW(),ROW()&lt;=G$1),"文法",AND(H$1&lt;=ROW(),ROW()&lt;=I$1),"読解",AND(J$1&lt;=ROW(),ROW()&lt;=K$1),"聴解",K$1&lt;ROW(),"")</f>
        <v>聴解</v>
      </c>
      <c r="B102">
        <v>2</v>
      </c>
    </row>
    <row r="103" spans="1:2">
      <c r="A103" t="str" cm="1">
        <f t="array" aca="1" ref="A103" ca="1">_xlfn.IFS(AND(D$1&lt;=ROW(),ROW()&lt;=E$1),"文字語彙",AND(F$1&lt;=ROW(),ROW()&lt;=G$1),"文法",AND(H$1&lt;=ROW(),ROW()&lt;=I$1),"読解",AND(J$1&lt;=ROW(),ROW()&lt;=K$1),"聴解",K$1&lt;ROW(),"")</f>
        <v/>
      </c>
    </row>
    <row r="104" spans="1:2">
      <c r="A104" t="str" cm="1">
        <f t="array" aca="1" ref="A104" ca="1">_xlfn.IFS(AND(D$1&lt;=ROW(),ROW()&lt;=E$1),"文字語彙",AND(F$1&lt;=ROW(),ROW()&lt;=G$1),"文法",AND(H$1&lt;=ROW(),ROW()&lt;=I$1),"読解",AND(J$1&lt;=ROW(),ROW()&lt;=K$1),"聴解",K$1&lt;ROW(),"")</f>
        <v/>
      </c>
    </row>
    <row r="105" spans="1:2">
      <c r="A105" t="str" cm="1">
        <f t="array" aca="1" ref="A105" ca="1">_xlfn.IFS(AND(D$1&lt;=ROW(),ROW()&lt;=E$1),"文字語彙",AND(F$1&lt;=ROW(),ROW()&lt;=G$1),"文法",AND(H$1&lt;=ROW(),ROW()&lt;=I$1),"読解",AND(J$1&lt;=ROW(),ROW()&lt;=K$1),"聴解",K$1&lt;ROW(),"")</f>
        <v/>
      </c>
    </row>
    <row r="106" spans="1:2">
      <c r="A106" t="str" cm="1">
        <f t="array" aca="1" ref="A106" ca="1">_xlfn.IFS(AND(D$1&lt;=ROW(),ROW()&lt;=E$1),"文字語彙",AND(F$1&lt;=ROW(),ROW()&lt;=G$1),"文法",AND(H$1&lt;=ROW(),ROW()&lt;=I$1),"読解",AND(J$1&lt;=ROW(),ROW()&lt;=K$1),"聴解",K$1&lt;ROW(),"")</f>
        <v/>
      </c>
    </row>
    <row r="107" spans="1:2">
      <c r="A107" t="str" cm="1">
        <f t="array" aca="1" ref="A107" ca="1">_xlfn.IFS(AND(D$1&lt;=ROW(),ROW()&lt;=E$1),"文字語彙",AND(F$1&lt;=ROW(),ROW()&lt;=G$1),"文法",AND(H$1&lt;=ROW(),ROW()&lt;=I$1),"読解",AND(J$1&lt;=ROW(),ROW()&lt;=K$1),"聴解",K$1&lt;ROW(),"")</f>
        <v/>
      </c>
    </row>
    <row r="108" spans="1:2">
      <c r="A108" t="str" cm="1">
        <f t="array" aca="1" ref="A108" ca="1">_xlfn.IFS(AND(D$1&lt;=ROW(),ROW()&lt;=E$1),"文字語彙",AND(F$1&lt;=ROW(),ROW()&lt;=G$1),"文法",AND(H$1&lt;=ROW(),ROW()&lt;=I$1),"読解",AND(J$1&lt;=ROW(),ROW()&lt;=K$1),"聴解",K$1&lt;ROW(),"")</f>
        <v/>
      </c>
    </row>
    <row r="109" spans="1:2">
      <c r="A109" t="str" cm="1">
        <f t="array" aca="1" ref="A109" ca="1">_xlfn.IFS(AND(D$1&lt;=ROW(),ROW()&lt;=E$1),"文字語彙",AND(F$1&lt;=ROW(),ROW()&lt;=G$1),"文法",AND(H$1&lt;=ROW(),ROW()&lt;=I$1),"読解",AND(J$1&lt;=ROW(),ROW()&lt;=K$1),"聴解",K$1&lt;ROW(),"")</f>
        <v/>
      </c>
    </row>
    <row r="110" spans="1:2">
      <c r="A110" t="str" cm="1">
        <f t="array" aca="1" ref="A110" ca="1">_xlfn.IFS(AND(D$1&lt;=ROW(),ROW()&lt;=E$1),"文字語彙",AND(F$1&lt;=ROW(),ROW()&lt;=G$1),"文法",AND(H$1&lt;=ROW(),ROW()&lt;=I$1),"読解",AND(J$1&lt;=ROW(),ROW()&lt;=K$1),"聴解",K$1&lt;ROW(),"")</f>
        <v/>
      </c>
    </row>
    <row r="111" spans="1:2">
      <c r="A111" t="str" cm="1">
        <f t="array" aca="1" ref="A111" ca="1">_xlfn.IFS(AND(D$1&lt;=ROW(),ROW()&lt;=E$1),"文字語彙",AND(F$1&lt;=ROW(),ROW()&lt;=G$1),"文法",AND(H$1&lt;=ROW(),ROW()&lt;=I$1),"読解",AND(J$1&lt;=ROW(),ROW()&lt;=K$1),"聴解",K$1&lt;ROW(),"")</f>
        <v/>
      </c>
    </row>
    <row r="112" spans="1:2">
      <c r="A112" t="str" cm="1">
        <f t="array" aca="1" ref="A112" ca="1">_xlfn.IFS(AND(D$1&lt;=ROW(),ROW()&lt;=E$1),"文字語彙",AND(F$1&lt;=ROW(),ROW()&lt;=G$1),"文法",AND(H$1&lt;=ROW(),ROW()&lt;=I$1),"読解",AND(J$1&lt;=ROW(),ROW()&lt;=K$1),"聴解",K$1&lt;ROW(),"")</f>
        <v/>
      </c>
    </row>
    <row r="113" spans="1:1">
      <c r="A113" t="str" cm="1">
        <f t="array" aca="1" ref="A113" ca="1">_xlfn.IFS(AND(D$1&lt;=ROW(),ROW()&lt;=E$1),"文字語彙",AND(F$1&lt;=ROW(),ROW()&lt;=G$1),"文法",AND(H$1&lt;=ROW(),ROW()&lt;=I$1),"読解",AND(J$1&lt;=ROW(),ROW()&lt;=K$1),"聴解",K$1&lt;ROW(),"")</f>
        <v/>
      </c>
    </row>
    <row r="114" spans="1:1">
      <c r="A114" t="str" cm="1">
        <f t="array" aca="1" ref="A114" ca="1">_xlfn.IFS(AND(D$1&lt;=ROW(),ROW()&lt;=E$1),"文字語彙",AND(F$1&lt;=ROW(),ROW()&lt;=G$1),"文法",AND(H$1&lt;=ROW(),ROW()&lt;=I$1),"読解",AND(J$1&lt;=ROW(),ROW()&lt;=K$1),"聴解",K$1&lt;ROW(),"")</f>
        <v/>
      </c>
    </row>
    <row r="115" spans="1:1">
      <c r="A115" t="str" cm="1">
        <f t="array" aca="1" ref="A115" ca="1">_xlfn.IFS(AND(D$1&lt;=ROW(),ROW()&lt;=E$1),"文字語彙",AND(F$1&lt;=ROW(),ROW()&lt;=G$1),"文法",AND(H$1&lt;=ROW(),ROW()&lt;=I$1),"読解",AND(J$1&lt;=ROW(),ROW()&lt;=K$1),"聴解",K$1&lt;ROW(),"")</f>
        <v/>
      </c>
    </row>
    <row r="116" spans="1:1">
      <c r="A116" t="str" cm="1">
        <f t="array" aca="1" ref="A116" ca="1">_xlfn.IFS(AND(D$1&lt;=ROW(),ROW()&lt;=E$1),"文字語彙",AND(F$1&lt;=ROW(),ROW()&lt;=G$1),"文法",AND(H$1&lt;=ROW(),ROW()&lt;=I$1),"読解",AND(J$1&lt;=ROW(),ROW()&lt;=K$1),"聴解",K$1&lt;ROW(),"")</f>
        <v/>
      </c>
    </row>
    <row r="117" spans="1:1">
      <c r="A117" t="str" cm="1">
        <f t="array" aca="1" ref="A117" ca="1">_xlfn.IFS(AND(D$1&lt;=ROW(),ROW()&lt;=E$1),"文字語彙",AND(F$1&lt;=ROW(),ROW()&lt;=G$1),"文法",AND(H$1&lt;=ROW(),ROW()&lt;=I$1),"読解",AND(J$1&lt;=ROW(),ROW()&lt;=K$1),"聴解",K$1&lt;ROW(),"")</f>
        <v/>
      </c>
    </row>
    <row r="118" spans="1:1">
      <c r="A118" t="str" cm="1">
        <f t="array" aca="1" ref="A118" ca="1">_xlfn.IFS(AND(D$1&lt;=ROW(),ROW()&lt;=E$1),"文字語彙",AND(F$1&lt;=ROW(),ROW()&lt;=G$1),"文法",AND(H$1&lt;=ROW(),ROW()&lt;=I$1),"読解",AND(J$1&lt;=ROW(),ROW()&lt;=K$1),"聴解",K$1&lt;ROW(),"")</f>
        <v/>
      </c>
    </row>
    <row r="119" spans="1:1">
      <c r="A119" t="str" cm="1">
        <f t="array" aca="1" ref="A119" ca="1">_xlfn.IFS(AND(D$1&lt;=ROW(),ROW()&lt;=E$1),"文字語彙",AND(F$1&lt;=ROW(),ROW()&lt;=G$1),"文法",AND(H$1&lt;=ROW(),ROW()&lt;=I$1),"読解",AND(J$1&lt;=ROW(),ROW()&lt;=K$1),"聴解",K$1&lt;ROW(),"")</f>
        <v/>
      </c>
    </row>
    <row r="120" spans="1:1">
      <c r="A120" t="str" cm="1">
        <f t="array" aca="1" ref="A120" ca="1">_xlfn.IFS(AND(D$1&lt;=ROW(),ROW()&lt;=E$1),"文字語彙",AND(F$1&lt;=ROW(),ROW()&lt;=G$1),"文法",AND(H$1&lt;=ROW(),ROW()&lt;=I$1),"読解",AND(J$1&lt;=ROW(),ROW()&lt;=K$1),"聴解",K$1&lt;ROW(),"")</f>
        <v/>
      </c>
    </row>
    <row r="121" spans="1:1">
      <c r="A121" t="str" cm="1">
        <f t="array" aca="1" ref="A121" ca="1">_xlfn.IFS(AND(D$1&lt;=ROW(),ROW()&lt;=E$1),"文字語彙",AND(F$1&lt;=ROW(),ROW()&lt;=G$1),"文法",AND(H$1&lt;=ROW(),ROW()&lt;=I$1),"読解",AND(J$1&lt;=ROW(),ROW()&lt;=K$1),"聴解",K$1&lt;ROW(),"")</f>
        <v/>
      </c>
    </row>
    <row r="122" spans="1:1">
      <c r="A122" t="str" cm="1">
        <f t="array" aca="1" ref="A122" ca="1">_xlfn.IFS(AND(D$1&lt;=ROW(),ROW()&lt;=E$1),"文字語彙",AND(F$1&lt;=ROW(),ROW()&lt;=G$1),"文法",AND(H$1&lt;=ROW(),ROW()&lt;=I$1),"読解",AND(J$1&lt;=ROW(),ROW()&lt;=K$1),"聴解",K$1&lt;ROW(),"")</f>
        <v/>
      </c>
    </row>
    <row r="123" spans="1:1">
      <c r="A123" t="str" cm="1">
        <f t="array" aca="1" ref="A123" ca="1">_xlfn.IFS(AND(D$1&lt;=ROW(),ROW()&lt;=E$1),"文字語彙",AND(F$1&lt;=ROW(),ROW()&lt;=G$1),"文法",AND(H$1&lt;=ROW(),ROW()&lt;=I$1),"読解",AND(J$1&lt;=ROW(),ROW()&lt;=K$1),"聴解",K$1&lt;ROW(),"")</f>
        <v/>
      </c>
    </row>
    <row r="124" spans="1:1">
      <c r="A124" t="str" cm="1">
        <f t="array" aca="1" ref="A124" ca="1">_xlfn.IFS(AND(D$1&lt;=ROW(),ROW()&lt;=E$1),"文字語彙",AND(F$1&lt;=ROW(),ROW()&lt;=G$1),"文法",AND(H$1&lt;=ROW(),ROW()&lt;=I$1),"読解",AND(J$1&lt;=ROW(),ROW()&lt;=K$1),"聴解",K$1&lt;ROW(),"")</f>
        <v/>
      </c>
    </row>
    <row r="125" spans="1:1">
      <c r="A125" t="str" cm="1">
        <f t="array" aca="1" ref="A125" ca="1">_xlfn.IFS(AND(D$1&lt;=ROW(),ROW()&lt;=E$1),"文字語彙",AND(F$1&lt;=ROW(),ROW()&lt;=G$1),"文法",AND(H$1&lt;=ROW(),ROW()&lt;=I$1),"読解",AND(J$1&lt;=ROW(),ROW()&lt;=K$1),"聴解",K$1&lt;ROW(),"")</f>
        <v/>
      </c>
    </row>
    <row r="126" spans="1:1">
      <c r="A126" t="str" cm="1">
        <f t="array" aca="1" ref="A126" ca="1">_xlfn.IFS(AND(D$1&lt;=ROW(),ROW()&lt;=E$1),"文字語彙",AND(F$1&lt;=ROW(),ROW()&lt;=G$1),"文法",AND(H$1&lt;=ROW(),ROW()&lt;=I$1),"読解",AND(J$1&lt;=ROW(),ROW()&lt;=K$1),"聴解",K$1&lt;ROW(),"")</f>
        <v/>
      </c>
    </row>
    <row r="127" spans="1:1">
      <c r="A127" t="str" cm="1">
        <f t="array" aca="1" ref="A127" ca="1">_xlfn.IFS(AND(D$1&lt;=ROW(),ROW()&lt;=E$1),"文字語彙",AND(F$1&lt;=ROW(),ROW()&lt;=G$1),"文法",AND(H$1&lt;=ROW(),ROW()&lt;=I$1),"読解",AND(J$1&lt;=ROW(),ROW()&lt;=K$1),"聴解",K$1&lt;ROW(),"")</f>
        <v/>
      </c>
    </row>
    <row r="128" spans="1:1">
      <c r="A128" t="str" cm="1">
        <f t="array" aca="1" ref="A128" ca="1">_xlfn.IFS(AND(D$1&lt;=ROW(),ROW()&lt;=E$1),"文字語彙",AND(F$1&lt;=ROW(),ROW()&lt;=G$1),"文法",AND(H$1&lt;=ROW(),ROW()&lt;=I$1),"読解",AND(J$1&lt;=ROW(),ROW()&lt;=K$1),"聴解",K$1&lt;ROW(),"")</f>
        <v/>
      </c>
    </row>
    <row r="129" spans="1:1">
      <c r="A129" t="str" cm="1">
        <f t="array" aca="1" ref="A129" ca="1">_xlfn.IFS(AND(D$1&lt;=ROW(),ROW()&lt;=E$1),"文字語彙",AND(F$1&lt;=ROW(),ROW()&lt;=G$1),"文法",AND(H$1&lt;=ROW(),ROW()&lt;=I$1),"読解",AND(J$1&lt;=ROW(),ROW()&lt;=K$1),"聴解",K$1&lt;ROW(),"")</f>
        <v/>
      </c>
    </row>
    <row r="130" spans="1:1">
      <c r="A130" t="str" cm="1">
        <f t="array" aca="1" ref="A130" ca="1">_xlfn.IFS(AND(D$1&lt;=ROW(),ROW()&lt;=E$1),"文字語彙",AND(F$1&lt;=ROW(),ROW()&lt;=G$1),"文法",AND(H$1&lt;=ROW(),ROW()&lt;=I$1),"読解",AND(J$1&lt;=ROW(),ROW()&lt;=K$1),"聴解",K$1&lt;ROW(),"")</f>
        <v/>
      </c>
    </row>
    <row r="131" spans="1:1">
      <c r="A131" t="str" cm="1">
        <f t="array" aca="1" ref="A131" ca="1">_xlfn.IFS(AND(D$1&lt;=ROW(),ROW()&lt;=E$1),"文字語彙",AND(F$1&lt;=ROW(),ROW()&lt;=G$1),"文法",AND(H$1&lt;=ROW(),ROW()&lt;=I$1),"読解",AND(J$1&lt;=ROW(),ROW()&lt;=K$1),"聴解",K$1&lt;ROW(),"")</f>
        <v/>
      </c>
    </row>
    <row r="132" spans="1:1">
      <c r="A132" t="str" cm="1">
        <f t="array" aca="1" ref="A132" ca="1">_xlfn.IFS(AND(D$1&lt;=ROW(),ROW()&lt;=E$1),"文字語彙",AND(F$1&lt;=ROW(),ROW()&lt;=G$1),"文法",AND(H$1&lt;=ROW(),ROW()&lt;=I$1),"読解",AND(J$1&lt;=ROW(),ROW()&lt;=K$1),"聴解",K$1&lt;ROW(),"")</f>
        <v/>
      </c>
    </row>
    <row r="133" spans="1:1">
      <c r="A133" t="str" cm="1">
        <f t="array" aca="1" ref="A133" ca="1">_xlfn.IFS(AND(D$1&lt;=ROW(),ROW()&lt;=E$1),"文字語彙",AND(F$1&lt;=ROW(),ROW()&lt;=G$1),"文法",AND(H$1&lt;=ROW(),ROW()&lt;=I$1),"読解",AND(J$1&lt;=ROW(),ROW()&lt;=K$1),"聴解",K$1&lt;ROW(),"")</f>
        <v/>
      </c>
    </row>
    <row r="134" spans="1:1">
      <c r="A134" t="str" cm="1">
        <f t="array" aca="1" ref="A134" ca="1">_xlfn.IFS(AND(D$1&lt;=ROW(),ROW()&lt;=E$1),"文字語彙",AND(F$1&lt;=ROW(),ROW()&lt;=G$1),"文法",AND(H$1&lt;=ROW(),ROW()&lt;=I$1),"読解",AND(J$1&lt;=ROW(),ROW()&lt;=K$1),"聴解",K$1&lt;ROW(),"")</f>
        <v/>
      </c>
    </row>
    <row r="135" spans="1:1">
      <c r="A135" t="str" cm="1">
        <f t="array" aca="1" ref="A135" ca="1">_xlfn.IFS(AND(D$1&lt;=ROW(),ROW()&lt;=E$1),"文字語彙",AND(F$1&lt;=ROW(),ROW()&lt;=G$1),"文法",AND(H$1&lt;=ROW(),ROW()&lt;=I$1),"読解",AND(J$1&lt;=ROW(),ROW()&lt;=K$1),"聴解",K$1&lt;ROW(),"")</f>
        <v/>
      </c>
    </row>
    <row r="136" spans="1:1">
      <c r="A136" t="str" cm="1">
        <f t="array" aca="1" ref="A136" ca="1">_xlfn.IFS(AND(D$1&lt;=ROW(),ROW()&lt;=E$1),"文字語彙",AND(F$1&lt;=ROW(),ROW()&lt;=G$1),"文法",AND(H$1&lt;=ROW(),ROW()&lt;=I$1),"読解",AND(J$1&lt;=ROW(),ROW()&lt;=K$1),"聴解",K$1&lt;ROW(),"")</f>
        <v/>
      </c>
    </row>
    <row r="137" spans="1:1">
      <c r="A137" t="str" cm="1">
        <f t="array" aca="1" ref="A137" ca="1">_xlfn.IFS(AND(D$1&lt;=ROW(),ROW()&lt;=E$1),"文字語彙",AND(F$1&lt;=ROW(),ROW()&lt;=G$1),"文法",AND(H$1&lt;=ROW(),ROW()&lt;=I$1),"読解",AND(J$1&lt;=ROW(),ROW()&lt;=K$1),"聴解",K$1&lt;ROW(),"")</f>
        <v/>
      </c>
    </row>
    <row r="138" spans="1:1">
      <c r="A138" t="str" cm="1">
        <f t="array" aca="1" ref="A138" ca="1">_xlfn.IFS(AND(D$1&lt;=ROW(),ROW()&lt;=E$1),"文字語彙",AND(F$1&lt;=ROW(),ROW()&lt;=G$1),"文法",AND(H$1&lt;=ROW(),ROW()&lt;=I$1),"読解",AND(J$1&lt;=ROW(),ROW()&lt;=K$1),"聴解",K$1&lt;ROW(),"")</f>
        <v/>
      </c>
    </row>
    <row r="139" spans="1:1">
      <c r="A139" t="str" cm="1">
        <f t="array" aca="1" ref="A139" ca="1">_xlfn.IFS(AND(D$1&lt;=ROW(),ROW()&lt;=E$1),"文字語彙",AND(F$1&lt;=ROW(),ROW()&lt;=G$1),"文法",AND(H$1&lt;=ROW(),ROW()&lt;=I$1),"読解",AND(J$1&lt;=ROW(),ROW()&lt;=K$1),"聴解",K$1&lt;ROW(),"")</f>
        <v/>
      </c>
    </row>
    <row r="140" spans="1:1">
      <c r="A140" t="str" cm="1">
        <f t="array" aca="1" ref="A140" ca="1">_xlfn.IFS(AND(D$1&lt;=ROW(),ROW()&lt;=E$1),"文字語彙",AND(F$1&lt;=ROW(),ROW()&lt;=G$1),"文法",AND(H$1&lt;=ROW(),ROW()&lt;=I$1),"読解",AND(J$1&lt;=ROW(),ROW()&lt;=K$1),"聴解",K$1&lt;ROW(),"")</f>
        <v/>
      </c>
    </row>
    <row r="141" spans="1:1">
      <c r="A141" t="str" cm="1">
        <f t="array" aca="1" ref="A141" ca="1">_xlfn.IFS(AND(D$1&lt;=ROW(),ROW()&lt;=E$1),"文字語彙",AND(F$1&lt;=ROW(),ROW()&lt;=G$1),"文法",AND(H$1&lt;=ROW(),ROW()&lt;=I$1),"読解",AND(J$1&lt;=ROW(),ROW()&lt;=K$1),"聴解",K$1&lt;ROW(),"")</f>
        <v/>
      </c>
    </row>
    <row r="142" spans="1:1">
      <c r="A142" t="str" cm="1">
        <f t="array" aca="1" ref="A142" ca="1">_xlfn.IFS(AND(D$1&lt;=ROW(),ROW()&lt;=E$1),"文字語彙",AND(F$1&lt;=ROW(),ROW()&lt;=G$1),"文法",AND(H$1&lt;=ROW(),ROW()&lt;=I$1),"読解",AND(J$1&lt;=ROW(),ROW()&lt;=K$1),"聴解",K$1&lt;ROW(),"")</f>
        <v/>
      </c>
    </row>
    <row r="143" spans="1:1">
      <c r="A143" t="str" cm="1">
        <f t="array" aca="1" ref="A143" ca="1">_xlfn.IFS(AND(D$1&lt;=ROW(),ROW()&lt;=E$1),"文字語彙",AND(F$1&lt;=ROW(),ROW()&lt;=G$1),"文法",AND(H$1&lt;=ROW(),ROW()&lt;=I$1),"読解",AND(J$1&lt;=ROW(),ROW()&lt;=K$1),"聴解",K$1&lt;ROW(),"")</f>
        <v/>
      </c>
    </row>
    <row r="144" spans="1:1">
      <c r="A144" t="str" cm="1">
        <f t="array" aca="1" ref="A144" ca="1">_xlfn.IFS(AND(D$1&lt;=ROW(),ROW()&lt;=E$1),"文字語彙",AND(F$1&lt;=ROW(),ROW()&lt;=G$1),"文法",AND(H$1&lt;=ROW(),ROW()&lt;=I$1),"読解",AND(J$1&lt;=ROW(),ROW()&lt;=K$1),"聴解",K$1&lt;ROW(),"")</f>
        <v/>
      </c>
    </row>
    <row r="145" spans="1:1">
      <c r="A145" t="str" cm="1">
        <f t="array" aca="1" ref="A145" ca="1">_xlfn.IFS(AND(D$1&lt;=ROW(),ROW()&lt;=E$1),"文字語彙",AND(F$1&lt;=ROW(),ROW()&lt;=G$1),"文法",AND(H$1&lt;=ROW(),ROW()&lt;=I$1),"読解",AND(J$1&lt;=ROW(),ROW()&lt;=K$1),"聴解",K$1&lt;ROW(),"")</f>
        <v/>
      </c>
    </row>
    <row r="146" spans="1:1">
      <c r="A146" t="str" cm="1">
        <f t="array" aca="1" ref="A146" ca="1">_xlfn.IFS(AND(D$1&lt;=ROW(),ROW()&lt;=E$1),"文字語彙",AND(F$1&lt;=ROW(),ROW()&lt;=G$1),"文法",AND(H$1&lt;=ROW(),ROW()&lt;=I$1),"読解",AND(J$1&lt;=ROW(),ROW()&lt;=K$1),"聴解",K$1&lt;ROW(),"")</f>
        <v/>
      </c>
    </row>
    <row r="147" spans="1:1">
      <c r="A147" t="str" cm="1">
        <f t="array" aca="1" ref="A147" ca="1">_xlfn.IFS(AND(D$1&lt;=ROW(),ROW()&lt;=E$1),"文字語彙",AND(F$1&lt;=ROW(),ROW()&lt;=G$1),"文法",AND(H$1&lt;=ROW(),ROW()&lt;=I$1),"読解",AND(J$1&lt;=ROW(),ROW()&lt;=K$1),"聴解",K$1&lt;ROW(),"")</f>
        <v/>
      </c>
    </row>
    <row r="148" spans="1:1">
      <c r="A148" t="str" cm="1">
        <f t="array" aca="1" ref="A148" ca="1">_xlfn.IFS(AND(D$1&lt;=ROW(),ROW()&lt;=E$1),"文字語彙",AND(F$1&lt;=ROW(),ROW()&lt;=G$1),"文法",AND(H$1&lt;=ROW(),ROW()&lt;=I$1),"読解",AND(J$1&lt;=ROW(),ROW()&lt;=K$1),"聴解",K$1&lt;ROW(),"")</f>
        <v/>
      </c>
    </row>
    <row r="149" spans="1:1">
      <c r="A149" t="str" cm="1">
        <f t="array" aca="1" ref="A149" ca="1">_xlfn.IFS(AND(D$1&lt;=ROW(),ROW()&lt;=E$1),"文字語彙",AND(F$1&lt;=ROW(),ROW()&lt;=G$1),"文法",AND(H$1&lt;=ROW(),ROW()&lt;=I$1),"読解",AND(J$1&lt;=ROW(),ROW()&lt;=K$1),"聴解",K$1&lt;ROW(),"")</f>
        <v/>
      </c>
    </row>
    <row r="150" spans="1:1">
      <c r="A150" t="str" cm="1">
        <f t="array" aca="1" ref="A150" ca="1">_xlfn.IFS(AND(D$1&lt;=ROW(),ROW()&lt;=E$1),"文字語彙",AND(F$1&lt;=ROW(),ROW()&lt;=G$1),"文法",AND(H$1&lt;=ROW(),ROW()&lt;=I$1),"読解",AND(J$1&lt;=ROW(),ROW()&lt;=K$1),"聴解",K$1&lt;ROW(),"")</f>
        <v/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0E26-5D9F-4069-BC7D-D163DE3F3162}">
  <dimension ref="A1:K97"/>
  <sheetViews>
    <sheetView topLeftCell="A72" workbookViewId="0">
      <selection activeCell="G95" sqref="G95"/>
    </sheetView>
  </sheetViews>
  <sheetFormatPr defaultRowHeight="18.75"/>
  <cols>
    <col min="3" max="3" width="16.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3</v>
      </c>
      <c r="C1" t="str">
        <f ca="1">RIGHT(CELL("filename",D1),LEN(CELL("filename",D1))-FIND("]",CELL("filename",D1)))</f>
        <v>完全模試N4第3回</v>
      </c>
      <c r="D1">
        <f ca="1">_xlfn.XLOOKUP($C1,試験情報!$A:$A,試験情報!G:G,"エラー",0,1)</f>
        <v>1</v>
      </c>
      <c r="E1">
        <f ca="1">_xlfn.XLOOKUP($C1,試験情報!$A:$A,試験情報!H:H,"エラー",0,1)</f>
        <v>34</v>
      </c>
      <c r="F1">
        <f ca="1">_xlfn.XLOOKUP($C1,試験情報!$A:$A,試験情報!I:I,"エラー",0,1)</f>
        <v>35</v>
      </c>
      <c r="G1">
        <f ca="1">_xlfn.XLOOKUP($C1,試験情報!$A:$A,試験情報!J:J,"エラー",0,1)</f>
        <v>59</v>
      </c>
      <c r="H1">
        <f ca="1">_xlfn.XLOOKUP($C1,試験情報!$A:$A,試験情報!K:K,"エラー",0,1)</f>
        <v>60</v>
      </c>
      <c r="I1">
        <f ca="1">_xlfn.XLOOKUP($C1,試験情報!$A:$A,試験情報!L:L,"エラー",0,1)</f>
        <v>69</v>
      </c>
      <c r="J1">
        <f ca="1">_xlfn.XLOOKUP($C1,試験情報!$A:$A,試験情報!M:M,"エラー",0,1)</f>
        <v>70</v>
      </c>
      <c r="K1">
        <f ca="1">_xlfn.XLOOKUP($C1,試験情報!$A:$A,試験情報!N:N,"エラー",0,1)</f>
        <v>97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2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4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1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2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3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1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3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2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1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4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2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3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3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1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2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1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4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3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1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2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2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3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4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4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4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2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1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1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4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4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3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1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文法</v>
      </c>
      <c r="B35">
        <v>4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1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1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2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2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4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1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4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2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2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4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2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4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2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1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3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3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2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4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1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1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2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2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3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文法</v>
      </c>
      <c r="B59">
        <v>2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読解</v>
      </c>
      <c r="B60">
        <v>3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3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4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3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2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4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4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2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読解</v>
      </c>
      <c r="B68">
        <v>3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読解</v>
      </c>
      <c r="B69">
        <v>1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聴解</v>
      </c>
      <c r="B70">
        <v>3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聴解</v>
      </c>
      <c r="B71">
        <v>2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聴解</v>
      </c>
      <c r="B72">
        <v>3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聴解</v>
      </c>
      <c r="B73">
        <v>3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聴解</v>
      </c>
      <c r="B74">
        <v>2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2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4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4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2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3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3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4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1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1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2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3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1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2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3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1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2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1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>聴解</v>
      </c>
      <c r="B92">
        <v>3</v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>聴解</v>
      </c>
      <c r="B93">
        <v>3</v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>聴解</v>
      </c>
      <c r="B94">
        <v>1</v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>聴解</v>
      </c>
      <c r="B95">
        <v>1</v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>聴解</v>
      </c>
      <c r="B96">
        <v>1</v>
      </c>
    </row>
    <row r="97" spans="1:2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>聴解</v>
      </c>
      <c r="B97">
        <v>2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42C5-51E6-47A2-9508-C5025713EF86}">
  <dimension ref="A1:K97"/>
  <sheetViews>
    <sheetView workbookViewId="0">
      <selection activeCell="C22" sqref="C22"/>
    </sheetView>
  </sheetViews>
  <sheetFormatPr defaultRowHeight="18.75"/>
  <cols>
    <col min="3" max="3" width="16.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4</v>
      </c>
      <c r="C1" t="str">
        <f ca="1">RIGHT(CELL("filename",D1),LEN(CELL("filename",D1))-FIND("]",CELL("filename",D1)))</f>
        <v>完全模試N5第1回</v>
      </c>
      <c r="D1">
        <f ca="1">_xlfn.XLOOKUP($C1,試験情報!$A:$A,試験情報!G:G,"エラー",0,1)</f>
        <v>0</v>
      </c>
      <c r="E1">
        <f ca="1">_xlfn.XLOOKUP($C1,試験情報!$A:$A,試験情報!H:H,"エラー",0,1)</f>
        <v>33</v>
      </c>
      <c r="F1">
        <f ca="1">_xlfn.XLOOKUP($C1,試験情報!$A:$A,試験情報!I:I,"エラー",0,1)</f>
        <v>34</v>
      </c>
      <c r="G1">
        <f ca="1">_xlfn.XLOOKUP($C1,試験情報!$A:$A,試験情報!J:J,"エラー",0,1)</f>
        <v>54</v>
      </c>
      <c r="H1">
        <f ca="1">_xlfn.XLOOKUP($C1,試験情報!$A:$A,試験情報!K:K,"エラー",0,1)</f>
        <v>55</v>
      </c>
      <c r="I1">
        <f ca="1">_xlfn.XLOOKUP($C1,試験情報!$A:$A,試験情報!L:L,"エラー",0,1)</f>
        <v>65</v>
      </c>
      <c r="J1">
        <f ca="1">_xlfn.XLOOKUP($C1,試験情報!$A:$A,試験情報!M:M,"エラー",0,1)</f>
        <v>66</v>
      </c>
      <c r="K1">
        <f ca="1">_xlfn.XLOOKUP($C1,試験情報!$A:$A,試験情報!N:N,"エラー",0,1)</f>
        <v>89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1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2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4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3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4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3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3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2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2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1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1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3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1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2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2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1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2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3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2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1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1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3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3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2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2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1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4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2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3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4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1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文法</v>
      </c>
      <c r="B34">
        <v>3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文法</v>
      </c>
      <c r="B35">
        <v>1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1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4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1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1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2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4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4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1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1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3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2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3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2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1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1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3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3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3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4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読解</v>
      </c>
      <c r="B55">
        <v>2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読解</v>
      </c>
      <c r="B56">
        <v>1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読解</v>
      </c>
      <c r="B57">
        <v>3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読解</v>
      </c>
      <c r="B58">
        <v>2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読解</v>
      </c>
      <c r="B59">
        <v>2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読解</v>
      </c>
      <c r="B60">
        <v>3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3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4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4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3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4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聴解</v>
      </c>
      <c r="B66">
        <v>2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聴解</v>
      </c>
      <c r="B67">
        <v>3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聴解</v>
      </c>
      <c r="B68">
        <v>2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聴解</v>
      </c>
      <c r="B69">
        <v>3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聴解</v>
      </c>
      <c r="B70">
        <v>1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聴解</v>
      </c>
      <c r="B71">
        <v>2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聴解</v>
      </c>
      <c r="B72">
        <v>3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聴解</v>
      </c>
      <c r="B73">
        <v>4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聴解</v>
      </c>
      <c r="B74">
        <v>2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2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1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3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3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1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3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2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1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1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3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1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2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1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3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3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/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/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/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/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/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/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/>
      </c>
    </row>
    <row r="97" spans="1:1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/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2E26-D82E-493B-A2A3-E92D3B580682}">
  <dimension ref="A1:K97"/>
  <sheetViews>
    <sheetView topLeftCell="A74" workbookViewId="0">
      <selection activeCell="B98" sqref="B98"/>
    </sheetView>
  </sheetViews>
  <sheetFormatPr defaultRowHeight="18.75"/>
  <cols>
    <col min="3" max="3" width="16.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4</v>
      </c>
      <c r="C1" t="str">
        <f ca="1">RIGHT(CELL("filename",D1),LEN(CELL("filename",D1))-FIND("]",CELL("filename",D1)))</f>
        <v>完全模試N4第2回</v>
      </c>
      <c r="D1">
        <f ca="1">_xlfn.XLOOKUP($C1,試験情報!$A:$A,試験情報!G:G,"エラー",0,1)</f>
        <v>1</v>
      </c>
      <c r="E1">
        <f ca="1">_xlfn.XLOOKUP($C1,試験情報!$A:$A,試験情報!H:H,"エラー",0,1)</f>
        <v>34</v>
      </c>
      <c r="F1">
        <f ca="1">_xlfn.XLOOKUP($C1,試験情報!$A:$A,試験情報!I:I,"エラー",0,1)</f>
        <v>35</v>
      </c>
      <c r="G1">
        <f ca="1">_xlfn.XLOOKUP($C1,試験情報!$A:$A,試験情報!J:J,"エラー",0,1)</f>
        <v>59</v>
      </c>
      <c r="H1">
        <f ca="1">_xlfn.XLOOKUP($C1,試験情報!$A:$A,試験情報!K:K,"エラー",0,1)</f>
        <v>60</v>
      </c>
      <c r="I1">
        <f ca="1">_xlfn.XLOOKUP($C1,試験情報!$A:$A,試験情報!L:L,"エラー",0,1)</f>
        <v>69</v>
      </c>
      <c r="J1">
        <f ca="1">_xlfn.XLOOKUP($C1,試験情報!$A:$A,試験情報!M:M,"エラー",0,1)</f>
        <v>70</v>
      </c>
      <c r="K1">
        <f ca="1">_xlfn.XLOOKUP($C1,試験情報!$A:$A,試験情報!N:N,"エラー",0,1)</f>
        <v>97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1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3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4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2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3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1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2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1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4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1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1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4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2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1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1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3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2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4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1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3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4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4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3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2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2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2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3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4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1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4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3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3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文法</v>
      </c>
      <c r="B35">
        <v>3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3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2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1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4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4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1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4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3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4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4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3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3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2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2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3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3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2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1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3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1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1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1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2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文法</v>
      </c>
      <c r="B59">
        <v>3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読解</v>
      </c>
      <c r="B60">
        <v>1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4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2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2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4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1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4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3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読解</v>
      </c>
      <c r="B68">
        <v>1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読解</v>
      </c>
      <c r="B69">
        <v>4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聴解</v>
      </c>
      <c r="B70">
        <v>2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聴解</v>
      </c>
      <c r="B71">
        <v>2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聴解</v>
      </c>
      <c r="B72">
        <v>2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聴解</v>
      </c>
      <c r="B73">
        <v>3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聴解</v>
      </c>
      <c r="B74">
        <v>2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4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3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2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2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3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1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2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3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3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1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1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1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1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3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1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1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3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>聴解</v>
      </c>
      <c r="B92">
        <v>3</v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>聴解</v>
      </c>
      <c r="B93">
        <v>1</v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>聴解</v>
      </c>
      <c r="B94">
        <v>2</v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>聴解</v>
      </c>
      <c r="B95">
        <v>3</v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>聴解</v>
      </c>
      <c r="B96">
        <v>2</v>
      </c>
    </row>
    <row r="97" spans="1:2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>聴解</v>
      </c>
      <c r="B97">
        <v>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17D834-7D30-4C97-A282-1C7A38C650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6</vt:i4>
      </vt:variant>
    </vt:vector>
  </HeadingPairs>
  <TitlesOfParts>
    <vt:vector size="21" baseType="lpstr">
      <vt:lpstr>設定</vt:lpstr>
      <vt:lpstr>受験者</vt:lpstr>
      <vt:lpstr>解答入力</vt:lpstr>
      <vt:lpstr>集計</vt:lpstr>
      <vt:lpstr>学生配布用</vt:lpstr>
      <vt:lpstr>試験情報</vt:lpstr>
      <vt:lpstr>レベル別情報</vt:lpstr>
      <vt:lpstr>→ここから右のシートは試験ごとの解答を入力</vt:lpstr>
      <vt:lpstr>公式問題集第二集 N5</vt:lpstr>
      <vt:lpstr>公式問題集第二集 N4</vt:lpstr>
      <vt:lpstr>公式問題集第二集 N3</vt:lpstr>
      <vt:lpstr>完全模試N3第1回</vt:lpstr>
      <vt:lpstr>完全模試N4第3回</vt:lpstr>
      <vt:lpstr>完全模試N5第1回</vt:lpstr>
      <vt:lpstr>完全模試N4第2回</vt:lpstr>
      <vt:lpstr>解答入力!Print_Area</vt:lpstr>
      <vt:lpstr>学生配布用!Print_Area</vt:lpstr>
      <vt:lpstr>学生配布用!Print_Titles</vt:lpstr>
      <vt:lpstr>試験名</vt:lpstr>
      <vt:lpstr>完全模試N5第1回!試験名一覧</vt:lpstr>
      <vt:lpstr>試験名一覧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北條亮一</dc:creator>
  <cp:lastModifiedBy>裕二 田中</cp:lastModifiedBy>
  <cp:lastPrinted>2026-02-09T08:25:39Z</cp:lastPrinted>
  <dcterms:created xsi:type="dcterms:W3CDTF">2020-01-14T09:31:56Z</dcterms:created>
  <dcterms:modified xsi:type="dcterms:W3CDTF">2026-02-10T02:35:19Z</dcterms:modified>
</cp:coreProperties>
</file>