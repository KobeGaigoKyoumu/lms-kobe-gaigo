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教務室共有ファイル\学生状況\成績評価\2024年後期成績表\"/>
    </mc:Choice>
  </mc:AlternateContent>
  <xr:revisionPtr revIDLastSave="0" documentId="13_ncr:1_{AEFFF15D-15C9-426D-986D-03BC6BABC448}" xr6:coauthVersionLast="47" xr6:coauthVersionMax="47" xr10:uidLastSave="{00000000-0000-0000-0000-000000000000}"/>
  <bookViews>
    <workbookView xWindow="390" yWindow="390" windowWidth="27825" windowHeight="14640" activeTab="3" xr2:uid="{00000000-000D-0000-FFFF-FFFF00000000}"/>
  </bookViews>
  <sheets>
    <sheet name="入力①期末試験得点" sheetId="1" r:id="rId1"/>
    <sheet name="入力②出席率" sheetId="2" r:id="rId2"/>
    <sheet name="入力③平常点" sheetId="3" r:id="rId3"/>
    <sheet name="総合成績評価" sheetId="4" r:id="rId4"/>
    <sheet name="成績通知書" sheetId="5" r:id="rId5"/>
  </sheets>
  <definedNames>
    <definedName name="_xlnm.Print_Area" localSheetId="4">成績通知書!$A$1:$U$546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5" l="1"/>
  <c r="F5" i="5"/>
  <c r="F4" i="5"/>
  <c r="Q5" i="5" s="1"/>
  <c r="Q523" i="5"/>
  <c r="Q497" i="5"/>
  <c r="Q471" i="5"/>
  <c r="Q445" i="5"/>
  <c r="Q419" i="5"/>
  <c r="Q393" i="5"/>
  <c r="Q367" i="5"/>
  <c r="Q341" i="5"/>
  <c r="Q315" i="5"/>
  <c r="Q289" i="5"/>
  <c r="Q263" i="5"/>
  <c r="Q237" i="5"/>
  <c r="Q211" i="5"/>
  <c r="Q185" i="5"/>
  <c r="Q159" i="5"/>
  <c r="Q133" i="5"/>
  <c r="Q107" i="5"/>
  <c r="Q81" i="5"/>
  <c r="Q55" i="5"/>
  <c r="Q29" i="5"/>
  <c r="A27" i="5"/>
  <c r="Q3" i="5"/>
  <c r="F32" i="5" l="1"/>
  <c r="F30" i="5"/>
  <c r="Q31" i="5" s="1"/>
  <c r="A53" i="5"/>
  <c r="F31" i="5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22" i="1"/>
  <c r="A79" i="5" l="1"/>
  <c r="F58" i="5"/>
  <c r="F56" i="5"/>
  <c r="Q57" i="5" s="1"/>
  <c r="F57" i="5"/>
  <c r="I22" i="3"/>
  <c r="M21" i="4"/>
  <c r="K21" i="4"/>
  <c r="J21" i="4"/>
  <c r="I21" i="4"/>
  <c r="H21" i="4"/>
  <c r="G21" i="4"/>
  <c r="F21" i="4"/>
  <c r="N22" i="4"/>
  <c r="K22" i="4"/>
  <c r="J22" i="4"/>
  <c r="I22" i="4"/>
  <c r="H22" i="4"/>
  <c r="G22" i="4"/>
  <c r="F22" i="4"/>
  <c r="K20" i="4"/>
  <c r="J20" i="4"/>
  <c r="I20" i="4"/>
  <c r="H20" i="4"/>
  <c r="G20" i="4"/>
  <c r="F20" i="4"/>
  <c r="K19" i="4"/>
  <c r="J19" i="4"/>
  <c r="I19" i="4"/>
  <c r="H19" i="4"/>
  <c r="G19" i="4"/>
  <c r="F19" i="4"/>
  <c r="K18" i="4"/>
  <c r="J18" i="4"/>
  <c r="I18" i="4"/>
  <c r="H18" i="4"/>
  <c r="G18" i="4"/>
  <c r="F18" i="4"/>
  <c r="K17" i="4"/>
  <c r="J17" i="4"/>
  <c r="I17" i="4"/>
  <c r="H17" i="4"/>
  <c r="G17" i="4"/>
  <c r="F17" i="4"/>
  <c r="K16" i="4"/>
  <c r="J16" i="4"/>
  <c r="I16" i="4"/>
  <c r="H16" i="4"/>
  <c r="G16" i="4"/>
  <c r="F16" i="4"/>
  <c r="K15" i="4"/>
  <c r="J15" i="4"/>
  <c r="I15" i="4"/>
  <c r="H15" i="4"/>
  <c r="G15" i="4"/>
  <c r="F15" i="4"/>
  <c r="K14" i="4"/>
  <c r="J14" i="4"/>
  <c r="I14" i="4"/>
  <c r="H14" i="4"/>
  <c r="G14" i="4"/>
  <c r="F14" i="4"/>
  <c r="K13" i="4"/>
  <c r="J13" i="4"/>
  <c r="I13" i="4"/>
  <c r="H13" i="4"/>
  <c r="G13" i="4"/>
  <c r="F13" i="4"/>
  <c r="K12" i="4"/>
  <c r="J12" i="4"/>
  <c r="I12" i="4"/>
  <c r="H12" i="4"/>
  <c r="G12" i="4"/>
  <c r="F12" i="4"/>
  <c r="K11" i="4"/>
  <c r="J11" i="4"/>
  <c r="I11" i="4"/>
  <c r="H11" i="4"/>
  <c r="G11" i="4"/>
  <c r="F11" i="4"/>
  <c r="K10" i="4"/>
  <c r="J10" i="4"/>
  <c r="I10" i="4"/>
  <c r="H10" i="4"/>
  <c r="G10" i="4"/>
  <c r="F10" i="4"/>
  <c r="K9" i="4"/>
  <c r="J9" i="4"/>
  <c r="I9" i="4"/>
  <c r="H9" i="4"/>
  <c r="G9" i="4"/>
  <c r="F9" i="4"/>
  <c r="K8" i="4"/>
  <c r="J8" i="4"/>
  <c r="I8" i="4"/>
  <c r="H8" i="4"/>
  <c r="G8" i="4"/>
  <c r="F8" i="4"/>
  <c r="K7" i="4"/>
  <c r="J7" i="4"/>
  <c r="I7" i="4"/>
  <c r="H7" i="4"/>
  <c r="G7" i="4"/>
  <c r="F7" i="4"/>
  <c r="K6" i="4"/>
  <c r="J6" i="4"/>
  <c r="I6" i="4"/>
  <c r="H6" i="4"/>
  <c r="G6" i="4"/>
  <c r="F6" i="4"/>
  <c r="K5" i="4"/>
  <c r="J5" i="4"/>
  <c r="I5" i="4"/>
  <c r="H5" i="4"/>
  <c r="G5" i="4"/>
  <c r="F5" i="4"/>
  <c r="K4" i="4"/>
  <c r="J4" i="4"/>
  <c r="I4" i="4"/>
  <c r="H4" i="4"/>
  <c r="G4" i="4"/>
  <c r="F4" i="4"/>
  <c r="K3" i="4"/>
  <c r="J3" i="4"/>
  <c r="I3" i="4"/>
  <c r="H3" i="4"/>
  <c r="G3" i="4"/>
  <c r="F3" i="4"/>
  <c r="I21" i="3"/>
  <c r="N21" i="4" s="1"/>
  <c r="I20" i="3"/>
  <c r="N20" i="4" s="1"/>
  <c r="I19" i="3"/>
  <c r="N19" i="4" s="1"/>
  <c r="I18" i="3"/>
  <c r="N18" i="4" s="1"/>
  <c r="I17" i="3"/>
  <c r="N17" i="4" s="1"/>
  <c r="I16" i="3"/>
  <c r="N16" i="4" s="1"/>
  <c r="I15" i="3"/>
  <c r="N15" i="4" s="1"/>
  <c r="I14" i="3"/>
  <c r="N14" i="4" s="1"/>
  <c r="I13" i="3"/>
  <c r="N13" i="4" s="1"/>
  <c r="I12" i="3"/>
  <c r="N12" i="4" s="1"/>
  <c r="I11" i="3"/>
  <c r="N11" i="4" s="1"/>
  <c r="I10" i="3"/>
  <c r="N10" i="4" s="1"/>
  <c r="I9" i="3"/>
  <c r="N9" i="4" s="1"/>
  <c r="I8" i="3"/>
  <c r="N8" i="4" s="1"/>
  <c r="I7" i="3"/>
  <c r="N7" i="4" s="1"/>
  <c r="I6" i="3"/>
  <c r="N6" i="4" s="1"/>
  <c r="I5" i="3"/>
  <c r="N5" i="4" s="1"/>
  <c r="L62" i="5" s="1"/>
  <c r="I4" i="3"/>
  <c r="N4" i="4" s="1"/>
  <c r="L36" i="5" s="1"/>
  <c r="I3" i="3"/>
  <c r="N3" i="4" s="1"/>
  <c r="L10" i="5" s="1"/>
  <c r="M22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I62" i="5" s="1"/>
  <c r="M4" i="4"/>
  <c r="I36" i="5" s="1"/>
  <c r="M3" i="4"/>
  <c r="I10" i="5" s="1"/>
  <c r="U9" i="4" l="1"/>
  <c r="V9" i="4" s="1"/>
  <c r="Q15" i="4"/>
  <c r="R15" i="4" s="1"/>
  <c r="Q9" i="4"/>
  <c r="R9" i="4" s="1"/>
  <c r="Q21" i="4"/>
  <c r="R21" i="4" s="1"/>
  <c r="Y21" i="4"/>
  <c r="Z21" i="4" s="1"/>
  <c r="Q17" i="4"/>
  <c r="R17" i="4" s="1"/>
  <c r="Q11" i="4"/>
  <c r="R11" i="4" s="1"/>
  <c r="U15" i="4"/>
  <c r="V15" i="4" s="1"/>
  <c r="U17" i="4"/>
  <c r="V17" i="4" s="1"/>
  <c r="U21" i="4"/>
  <c r="V21" i="4" s="1"/>
  <c r="U13" i="4"/>
  <c r="V13" i="4" s="1"/>
  <c r="Q7" i="4"/>
  <c r="R7" i="4" s="1"/>
  <c r="Q19" i="4"/>
  <c r="R19" i="4" s="1"/>
  <c r="Q13" i="4"/>
  <c r="R13" i="4" s="1"/>
  <c r="U11" i="4"/>
  <c r="V11" i="4" s="1"/>
  <c r="Y11" i="4"/>
  <c r="Z11" i="4" s="1"/>
  <c r="Y13" i="4"/>
  <c r="Z13" i="4" s="1"/>
  <c r="Q22" i="4"/>
  <c r="R22" i="4" s="1"/>
  <c r="U22" i="4"/>
  <c r="V22" i="4" s="1"/>
  <c r="U19" i="4"/>
  <c r="V19" i="4" s="1"/>
  <c r="Y22" i="4"/>
  <c r="Z22" i="4" s="1"/>
  <c r="Y15" i="4"/>
  <c r="Z15" i="4" s="1"/>
  <c r="Y17" i="4"/>
  <c r="Z17" i="4" s="1"/>
  <c r="Y19" i="4"/>
  <c r="Z19" i="4" s="1"/>
  <c r="Y9" i="4"/>
  <c r="Z9" i="4" s="1"/>
  <c r="U7" i="4"/>
  <c r="V7" i="4" s="1"/>
  <c r="Y7" i="4"/>
  <c r="Z7" i="4" s="1"/>
  <c r="F11" i="5"/>
  <c r="Q3" i="4"/>
  <c r="F13" i="5"/>
  <c r="U3" i="4"/>
  <c r="F15" i="5"/>
  <c r="Y3" i="4"/>
  <c r="F37" i="5"/>
  <c r="Q4" i="4"/>
  <c r="R4" i="4" s="1"/>
  <c r="F39" i="5"/>
  <c r="U4" i="4"/>
  <c r="V4" i="4" s="1"/>
  <c r="F41" i="5"/>
  <c r="Y4" i="4"/>
  <c r="Z4" i="4" s="1"/>
  <c r="F63" i="5"/>
  <c r="Q5" i="4"/>
  <c r="R5" i="4" s="1"/>
  <c r="F65" i="5"/>
  <c r="U5" i="4"/>
  <c r="V5" i="4" s="1"/>
  <c r="F67" i="5"/>
  <c r="Y5" i="4"/>
  <c r="Z5" i="4" s="1"/>
  <c r="Q6" i="4"/>
  <c r="R6" i="4" s="1"/>
  <c r="R89" i="5" s="1"/>
  <c r="U6" i="4"/>
  <c r="V6" i="4" s="1"/>
  <c r="Y6" i="4"/>
  <c r="Z6" i="4" s="1"/>
  <c r="R93" i="5" s="1"/>
  <c r="Q8" i="4"/>
  <c r="R8" i="4" s="1"/>
  <c r="U8" i="4"/>
  <c r="V8" i="4" s="1"/>
  <c r="Y8" i="4"/>
  <c r="Z8" i="4" s="1"/>
  <c r="Q10" i="4"/>
  <c r="R10" i="4" s="1"/>
  <c r="U10" i="4"/>
  <c r="V10" i="4" s="1"/>
  <c r="Y10" i="4"/>
  <c r="Z10" i="4" s="1"/>
  <c r="Q12" i="4"/>
  <c r="R12" i="4" s="1"/>
  <c r="U12" i="4"/>
  <c r="V12" i="4" s="1"/>
  <c r="Y12" i="4"/>
  <c r="Z12" i="4" s="1"/>
  <c r="Q14" i="4"/>
  <c r="R14" i="4" s="1"/>
  <c r="U14" i="4"/>
  <c r="V14" i="4" s="1"/>
  <c r="Y14" i="4"/>
  <c r="Z14" i="4" s="1"/>
  <c r="Q16" i="4"/>
  <c r="R16" i="4" s="1"/>
  <c r="U16" i="4"/>
  <c r="V16" i="4" s="1"/>
  <c r="Y16" i="4"/>
  <c r="Z16" i="4" s="1"/>
  <c r="Q18" i="4"/>
  <c r="R18" i="4" s="1"/>
  <c r="U18" i="4"/>
  <c r="V18" i="4" s="1"/>
  <c r="Y18" i="4"/>
  <c r="Z18" i="4" s="1"/>
  <c r="Q20" i="4"/>
  <c r="R20" i="4" s="1"/>
  <c r="U20" i="4"/>
  <c r="V20" i="4" s="1"/>
  <c r="Y20" i="4"/>
  <c r="Z20" i="4" s="1"/>
  <c r="F10" i="5"/>
  <c r="O3" i="4"/>
  <c r="O10" i="5" s="1"/>
  <c r="F12" i="5"/>
  <c r="S3" i="4"/>
  <c r="F14" i="5"/>
  <c r="W3" i="4"/>
  <c r="O4" i="4"/>
  <c r="P4" i="4" s="1"/>
  <c r="S4" i="4"/>
  <c r="T4" i="4" s="1"/>
  <c r="W4" i="4"/>
  <c r="X4" i="4" s="1"/>
  <c r="F62" i="5"/>
  <c r="O5" i="4"/>
  <c r="P5" i="4" s="1"/>
  <c r="F64" i="5"/>
  <c r="S5" i="4"/>
  <c r="T5" i="4" s="1"/>
  <c r="F66" i="5"/>
  <c r="W5" i="4"/>
  <c r="X5" i="4" s="1"/>
  <c r="O6" i="4"/>
  <c r="P6" i="4" s="1"/>
  <c r="R88" i="5" s="1"/>
  <c r="S6" i="4"/>
  <c r="T6" i="4" s="1"/>
  <c r="R90" i="5" s="1"/>
  <c r="W6" i="4"/>
  <c r="X6" i="4" s="1"/>
  <c r="R92" i="5" s="1"/>
  <c r="O7" i="4"/>
  <c r="P7" i="4" s="1"/>
  <c r="S7" i="4"/>
  <c r="T7" i="4" s="1"/>
  <c r="W7" i="4"/>
  <c r="X7" i="4" s="1"/>
  <c r="O8" i="4"/>
  <c r="P8" i="4" s="1"/>
  <c r="S8" i="4"/>
  <c r="T8" i="4" s="1"/>
  <c r="W8" i="4"/>
  <c r="X8" i="4" s="1"/>
  <c r="O9" i="4"/>
  <c r="P9" i="4" s="1"/>
  <c r="S9" i="4"/>
  <c r="T9" i="4" s="1"/>
  <c r="W9" i="4"/>
  <c r="X9" i="4" s="1"/>
  <c r="O10" i="4"/>
  <c r="P10" i="4" s="1"/>
  <c r="S10" i="4"/>
  <c r="T10" i="4" s="1"/>
  <c r="W10" i="4"/>
  <c r="X10" i="4" s="1"/>
  <c r="O11" i="4"/>
  <c r="P11" i="4" s="1"/>
  <c r="S11" i="4"/>
  <c r="T11" i="4" s="1"/>
  <c r="W11" i="4"/>
  <c r="X11" i="4" s="1"/>
  <c r="O12" i="4"/>
  <c r="P12" i="4" s="1"/>
  <c r="S12" i="4"/>
  <c r="T12" i="4" s="1"/>
  <c r="W12" i="4"/>
  <c r="X12" i="4" s="1"/>
  <c r="O13" i="4"/>
  <c r="P13" i="4" s="1"/>
  <c r="S13" i="4"/>
  <c r="T13" i="4" s="1"/>
  <c r="W13" i="4"/>
  <c r="X13" i="4" s="1"/>
  <c r="O14" i="4"/>
  <c r="P14" i="4" s="1"/>
  <c r="S14" i="4"/>
  <c r="T14" i="4" s="1"/>
  <c r="W14" i="4"/>
  <c r="X14" i="4" s="1"/>
  <c r="O15" i="4"/>
  <c r="P15" i="4" s="1"/>
  <c r="S15" i="4"/>
  <c r="T15" i="4" s="1"/>
  <c r="W15" i="4"/>
  <c r="X15" i="4" s="1"/>
  <c r="O16" i="4"/>
  <c r="P16" i="4" s="1"/>
  <c r="S16" i="4"/>
  <c r="T16" i="4" s="1"/>
  <c r="W16" i="4"/>
  <c r="X16" i="4" s="1"/>
  <c r="O17" i="4"/>
  <c r="P17" i="4" s="1"/>
  <c r="S17" i="4"/>
  <c r="T17" i="4" s="1"/>
  <c r="W17" i="4"/>
  <c r="X17" i="4" s="1"/>
  <c r="O18" i="4"/>
  <c r="P18" i="4" s="1"/>
  <c r="S18" i="4"/>
  <c r="T18" i="4" s="1"/>
  <c r="W18" i="4"/>
  <c r="X18" i="4" s="1"/>
  <c r="O19" i="4"/>
  <c r="P19" i="4" s="1"/>
  <c r="S19" i="4"/>
  <c r="T19" i="4" s="1"/>
  <c r="W19" i="4"/>
  <c r="X19" i="4" s="1"/>
  <c r="O20" i="4"/>
  <c r="P20" i="4" s="1"/>
  <c r="S20" i="4"/>
  <c r="T20" i="4" s="1"/>
  <c r="W20" i="4"/>
  <c r="X20" i="4" s="1"/>
  <c r="O22" i="4"/>
  <c r="P22" i="4" s="1"/>
  <c r="S22" i="4"/>
  <c r="T22" i="4" s="1"/>
  <c r="W22" i="4"/>
  <c r="X22" i="4" s="1"/>
  <c r="O21" i="4"/>
  <c r="P21" i="4" s="1"/>
  <c r="S21" i="4"/>
  <c r="T21" i="4" s="1"/>
  <c r="W21" i="4"/>
  <c r="X21" i="4" s="1"/>
  <c r="F36" i="5"/>
  <c r="F38" i="5"/>
  <c r="F40" i="5"/>
  <c r="F93" i="5"/>
  <c r="F91" i="5"/>
  <c r="F89" i="5"/>
  <c r="I88" i="5"/>
  <c r="F84" i="5"/>
  <c r="F82" i="5"/>
  <c r="Q83" i="5" s="1"/>
  <c r="F92" i="5"/>
  <c r="L88" i="5"/>
  <c r="F83" i="5"/>
  <c r="F90" i="5"/>
  <c r="F88" i="5"/>
  <c r="A105" i="5"/>
  <c r="L3" i="1"/>
  <c r="O93" i="5" l="1"/>
  <c r="O88" i="5"/>
  <c r="O90" i="5"/>
  <c r="O89" i="5"/>
  <c r="X3" i="4"/>
  <c r="R14" i="5" s="1"/>
  <c r="O14" i="5"/>
  <c r="R64" i="5"/>
  <c r="O64" i="5"/>
  <c r="T3" i="4"/>
  <c r="R12" i="5" s="1"/>
  <c r="O12" i="5"/>
  <c r="R3" i="4"/>
  <c r="O11" i="5"/>
  <c r="R119" i="5"/>
  <c r="F119" i="5"/>
  <c r="O118" i="5"/>
  <c r="R118" i="5"/>
  <c r="F117" i="5"/>
  <c r="O116" i="5"/>
  <c r="R115" i="5"/>
  <c r="F115" i="5"/>
  <c r="O114" i="5"/>
  <c r="I114" i="5"/>
  <c r="F110" i="5"/>
  <c r="F108" i="5"/>
  <c r="Q109" i="5" s="1"/>
  <c r="O119" i="5"/>
  <c r="F118" i="5"/>
  <c r="F116" i="5"/>
  <c r="R114" i="5"/>
  <c r="F114" i="5"/>
  <c r="R116" i="5"/>
  <c r="O115" i="5"/>
  <c r="L114" i="5"/>
  <c r="F109" i="5"/>
  <c r="A131" i="5"/>
  <c r="R38" i="5"/>
  <c r="O38" i="5"/>
  <c r="O37" i="5"/>
  <c r="O36" i="5"/>
  <c r="R66" i="5"/>
  <c r="O66" i="5"/>
  <c r="O62" i="5"/>
  <c r="R40" i="5"/>
  <c r="O40" i="5"/>
  <c r="O63" i="5"/>
  <c r="O92" i="5"/>
  <c r="P3" i="4"/>
  <c r="L22" i="4"/>
  <c r="AA22" i="4" s="1"/>
  <c r="AB22" i="4" s="1"/>
  <c r="L19" i="4"/>
  <c r="AA19" i="4" s="1"/>
  <c r="AB19" i="4" s="1"/>
  <c r="L17" i="4"/>
  <c r="AA17" i="4" s="1"/>
  <c r="AB17" i="4" s="1"/>
  <c r="L15" i="4"/>
  <c r="AA15" i="4" s="1"/>
  <c r="AB15" i="4" s="1"/>
  <c r="L13" i="4"/>
  <c r="AA13" i="4" s="1"/>
  <c r="AB13" i="4" s="1"/>
  <c r="L11" i="4"/>
  <c r="AA11" i="4" s="1"/>
  <c r="AB11" i="4" s="1"/>
  <c r="L9" i="4"/>
  <c r="AA9" i="4" s="1"/>
  <c r="AB9" i="4" s="1"/>
  <c r="L7" i="4"/>
  <c r="L5" i="4"/>
  <c r="AA5" i="4" s="1"/>
  <c r="AB5" i="4" s="1"/>
  <c r="L3" i="4"/>
  <c r="AA3" i="4" s="1"/>
  <c r="L21" i="4"/>
  <c r="AA21" i="4" s="1"/>
  <c r="AB21" i="4" s="1"/>
  <c r="L16" i="4"/>
  <c r="AA16" i="4" s="1"/>
  <c r="AB16" i="4" s="1"/>
  <c r="L12" i="4"/>
  <c r="AA12" i="4" s="1"/>
  <c r="AB12" i="4" s="1"/>
  <c r="L8" i="4"/>
  <c r="AA8" i="4" s="1"/>
  <c r="AB8" i="4" s="1"/>
  <c r="L4" i="4"/>
  <c r="AA4" i="4" s="1"/>
  <c r="AB4" i="4" s="1"/>
  <c r="L20" i="4"/>
  <c r="AA20" i="4" s="1"/>
  <c r="AB20" i="4" s="1"/>
  <c r="L18" i="4"/>
  <c r="AA18" i="4" s="1"/>
  <c r="AB18" i="4" s="1"/>
  <c r="L14" i="4"/>
  <c r="AA14" i="4" s="1"/>
  <c r="AB14" i="4" s="1"/>
  <c r="L10" i="4"/>
  <c r="AA10" i="4" s="1"/>
  <c r="AB10" i="4" s="1"/>
  <c r="L6" i="4"/>
  <c r="AA6" i="4" s="1"/>
  <c r="AB6" i="4" s="1"/>
  <c r="R94" i="5" s="1"/>
  <c r="R117" i="5" l="1"/>
  <c r="AA7" i="4"/>
  <c r="O94" i="5"/>
  <c r="F94" i="5"/>
  <c r="F16" i="5"/>
  <c r="R10" i="5"/>
  <c r="R63" i="5"/>
  <c r="R62" i="5"/>
  <c r="R36" i="5"/>
  <c r="R37" i="5"/>
  <c r="F42" i="5"/>
  <c r="F68" i="5"/>
  <c r="O146" i="5"/>
  <c r="R145" i="5"/>
  <c r="F145" i="5"/>
  <c r="O144" i="5"/>
  <c r="R143" i="5"/>
  <c r="F143" i="5"/>
  <c r="O142" i="5"/>
  <c r="R141" i="5"/>
  <c r="F141" i="5"/>
  <c r="O140" i="5"/>
  <c r="I140" i="5"/>
  <c r="F136" i="5"/>
  <c r="F134" i="5"/>
  <c r="Q135" i="5" s="1"/>
  <c r="R146" i="5"/>
  <c r="O145" i="5"/>
  <c r="F144" i="5"/>
  <c r="R142" i="5"/>
  <c r="O141" i="5"/>
  <c r="L140" i="5"/>
  <c r="F135" i="5"/>
  <c r="F146" i="5"/>
  <c r="R144" i="5"/>
  <c r="O143" i="5"/>
  <c r="F142" i="5"/>
  <c r="R140" i="5"/>
  <c r="F140" i="5"/>
  <c r="A157" i="5"/>
  <c r="O117" i="5"/>
  <c r="F120" i="5"/>
  <c r="R11" i="5"/>
  <c r="AB7" i="4" l="1"/>
  <c r="R120" i="5" s="1"/>
  <c r="O120" i="5"/>
  <c r="AB3" i="4"/>
  <c r="R16" i="5" s="1"/>
  <c r="O16" i="5"/>
  <c r="O172" i="5"/>
  <c r="R171" i="5"/>
  <c r="F171" i="5"/>
  <c r="O170" i="5"/>
  <c r="R169" i="5"/>
  <c r="F169" i="5"/>
  <c r="O168" i="5"/>
  <c r="R167" i="5"/>
  <c r="F167" i="5"/>
  <c r="O166" i="5"/>
  <c r="I166" i="5"/>
  <c r="F162" i="5"/>
  <c r="F160" i="5"/>
  <c r="Q161" i="5" s="1"/>
  <c r="F172" i="5"/>
  <c r="R170" i="5"/>
  <c r="O169" i="5"/>
  <c r="F168" i="5"/>
  <c r="R166" i="5"/>
  <c r="F166" i="5"/>
  <c r="R172" i="5"/>
  <c r="O171" i="5"/>
  <c r="F170" i="5"/>
  <c r="R168" i="5"/>
  <c r="O167" i="5"/>
  <c r="L166" i="5"/>
  <c r="F161" i="5"/>
  <c r="A183" i="5"/>
  <c r="R65" i="5"/>
  <c r="O65" i="5"/>
  <c r="R39" i="5"/>
  <c r="O39" i="5"/>
  <c r="R42" i="5"/>
  <c r="O42" i="5"/>
  <c r="R41" i="5"/>
  <c r="O41" i="5"/>
  <c r="R67" i="5"/>
  <c r="O67" i="5"/>
  <c r="R68" i="5"/>
  <c r="O68" i="5"/>
  <c r="Z3" i="4"/>
  <c r="R15" i="5" s="1"/>
  <c r="O15" i="5"/>
  <c r="V3" i="4"/>
  <c r="R13" i="5" s="1"/>
  <c r="O13" i="5"/>
  <c r="R91" i="5"/>
  <c r="O91" i="5"/>
  <c r="O198" i="5" l="1"/>
  <c r="R197" i="5"/>
  <c r="F197" i="5"/>
  <c r="O196" i="5"/>
  <c r="R195" i="5"/>
  <c r="F195" i="5"/>
  <c r="O194" i="5"/>
  <c r="R193" i="5"/>
  <c r="F193" i="5"/>
  <c r="O192" i="5"/>
  <c r="I192" i="5"/>
  <c r="F188" i="5"/>
  <c r="F186" i="5"/>
  <c r="Q187" i="5" s="1"/>
  <c r="R198" i="5"/>
  <c r="O197" i="5"/>
  <c r="F196" i="5"/>
  <c r="R194" i="5"/>
  <c r="O193" i="5"/>
  <c r="L192" i="5"/>
  <c r="F187" i="5"/>
  <c r="F198" i="5"/>
  <c r="R196" i="5"/>
  <c r="O195" i="5"/>
  <c r="F194" i="5"/>
  <c r="R192" i="5"/>
  <c r="F192" i="5"/>
  <c r="A209" i="5"/>
  <c r="O224" i="5" l="1"/>
  <c r="R223" i="5"/>
  <c r="F223" i="5"/>
  <c r="O222" i="5"/>
  <c r="R221" i="5"/>
  <c r="F221" i="5"/>
  <c r="O220" i="5"/>
  <c r="R219" i="5"/>
  <c r="F219" i="5"/>
  <c r="O218" i="5"/>
  <c r="I218" i="5"/>
  <c r="F214" i="5"/>
  <c r="F212" i="5"/>
  <c r="Q213" i="5" s="1"/>
  <c r="F224" i="5"/>
  <c r="R222" i="5"/>
  <c r="O221" i="5"/>
  <c r="F220" i="5"/>
  <c r="R218" i="5"/>
  <c r="F218" i="5"/>
  <c r="R224" i="5"/>
  <c r="O223" i="5"/>
  <c r="F222" i="5"/>
  <c r="R220" i="5"/>
  <c r="O219" i="5"/>
  <c r="L218" i="5"/>
  <c r="F213" i="5"/>
  <c r="A235" i="5"/>
  <c r="O250" i="5" l="1"/>
  <c r="R249" i="5"/>
  <c r="F249" i="5"/>
  <c r="O248" i="5"/>
  <c r="R247" i="5"/>
  <c r="F247" i="5"/>
  <c r="O246" i="5"/>
  <c r="R245" i="5"/>
  <c r="F245" i="5"/>
  <c r="O244" i="5"/>
  <c r="I244" i="5"/>
  <c r="F240" i="5"/>
  <c r="F238" i="5"/>
  <c r="Q239" i="5" s="1"/>
  <c r="R250" i="5"/>
  <c r="O249" i="5"/>
  <c r="F248" i="5"/>
  <c r="R246" i="5"/>
  <c r="O245" i="5"/>
  <c r="L244" i="5"/>
  <c r="F239" i="5"/>
  <c r="F250" i="5"/>
  <c r="R248" i="5"/>
  <c r="O247" i="5"/>
  <c r="F246" i="5"/>
  <c r="R244" i="5"/>
  <c r="F244" i="5"/>
  <c r="A261" i="5"/>
  <c r="O276" i="5" l="1"/>
  <c r="R275" i="5"/>
  <c r="F275" i="5"/>
  <c r="O274" i="5"/>
  <c r="R273" i="5"/>
  <c r="F273" i="5"/>
  <c r="O272" i="5"/>
  <c r="R271" i="5"/>
  <c r="F271" i="5"/>
  <c r="O270" i="5"/>
  <c r="I270" i="5"/>
  <c r="F266" i="5"/>
  <c r="F264" i="5"/>
  <c r="Q265" i="5" s="1"/>
  <c r="F276" i="5"/>
  <c r="R274" i="5"/>
  <c r="O273" i="5"/>
  <c r="F272" i="5"/>
  <c r="R270" i="5"/>
  <c r="F270" i="5"/>
  <c r="R276" i="5"/>
  <c r="O275" i="5"/>
  <c r="F274" i="5"/>
  <c r="R272" i="5"/>
  <c r="O271" i="5"/>
  <c r="L270" i="5"/>
  <c r="F265" i="5"/>
  <c r="A287" i="5"/>
  <c r="O302" i="5" l="1"/>
  <c r="R301" i="5"/>
  <c r="F301" i="5"/>
  <c r="O300" i="5"/>
  <c r="R299" i="5"/>
  <c r="F299" i="5"/>
  <c r="O298" i="5"/>
  <c r="R297" i="5"/>
  <c r="F297" i="5"/>
  <c r="O296" i="5"/>
  <c r="I296" i="5"/>
  <c r="F292" i="5"/>
  <c r="F290" i="5"/>
  <c r="Q291" i="5" s="1"/>
  <c r="R302" i="5"/>
  <c r="O301" i="5"/>
  <c r="F300" i="5"/>
  <c r="R298" i="5"/>
  <c r="O297" i="5"/>
  <c r="L296" i="5"/>
  <c r="F291" i="5"/>
  <c r="F302" i="5"/>
  <c r="R300" i="5"/>
  <c r="O299" i="5"/>
  <c r="F298" i="5"/>
  <c r="R296" i="5"/>
  <c r="F296" i="5"/>
  <c r="A313" i="5"/>
  <c r="O328" i="5" l="1"/>
  <c r="R327" i="5"/>
  <c r="F327" i="5"/>
  <c r="O326" i="5"/>
  <c r="R325" i="5"/>
  <c r="F325" i="5"/>
  <c r="O324" i="5"/>
  <c r="R323" i="5"/>
  <c r="F323" i="5"/>
  <c r="O322" i="5"/>
  <c r="I322" i="5"/>
  <c r="F318" i="5"/>
  <c r="F316" i="5"/>
  <c r="Q317" i="5" s="1"/>
  <c r="F328" i="5"/>
  <c r="R326" i="5"/>
  <c r="O325" i="5"/>
  <c r="F324" i="5"/>
  <c r="R322" i="5"/>
  <c r="F322" i="5"/>
  <c r="R328" i="5"/>
  <c r="O327" i="5"/>
  <c r="F326" i="5"/>
  <c r="R324" i="5"/>
  <c r="O323" i="5"/>
  <c r="L322" i="5"/>
  <c r="F317" i="5"/>
  <c r="A339" i="5"/>
  <c r="O354" i="5" l="1"/>
  <c r="R353" i="5"/>
  <c r="F353" i="5"/>
  <c r="O352" i="5"/>
  <c r="R351" i="5"/>
  <c r="F351" i="5"/>
  <c r="O350" i="5"/>
  <c r="R349" i="5"/>
  <c r="F349" i="5"/>
  <c r="O348" i="5"/>
  <c r="I348" i="5"/>
  <c r="F344" i="5"/>
  <c r="F342" i="5"/>
  <c r="Q343" i="5" s="1"/>
  <c r="R354" i="5"/>
  <c r="O353" i="5"/>
  <c r="F352" i="5"/>
  <c r="R350" i="5"/>
  <c r="O349" i="5"/>
  <c r="L348" i="5"/>
  <c r="F343" i="5"/>
  <c r="F354" i="5"/>
  <c r="R352" i="5"/>
  <c r="O351" i="5"/>
  <c r="F350" i="5"/>
  <c r="R348" i="5"/>
  <c r="F348" i="5"/>
  <c r="A365" i="5"/>
  <c r="R380" i="5" l="1"/>
  <c r="F380" i="5"/>
  <c r="O379" i="5"/>
  <c r="R378" i="5"/>
  <c r="F378" i="5"/>
  <c r="O377" i="5"/>
  <c r="R376" i="5"/>
  <c r="O380" i="5"/>
  <c r="F379" i="5"/>
  <c r="R377" i="5"/>
  <c r="O376" i="5"/>
  <c r="R375" i="5"/>
  <c r="F375" i="5"/>
  <c r="O374" i="5"/>
  <c r="I374" i="5"/>
  <c r="F370" i="5"/>
  <c r="F368" i="5"/>
  <c r="Q369" i="5" s="1"/>
  <c r="O378" i="5"/>
  <c r="F376" i="5"/>
  <c r="R374" i="5"/>
  <c r="F374" i="5"/>
  <c r="R379" i="5"/>
  <c r="F377" i="5"/>
  <c r="O375" i="5"/>
  <c r="L374" i="5"/>
  <c r="F369" i="5"/>
  <c r="A391" i="5"/>
  <c r="R406" i="5" l="1"/>
  <c r="F406" i="5"/>
  <c r="O405" i="5"/>
  <c r="R404" i="5"/>
  <c r="F404" i="5"/>
  <c r="O403" i="5"/>
  <c r="R402" i="5"/>
  <c r="F402" i="5"/>
  <c r="O401" i="5"/>
  <c r="R400" i="5"/>
  <c r="L400" i="5"/>
  <c r="F400" i="5"/>
  <c r="F395" i="5"/>
  <c r="R405" i="5"/>
  <c r="O404" i="5"/>
  <c r="F403" i="5"/>
  <c r="R401" i="5"/>
  <c r="O400" i="5"/>
  <c r="F396" i="5"/>
  <c r="O406" i="5"/>
  <c r="R403" i="5"/>
  <c r="F401" i="5"/>
  <c r="F394" i="5"/>
  <c r="Q395" i="5" s="1"/>
  <c r="F405" i="5"/>
  <c r="O402" i="5"/>
  <c r="I400" i="5"/>
  <c r="A417" i="5"/>
  <c r="R432" i="5" l="1"/>
  <c r="F432" i="5"/>
  <c r="O431" i="5"/>
  <c r="R430" i="5"/>
  <c r="F430" i="5"/>
  <c r="O429" i="5"/>
  <c r="R428" i="5"/>
  <c r="F428" i="5"/>
  <c r="O427" i="5"/>
  <c r="R426" i="5"/>
  <c r="L426" i="5"/>
  <c r="F426" i="5"/>
  <c r="F421" i="5"/>
  <c r="O432" i="5"/>
  <c r="F431" i="5"/>
  <c r="R429" i="5"/>
  <c r="O428" i="5"/>
  <c r="F427" i="5"/>
  <c r="I426" i="5"/>
  <c r="F420" i="5"/>
  <c r="Q421" i="5" s="1"/>
  <c r="R431" i="5"/>
  <c r="F429" i="5"/>
  <c r="O426" i="5"/>
  <c r="O430" i="5"/>
  <c r="R427" i="5"/>
  <c r="F422" i="5"/>
  <c r="A443" i="5"/>
  <c r="R458" i="5" l="1"/>
  <c r="F458" i="5"/>
  <c r="O457" i="5"/>
  <c r="R456" i="5"/>
  <c r="F456" i="5"/>
  <c r="O455" i="5"/>
  <c r="R454" i="5"/>
  <c r="F454" i="5"/>
  <c r="O453" i="5"/>
  <c r="R452" i="5"/>
  <c r="L452" i="5"/>
  <c r="F452" i="5"/>
  <c r="F447" i="5"/>
  <c r="R457" i="5"/>
  <c r="O456" i="5"/>
  <c r="F455" i="5"/>
  <c r="R453" i="5"/>
  <c r="O452" i="5"/>
  <c r="F448" i="5"/>
  <c r="F457" i="5"/>
  <c r="O454" i="5"/>
  <c r="I452" i="5"/>
  <c r="O458" i="5"/>
  <c r="R455" i="5"/>
  <c r="F453" i="5"/>
  <c r="F446" i="5"/>
  <c r="Q447" i="5" s="1"/>
  <c r="A469" i="5"/>
  <c r="R484" i="5" l="1"/>
  <c r="F484" i="5"/>
  <c r="O483" i="5"/>
  <c r="R482" i="5"/>
  <c r="F482" i="5"/>
  <c r="O481" i="5"/>
  <c r="R480" i="5"/>
  <c r="F480" i="5"/>
  <c r="O479" i="5"/>
  <c r="R478" i="5"/>
  <c r="L478" i="5"/>
  <c r="F478" i="5"/>
  <c r="F473" i="5"/>
  <c r="O484" i="5"/>
  <c r="F483" i="5"/>
  <c r="R481" i="5"/>
  <c r="O480" i="5"/>
  <c r="F479" i="5"/>
  <c r="I478" i="5"/>
  <c r="F472" i="5"/>
  <c r="Q473" i="5" s="1"/>
  <c r="O482" i="5"/>
  <c r="R479" i="5"/>
  <c r="F474" i="5"/>
  <c r="R483" i="5"/>
  <c r="F481" i="5"/>
  <c r="O478" i="5"/>
  <c r="A495" i="5"/>
  <c r="R510" i="5" l="1"/>
  <c r="F510" i="5"/>
  <c r="O509" i="5"/>
  <c r="R508" i="5"/>
  <c r="F508" i="5"/>
  <c r="O507" i="5"/>
  <c r="R506" i="5"/>
  <c r="F506" i="5"/>
  <c r="O505" i="5"/>
  <c r="R504" i="5"/>
  <c r="L504" i="5"/>
  <c r="F504" i="5"/>
  <c r="F499" i="5"/>
  <c r="R509" i="5"/>
  <c r="O508" i="5"/>
  <c r="F507" i="5"/>
  <c r="R505" i="5"/>
  <c r="O504" i="5"/>
  <c r="F500" i="5"/>
  <c r="O510" i="5"/>
  <c r="R507" i="5"/>
  <c r="F505" i="5"/>
  <c r="F498" i="5"/>
  <c r="Q499" i="5" s="1"/>
  <c r="F509" i="5"/>
  <c r="O506" i="5"/>
  <c r="I504" i="5"/>
  <c r="A521" i="5"/>
  <c r="R536" i="5" l="1"/>
  <c r="F536" i="5"/>
  <c r="O535" i="5"/>
  <c r="R534" i="5"/>
  <c r="F534" i="5"/>
  <c r="O533" i="5"/>
  <c r="R532" i="5"/>
  <c r="F532" i="5"/>
  <c r="O531" i="5"/>
  <c r="R530" i="5"/>
  <c r="L530" i="5"/>
  <c r="F530" i="5"/>
  <c r="F525" i="5"/>
  <c r="O536" i="5"/>
  <c r="F535" i="5"/>
  <c r="R533" i="5"/>
  <c r="O532" i="5"/>
  <c r="F531" i="5"/>
  <c r="I530" i="5"/>
  <c r="F524" i="5"/>
  <c r="Q525" i="5" s="1"/>
  <c r="R535" i="5"/>
  <c r="F533" i="5"/>
  <c r="O530" i="5"/>
  <c r="O534" i="5"/>
  <c r="R531" i="5"/>
  <c r="F526" i="5"/>
</calcChain>
</file>

<file path=xl/sharedStrings.xml><?xml version="1.0" encoding="utf-8"?>
<sst xmlns="http://schemas.openxmlformats.org/spreadsheetml/2006/main" count="3166" uniqueCount="1132">
  <si>
    <t>クラス</t>
  </si>
  <si>
    <t>番号</t>
  </si>
  <si>
    <t>名前</t>
  </si>
  <si>
    <t>語彙</t>
    <phoneticPr fontId="2"/>
  </si>
  <si>
    <t>聴解</t>
  </si>
  <si>
    <t>読解</t>
  </si>
  <si>
    <t>文法</t>
  </si>
  <si>
    <t>合計</t>
  </si>
  <si>
    <t>作文</t>
    <rPh sb="0" eb="2">
      <t>サクブン</t>
    </rPh>
    <phoneticPr fontId="1"/>
  </si>
  <si>
    <t>会話</t>
    <rPh sb="0" eb="2">
      <t>カイワ</t>
    </rPh>
    <phoneticPr fontId="1"/>
  </si>
  <si>
    <t>平常点</t>
    <rPh sb="0" eb="3">
      <t>ヘイジョウテン</t>
    </rPh>
    <phoneticPr fontId="1"/>
  </si>
  <si>
    <t>学籍番号</t>
    <rPh sb="0" eb="4">
      <t>ガクセキバンゴウ</t>
    </rPh>
    <phoneticPr fontId="1"/>
  </si>
  <si>
    <t>コマ数</t>
  </si>
  <si>
    <t>遅刻コマ数</t>
  </si>
  <si>
    <t>欠席コマ数</t>
  </si>
  <si>
    <t>累計出席率</t>
  </si>
  <si>
    <t>語彙</t>
  </si>
  <si>
    <t>平常点</t>
    <rPh sb="0" eb="3">
      <t>ヘイジョウテン</t>
    </rPh>
    <phoneticPr fontId="1"/>
  </si>
  <si>
    <t>出席点</t>
    <rPh sb="0" eb="3">
      <t>シュッセキテン</t>
    </rPh>
    <phoneticPr fontId="1"/>
  </si>
  <si>
    <t>総合成績</t>
    <rPh sb="0" eb="2">
      <t>ソウゴウ</t>
    </rPh>
    <rPh sb="2" eb="4">
      <t>セイセキ</t>
    </rPh>
    <phoneticPr fontId="1"/>
  </si>
  <si>
    <t>①期末試験得点（70点満点）</t>
    <rPh sb="1" eb="5">
      <t>キマツシケン</t>
    </rPh>
    <rPh sb="5" eb="7">
      <t>トクテン</t>
    </rPh>
    <rPh sb="10" eb="11">
      <t>テン</t>
    </rPh>
    <rPh sb="11" eb="13">
      <t>マンテン</t>
    </rPh>
    <phoneticPr fontId="1"/>
  </si>
  <si>
    <t>②15点満点</t>
    <rPh sb="3" eb="4">
      <t>テン</t>
    </rPh>
    <rPh sb="4" eb="6">
      <t>マンテン</t>
    </rPh>
    <phoneticPr fontId="1"/>
  </si>
  <si>
    <t>③15点満点</t>
    <rPh sb="3" eb="4">
      <t>テン</t>
    </rPh>
    <rPh sb="4" eb="6">
      <t>マンテン</t>
    </rPh>
    <phoneticPr fontId="1"/>
  </si>
  <si>
    <t>授業態度</t>
    <rPh sb="0" eb="4">
      <t>ジュギョウタイド</t>
    </rPh>
    <phoneticPr fontId="1"/>
  </si>
  <si>
    <t>宿題提出頻度</t>
    <rPh sb="0" eb="2">
      <t>シュクダイ</t>
    </rPh>
    <rPh sb="2" eb="4">
      <t>テイシュツ</t>
    </rPh>
    <rPh sb="4" eb="6">
      <t>ヒンド</t>
    </rPh>
    <phoneticPr fontId="1"/>
  </si>
  <si>
    <t>小テスト</t>
    <rPh sb="0" eb="1">
      <t>ショウ</t>
    </rPh>
    <phoneticPr fontId="1"/>
  </si>
  <si>
    <t>5(優)～1(不可)の５段階評価</t>
    <rPh sb="2" eb="3">
      <t>ユウ</t>
    </rPh>
    <rPh sb="7" eb="9">
      <t>フカ</t>
    </rPh>
    <rPh sb="12" eb="16">
      <t>ダンカイヒョウカ</t>
    </rPh>
    <phoneticPr fontId="1"/>
  </si>
  <si>
    <t>「出席率出力.xlsx」を開く</t>
  </si>
  <si>
    <t>定期テストのフォルダを開く</t>
  </si>
  <si>
    <t>成績通知書</t>
    <rPh sb="0" eb="2">
      <t>セイセキ</t>
    </rPh>
    <rPh sb="2" eb="5">
      <t>ツウチショ</t>
    </rPh>
    <phoneticPr fontId="1"/>
  </si>
  <si>
    <t>基礎点(70)</t>
    <rPh sb="0" eb="2">
      <t>キソ</t>
    </rPh>
    <rPh sb="2" eb="3">
      <t>テン</t>
    </rPh>
    <phoneticPr fontId="1"/>
  </si>
  <si>
    <t>出席点(15)</t>
    <phoneticPr fontId="1"/>
  </si>
  <si>
    <t>平常点(15)</t>
    <phoneticPr fontId="1"/>
  </si>
  <si>
    <t>合計(100)</t>
    <rPh sb="0" eb="2">
      <t>ゴウケイ</t>
    </rPh>
    <phoneticPr fontId="1"/>
  </si>
  <si>
    <t>判定</t>
    <rPh sb="0" eb="2">
      <t>ハンテイ</t>
    </rPh>
    <phoneticPr fontId="1"/>
  </si>
  <si>
    <t>base point</t>
    <phoneticPr fontId="1"/>
  </si>
  <si>
    <t xml:space="preserve">attendance </t>
    <phoneticPr fontId="1"/>
  </si>
  <si>
    <t>class
participation</t>
    <phoneticPr fontId="1"/>
  </si>
  <si>
    <t>sum</t>
    <phoneticPr fontId="1"/>
  </si>
  <si>
    <t>rank</t>
    <phoneticPr fontId="1"/>
  </si>
  <si>
    <t>文字・語彙
vocabulary</t>
    <rPh sb="0" eb="2">
      <t>モジ</t>
    </rPh>
    <rPh sb="3" eb="5">
      <t>ゴイ</t>
    </rPh>
    <phoneticPr fontId="1"/>
  </si>
  <si>
    <t>聴解
listening</t>
    <rPh sb="0" eb="2">
      <t>チョウカイ</t>
    </rPh>
    <phoneticPr fontId="1"/>
  </si>
  <si>
    <t>読解
reading</t>
    <rPh sb="0" eb="2">
      <t>ドッカイ</t>
    </rPh>
    <phoneticPr fontId="1"/>
  </si>
  <si>
    <t>文法
grammar</t>
    <rPh sb="0" eb="2">
      <t>ブンポウ</t>
    </rPh>
    <phoneticPr fontId="1"/>
  </si>
  <si>
    <t>作文
writing</t>
    <rPh sb="0" eb="2">
      <t>サクブン</t>
    </rPh>
    <phoneticPr fontId="1"/>
  </si>
  <si>
    <t>会話
conversation</t>
    <rPh sb="0" eb="2">
      <t>カイワ</t>
    </rPh>
    <phoneticPr fontId="1"/>
  </si>
  <si>
    <t>総合
overall result</t>
    <rPh sb="0" eb="2">
      <t>ソウゴウ</t>
    </rPh>
    <phoneticPr fontId="1"/>
  </si>
  <si>
    <r>
      <t>　　　　　　　＊</t>
    </r>
    <r>
      <rPr>
        <u/>
        <sz val="6"/>
        <color theme="1"/>
        <rFont val="メイリオ"/>
        <family val="3"/>
        <charset val="128"/>
      </rPr>
      <t>base point</t>
    </r>
    <r>
      <rPr>
        <sz val="6"/>
        <color theme="1"/>
        <rFont val="メイリオ"/>
        <family val="3"/>
        <charset val="128"/>
      </rPr>
      <t>＝result of fanal exam、</t>
    </r>
    <r>
      <rPr>
        <u/>
        <sz val="6"/>
        <color theme="1"/>
        <rFont val="メイリオ"/>
        <family val="3"/>
        <charset val="128"/>
      </rPr>
      <t>attendance</t>
    </r>
    <r>
      <rPr>
        <sz val="6"/>
        <color theme="1"/>
        <rFont val="メイリオ"/>
        <family val="3"/>
        <charset val="128"/>
      </rPr>
      <t xml:space="preserve"> ＝ attendance rate、</t>
    </r>
    <r>
      <rPr>
        <u/>
        <sz val="6"/>
        <color theme="1"/>
        <rFont val="メイリオ"/>
        <family val="3"/>
        <charset val="128"/>
      </rPr>
      <t>class participation</t>
    </r>
    <r>
      <rPr>
        <sz val="6"/>
        <color theme="1"/>
        <rFont val="メイリオ"/>
        <family val="3"/>
        <charset val="128"/>
      </rPr>
      <t xml:space="preserve"> ＝ attitude・motivation・smalltest・homework</t>
    </r>
    <phoneticPr fontId="1"/>
  </si>
  <si>
    <t>出席率
attendance rate</t>
    <rPh sb="0" eb="3">
      <t>シュッセキリツ</t>
    </rPh>
    <phoneticPr fontId="1"/>
  </si>
  <si>
    <t>作成日
date of issued</t>
    <rPh sb="0" eb="3">
      <t>サクセイビ</t>
    </rPh>
    <phoneticPr fontId="1"/>
  </si>
  <si>
    <t>学籍番号
student ID</t>
    <rPh sb="0" eb="4">
      <t>ガクセキバンゴウ</t>
    </rPh>
    <phoneticPr fontId="1"/>
  </si>
  <si>
    <t>クラス
class</t>
    <phoneticPr fontId="1"/>
  </si>
  <si>
    <t>名前
name</t>
    <rPh sb="0" eb="2">
      <t>ナマエ</t>
    </rPh>
    <phoneticPr fontId="1"/>
  </si>
  <si>
    <t>2-1</t>
  </si>
  <si>
    <t>尹 麗</t>
  </si>
  <si>
    <t>HTET HTOO KHIN</t>
  </si>
  <si>
    <t>THIRI HNIN HTET</t>
  </si>
  <si>
    <t>YOON LAE LAE TUN</t>
  </si>
  <si>
    <t>AYE WAI PHYO</t>
  </si>
  <si>
    <t>ARKAR HEIN</t>
  </si>
  <si>
    <t>WIN THEINGI SHWE</t>
  </si>
  <si>
    <t>MAY THINZAR KYAW</t>
  </si>
  <si>
    <t>EI THAE PHYU</t>
  </si>
  <si>
    <t>HTET NAING WIN</t>
  </si>
  <si>
    <t>HTET MYAT AUNG</t>
  </si>
  <si>
    <t>NYI NYI ZAW</t>
  </si>
  <si>
    <t>ARMAN HOSSAN OBEY</t>
  </si>
  <si>
    <t>李 凱</t>
    <rPh sb="0" eb="1">
      <t>リ</t>
    </rPh>
    <rPh sb="2" eb="3">
      <t>カイ</t>
    </rPh>
    <phoneticPr fontId="7"/>
  </si>
  <si>
    <t>孫 有卓</t>
    <rPh sb="2" eb="3">
      <t>ア</t>
    </rPh>
    <rPh sb="3" eb="4">
      <t>スグル</t>
    </rPh>
    <phoneticPr fontId="7"/>
  </si>
  <si>
    <t>SAW MOSES GEE</t>
  </si>
  <si>
    <t>MAY IRINE</t>
  </si>
  <si>
    <t>HTET EAINDRAY LINN</t>
  </si>
  <si>
    <t>SHIHAB MOTIUR RAHMAN</t>
  </si>
  <si>
    <t>RABIN THAPALIYA</t>
  </si>
  <si>
    <t>REN　YIRUI</t>
  </si>
  <si>
    <t>3</t>
  </si>
  <si>
    <t>QU　MENG</t>
  </si>
  <si>
    <t>1406</t>
  </si>
  <si>
    <t>4</t>
  </si>
  <si>
    <t>46</t>
  </si>
  <si>
    <t>0.96840000000000004</t>
  </si>
  <si>
    <t>SUI　JINYU</t>
  </si>
  <si>
    <t>1388</t>
  </si>
  <si>
    <t>11</t>
  </si>
  <si>
    <t>57</t>
  </si>
  <si>
    <t>WU　YAN</t>
  </si>
  <si>
    <t>1434</t>
  </si>
  <si>
    <t>9</t>
  </si>
  <si>
    <t>1</t>
  </si>
  <si>
    <t>0.99930000000000008</t>
  </si>
  <si>
    <t>YIN　LI</t>
  </si>
  <si>
    <t>1422</t>
  </si>
  <si>
    <t>0.99170000000000003</t>
  </si>
  <si>
    <t>SUN　XIAORAN</t>
  </si>
  <si>
    <t>JIAO　XINRU</t>
  </si>
  <si>
    <t>18</t>
  </si>
  <si>
    <t>53</t>
  </si>
  <si>
    <t>LI　ZONGSHEN</t>
  </si>
  <si>
    <t>28</t>
  </si>
  <si>
    <t>OUEDRAOGO 　SAHOUDATOU</t>
  </si>
  <si>
    <t>NGUYEN　  THI   ANH   THU</t>
  </si>
  <si>
    <t>1414</t>
  </si>
  <si>
    <t xml:space="preserve">NGUYEN　  THI   YEN  </t>
  </si>
  <si>
    <t>1408</t>
  </si>
  <si>
    <t>32</t>
  </si>
  <si>
    <t>0.9778</t>
  </si>
  <si>
    <t>BUI 　VIET HOANG</t>
  </si>
  <si>
    <t>1304</t>
  </si>
  <si>
    <t>7</t>
  </si>
  <si>
    <t>0.9668000000000001</t>
  </si>
  <si>
    <t>TRAN 　VIET NHAT</t>
  </si>
  <si>
    <t>1342</t>
  </si>
  <si>
    <t>10</t>
  </si>
  <si>
    <t>HOANG　  THANH   TUNG</t>
  </si>
  <si>
    <t>1432</t>
  </si>
  <si>
    <t>0.99379999999999991</t>
  </si>
  <si>
    <t>PANDEY　BHAWANA</t>
  </si>
  <si>
    <t>1403</t>
  </si>
  <si>
    <t>0</t>
  </si>
  <si>
    <t>TIMALSINA　AMRITA</t>
  </si>
  <si>
    <t>ADHIKARI　SAPANA</t>
  </si>
  <si>
    <t>2</t>
  </si>
  <si>
    <t>0.99860000000000004</t>
  </si>
  <si>
    <t>WAIBA　SHRIJANA</t>
  </si>
  <si>
    <t>1383</t>
  </si>
  <si>
    <t>20</t>
  </si>
  <si>
    <t>0.98580000000000001</t>
  </si>
  <si>
    <t>RAMDAM SURAJ　KUMAR</t>
  </si>
  <si>
    <t>5</t>
  </si>
  <si>
    <t xml:space="preserve">DHAKAL RAM　  CHANDRA </t>
  </si>
  <si>
    <t>1449</t>
  </si>
  <si>
    <t>6</t>
  </si>
  <si>
    <t>TAMANG　KARAN</t>
  </si>
  <si>
    <t>0.99730000000000008</t>
  </si>
  <si>
    <t>RAI　NIMISHA</t>
  </si>
  <si>
    <t>B   K　  KUMAR</t>
  </si>
  <si>
    <t>1396</t>
  </si>
  <si>
    <t>29</t>
  </si>
  <si>
    <t>0.97970000000000002</t>
  </si>
  <si>
    <t>RASKOTI　MITTHU</t>
  </si>
  <si>
    <t>1426</t>
  </si>
  <si>
    <t>PHAGO　UMA</t>
  </si>
  <si>
    <t>1412</t>
  </si>
  <si>
    <t>0.99299999999999999</t>
  </si>
  <si>
    <t xml:space="preserve">  MAHATO　  BIJAY KUMAR  </t>
  </si>
  <si>
    <t>CHAUDHARY　RAMESH</t>
  </si>
  <si>
    <t>GURUNG　PUSPA</t>
  </si>
  <si>
    <t>23</t>
  </si>
  <si>
    <t xml:space="preserve"> CHAUDHARY　 RUPESH</t>
  </si>
  <si>
    <t>0.99849999999999994</t>
  </si>
  <si>
    <t xml:space="preserve">TAMANG　RANJU </t>
  </si>
  <si>
    <t>1428</t>
  </si>
  <si>
    <t>12</t>
  </si>
  <si>
    <t xml:space="preserve">SHIWAKOTI　KHEM </t>
  </si>
  <si>
    <t xml:space="preserve">BASNET　 HEM BAHADUR </t>
  </si>
  <si>
    <t>17</t>
  </si>
  <si>
    <t>TAMANG　DAWANG</t>
  </si>
  <si>
    <t>8</t>
  </si>
  <si>
    <t>0.98499999999999999</t>
  </si>
  <si>
    <t>SAPKOTA　PUNAM</t>
  </si>
  <si>
    <t xml:space="preserve">  ACHARYA　  MANISH</t>
  </si>
  <si>
    <t>13</t>
  </si>
  <si>
    <t xml:space="preserve">BHANDARI 　SANGITA </t>
  </si>
  <si>
    <t>1390</t>
  </si>
  <si>
    <t xml:space="preserve"> SILWAL　SUDIP  </t>
  </si>
  <si>
    <t>16</t>
  </si>
  <si>
    <t>0.98799999999999999</t>
  </si>
  <si>
    <t xml:space="preserve"> SHRESTHA　DIPU</t>
  </si>
  <si>
    <t>POKHAREL　PRASIDDIKA</t>
  </si>
  <si>
    <t xml:space="preserve">GHARTI　 MAGAR BHARAT </t>
  </si>
  <si>
    <t>KHADKA　SUJAN</t>
  </si>
  <si>
    <t>1424</t>
  </si>
  <si>
    <t>LO TAMANG　ANJALI</t>
  </si>
  <si>
    <t>0.99439999999999995</t>
  </si>
  <si>
    <t>JIMI 　PRAMISHA</t>
  </si>
  <si>
    <t>26</t>
  </si>
  <si>
    <t>0.98150000000000004</t>
  </si>
  <si>
    <t>BUDHA　ARJUN</t>
  </si>
  <si>
    <t>BOHARA　HARI</t>
  </si>
  <si>
    <t>1415</t>
  </si>
  <si>
    <t>THAPA　ANJILA</t>
  </si>
  <si>
    <t>RAWAL 　RAKESH ROSHAN</t>
  </si>
  <si>
    <t>21</t>
  </si>
  <si>
    <t>0.98459999999999992</t>
  </si>
  <si>
    <t xml:space="preserve">  BHUSAL 　ANIL</t>
  </si>
  <si>
    <t>0.99129999999999996</t>
  </si>
  <si>
    <t xml:space="preserve">  KHADKA　  BIWASH</t>
  </si>
  <si>
    <t>0.99709999999999999</t>
  </si>
  <si>
    <t>BASNET　DEVRAJ</t>
  </si>
  <si>
    <t xml:space="preserve"> CHONGBANG　PAWAN</t>
  </si>
  <si>
    <t>SEDHAI　  ANUSHA</t>
  </si>
  <si>
    <t>THAPA   MAGAR 　BINITA</t>
  </si>
  <si>
    <t xml:space="preserve">  DARJI　  AMBIKA</t>
  </si>
  <si>
    <t>PAING　 SHIN   HTET</t>
  </si>
  <si>
    <t>HTET　HTOO KHIN</t>
  </si>
  <si>
    <t>EI　MYAT 　NOE</t>
  </si>
  <si>
    <t>24</t>
  </si>
  <si>
    <t>0.98349999999999993</t>
  </si>
  <si>
    <t>THIRI 　HNIN   HTET</t>
  </si>
  <si>
    <t>YOON 　LAE  LAE  TUN</t>
  </si>
  <si>
    <t>1420</t>
  </si>
  <si>
    <t>AYE　WAI PHYO</t>
  </si>
  <si>
    <t>1442</t>
  </si>
  <si>
    <t>ARKAR　 HEIN</t>
  </si>
  <si>
    <t>14</t>
  </si>
  <si>
    <t>0.99029999999999996</t>
  </si>
  <si>
    <t>WIN　THEINGI SHWE</t>
  </si>
  <si>
    <t>MAY　THINZAR KYAW</t>
  </si>
  <si>
    <t>0.98209999999999997</t>
  </si>
  <si>
    <t>EI 　THAE    PHYU</t>
  </si>
  <si>
    <t>1440</t>
  </si>
  <si>
    <t>ZWE　MARN OO</t>
  </si>
  <si>
    <t xml:space="preserve">PYAE　PHYO HEIN								</t>
  </si>
  <si>
    <t>1421</t>
  </si>
  <si>
    <t>35</t>
  </si>
  <si>
    <t>KAUNG　MYAT TUN</t>
  </si>
  <si>
    <t>1425</t>
  </si>
  <si>
    <t>KAUNG　KHANT SAN</t>
  </si>
  <si>
    <t>0.97930000000000006</t>
  </si>
  <si>
    <t>MOE　 THAE</t>
  </si>
  <si>
    <t>EI　 EI HTUN</t>
  </si>
  <si>
    <t>1411</t>
  </si>
  <si>
    <t>40</t>
  </si>
  <si>
    <t>ZAW　WAI PHYO</t>
  </si>
  <si>
    <t>109</t>
  </si>
  <si>
    <t>0.92489999999999994</t>
  </si>
  <si>
    <t>MOE　PYAE SAN</t>
  </si>
  <si>
    <t>1445</t>
  </si>
  <si>
    <t>MAY 　THAZIN PHOO</t>
  </si>
  <si>
    <t>31</t>
  </si>
  <si>
    <t>44</t>
  </si>
  <si>
    <t xml:space="preserve">HNIN　PA PA MOE </t>
  </si>
  <si>
    <t>1386</t>
  </si>
  <si>
    <t>65</t>
  </si>
  <si>
    <t>YAMONE　 PHOO</t>
  </si>
  <si>
    <t>25</t>
  </si>
  <si>
    <t>YAMIN　PO PO THIN</t>
  </si>
  <si>
    <t>22</t>
  </si>
  <si>
    <t>0.98480000000000001</t>
  </si>
  <si>
    <t>HTET　NAING WIN</t>
  </si>
  <si>
    <t>KYAW　 MIN SAN</t>
  </si>
  <si>
    <t>1413</t>
  </si>
  <si>
    <t>HTET　  MYAT   AUNG</t>
  </si>
  <si>
    <t>NYI　NYI  ZAW</t>
  </si>
  <si>
    <t>0.98409999999999997</t>
  </si>
  <si>
    <t>SAI　PAN SENG</t>
  </si>
  <si>
    <t>1293</t>
  </si>
  <si>
    <t>OBEY　ARMAN HOSSAN</t>
  </si>
  <si>
    <t xml:space="preserve">SHIAM KAMRUL 　 HASSAN </t>
  </si>
  <si>
    <t>0.98609999999999998</t>
  </si>
  <si>
    <t>SAHED　ALIF AHSAN</t>
  </si>
  <si>
    <t>RIYAJAT　MD</t>
  </si>
  <si>
    <t>AKASH MD　TAMIM   IKBAL</t>
  </si>
  <si>
    <t>AMIN　NURUL</t>
  </si>
  <si>
    <t>NAZIM    JOY　 SHARIAR</t>
  </si>
  <si>
    <t xml:space="preserve">NAWMI　REZWANA   TASNIM  </t>
  </si>
  <si>
    <t>34</t>
  </si>
  <si>
    <t xml:space="preserve">FAHIM SHIHAB　AHAMED </t>
  </si>
  <si>
    <t xml:space="preserve">  SAJJAD　  GOLAM</t>
  </si>
  <si>
    <t>1274</t>
  </si>
  <si>
    <t>15</t>
  </si>
  <si>
    <t>103</t>
  </si>
  <si>
    <t>RASEL　 MD</t>
  </si>
  <si>
    <t>1340</t>
  </si>
  <si>
    <t>0.99560000000000004</t>
  </si>
  <si>
    <t xml:space="preserve">HOQUE　 MD ANAMUL </t>
  </si>
  <si>
    <t>1303</t>
  </si>
  <si>
    <t>39</t>
  </si>
  <si>
    <t>0.97120000000000006</t>
  </si>
  <si>
    <t xml:space="preserve">  JOY　MD  SABBIR   AHMED   KHAN </t>
  </si>
  <si>
    <t xml:space="preserve">  SARKER　 MD SAIFUL  ISLAM  </t>
  </si>
  <si>
    <t xml:space="preserve">MUSA　MD ABU </t>
  </si>
  <si>
    <t>MIA　MANIK</t>
  </si>
  <si>
    <t>EMON　</t>
  </si>
  <si>
    <t>1361</t>
  </si>
  <si>
    <t>19</t>
  </si>
  <si>
    <t>0.99069999999999991</t>
  </si>
  <si>
    <t>AHAMMED　 JUBAIYER</t>
  </si>
  <si>
    <t xml:space="preserve">HOSSAIN　MEHARAB </t>
  </si>
  <si>
    <t>0.99780000000000002</t>
  </si>
  <si>
    <t xml:space="preserve">  PIAS　AMIR  FAHAD   KHANDAKER  </t>
  </si>
  <si>
    <t>ISLAM　ZIAUL</t>
  </si>
  <si>
    <t>1364</t>
  </si>
  <si>
    <t xml:space="preserve"> AHMMED　 SAKIL </t>
  </si>
  <si>
    <t xml:space="preserve">ROMAN　MD SADEKUR RAHMAN </t>
  </si>
  <si>
    <t>ASIF 　MD</t>
  </si>
  <si>
    <t>27</t>
  </si>
  <si>
    <t>IKRAMUZZAMAN　MD</t>
  </si>
  <si>
    <t>ISLAM　MD SAIDUL</t>
  </si>
  <si>
    <t xml:space="preserve"> JOY SRII SHOYON　SARKAR</t>
  </si>
  <si>
    <t xml:space="preserve">  ISLAM　OBAYDUL</t>
  </si>
  <si>
    <t xml:space="preserve">ORIDRO　SHIHAB ISTIAK </t>
  </si>
  <si>
    <t>0.9840000000000001</t>
  </si>
  <si>
    <t xml:space="preserve">CHOUDHURY　  MREDUL </t>
  </si>
  <si>
    <t>PAYEL JOBAIDA　 HOSSAN</t>
  </si>
  <si>
    <t xml:space="preserve"> REDOY　MD EASIN HOSSEN</t>
  </si>
  <si>
    <t>ISLAM　TOWHIDUL</t>
  </si>
  <si>
    <t>1298</t>
  </si>
  <si>
    <t xml:space="preserve">RAJU　MD AHSAN HABIB </t>
  </si>
  <si>
    <t>0.99340000000000006</t>
  </si>
  <si>
    <t>DABNATH　TAPO</t>
  </si>
  <si>
    <t>HOSSAIN MD　AHAD</t>
  </si>
  <si>
    <t xml:space="preserve">JORNA　  SHAHINUR AKTER  </t>
  </si>
  <si>
    <t>0.98970000000000002</t>
  </si>
  <si>
    <t xml:space="preserve">OMI MD　KAIUMUN   HASAN  </t>
  </si>
  <si>
    <t>PARVES　  MASUD</t>
  </si>
  <si>
    <t>DEDDUWA PATHIRANAGE　 PETHUM   CHANUKA</t>
  </si>
  <si>
    <t>36</t>
  </si>
  <si>
    <t>WANIGANETHTHI　 VIDANARALALAGE  　  ACHINDRA    THISARANI    WANIGANETHTHI</t>
  </si>
  <si>
    <t>LINDAMULLAGE　 CHARUNI DILSHANI BANDARA</t>
  </si>
  <si>
    <t>1393</t>
  </si>
  <si>
    <t>0.96430000000000005</t>
  </si>
  <si>
    <t>IMIHAMI MUDIYANSELAGE 　MALINDU PRABHASWARA DISSANAYAKE</t>
  </si>
  <si>
    <t>NAGOLLE   GEDARA　  LAHIRU   MADHUSHAN   JAYARATHNA</t>
  </si>
  <si>
    <t>82</t>
  </si>
  <si>
    <t>SAMARAWEERA　  KUSAL   DILITHA</t>
  </si>
  <si>
    <t>0.96150000000000002</t>
  </si>
  <si>
    <t xml:space="preserve">   HOSSAIN 　SHAHADAT </t>
  </si>
  <si>
    <t>0.99629999999999996</t>
  </si>
  <si>
    <t>LI　KAI</t>
  </si>
  <si>
    <t>GUO　MINGAO</t>
  </si>
  <si>
    <t>SUN　YOUZHUO</t>
  </si>
  <si>
    <t>0.99760000000000004</t>
  </si>
  <si>
    <t>TRAN  MINH　DUC</t>
  </si>
  <si>
    <t xml:space="preserve"> SAW 　  MOSES GEE</t>
  </si>
  <si>
    <t>37</t>
  </si>
  <si>
    <t xml:space="preserve"> THET HTET　  MOE OO</t>
  </si>
  <si>
    <t>1196</t>
  </si>
  <si>
    <t>30</t>
  </si>
  <si>
    <t xml:space="preserve"> SI THU　  KYAW</t>
  </si>
  <si>
    <t>MARKARIO　</t>
  </si>
  <si>
    <t>0.99680000000000002</t>
  </si>
  <si>
    <t xml:space="preserve"> MAY　   IRINE</t>
  </si>
  <si>
    <t>1218</t>
  </si>
  <si>
    <t xml:space="preserve"> TIN 　  ZAW WIN</t>
  </si>
  <si>
    <t xml:space="preserve"> AUNG 　  MYAT HEIN</t>
  </si>
  <si>
    <t>ZAW MIN 　HTAY</t>
  </si>
  <si>
    <t>0.97650000000000003</t>
  </si>
  <si>
    <t>THAW NANDAR 　AUNG</t>
  </si>
  <si>
    <t>HNIN YU YU 　HLAING</t>
  </si>
  <si>
    <t>1226</t>
  </si>
  <si>
    <t>HSU MYAT 　AUNG</t>
  </si>
  <si>
    <t>SU MYAT 　WAI</t>
  </si>
  <si>
    <t>KYAW　  NYEIN   HLAING</t>
  </si>
  <si>
    <t>CHIT　  SU   SU   THEINT   ZUN</t>
  </si>
  <si>
    <t>HANNI　  ZAW   OO</t>
  </si>
  <si>
    <t>1231</t>
  </si>
  <si>
    <t>0.99919999999999998</t>
  </si>
  <si>
    <t>CHAN　  MYAE   THEINT   SOE</t>
  </si>
  <si>
    <t>1227</t>
  </si>
  <si>
    <t>TAMANG 　  SHREEJANA</t>
  </si>
  <si>
    <t>KHANAL 　  PRAKASH</t>
  </si>
  <si>
    <t xml:space="preserve">LAMA  PEMBA　TSHERING   </t>
  </si>
  <si>
    <t>THAPA　PUJA KUMARI</t>
  </si>
  <si>
    <t>0.99580000000000002</t>
  </si>
  <si>
    <t>SAPKOTA　SUJINA</t>
  </si>
  <si>
    <t>1213</t>
  </si>
  <si>
    <t>0.98699999999999999</t>
  </si>
  <si>
    <t xml:space="preserve">RAYA　RACHANA </t>
  </si>
  <si>
    <t>LAMA　  RANJITA</t>
  </si>
  <si>
    <t xml:space="preserve">  SUNAR　    ROSHANI</t>
  </si>
  <si>
    <t>RAI　UKESH</t>
  </si>
  <si>
    <t>LIMBU　AAISHA</t>
  </si>
  <si>
    <t>DUWADI　SANDESH</t>
  </si>
  <si>
    <t>1210</t>
  </si>
  <si>
    <t>G C　PRAMISHA</t>
  </si>
  <si>
    <t>0.98939999999999995</t>
  </si>
  <si>
    <t xml:space="preserve">GAUTAM　BED KUMARI </t>
  </si>
  <si>
    <t>TAMANG　  BIPIN  BAHADUR</t>
  </si>
  <si>
    <t xml:space="preserve"> BANJADE 　  SUBHAS</t>
  </si>
  <si>
    <t>0.98299999999999998</t>
  </si>
  <si>
    <t>PANDIT　TILAK</t>
  </si>
  <si>
    <t>LAMSAL  　MANDIRA</t>
  </si>
  <si>
    <t xml:space="preserve"> PATHAK 　  SADHANA</t>
  </si>
  <si>
    <t>KHATRI　  HUKUMRAJ</t>
  </si>
  <si>
    <t>SHRESTHA 　KABITA</t>
  </si>
  <si>
    <t xml:space="preserve">KARKI 　SAMITA </t>
  </si>
  <si>
    <t>SHRESTHA　ANU</t>
  </si>
  <si>
    <t>PANDEY　 DIPAS</t>
  </si>
  <si>
    <t>0.98640000000000005</t>
  </si>
  <si>
    <t>ADHIKARI　APSARA</t>
  </si>
  <si>
    <t>LAMA　  SHANTI</t>
  </si>
  <si>
    <t xml:space="preserve"> GHIMIRE 　MANISH</t>
  </si>
  <si>
    <t xml:space="preserve">CHHETRI  MALLIKA　  SINGH   </t>
  </si>
  <si>
    <t>0.98370000000000002</t>
  </si>
  <si>
    <t xml:space="preserve"> BOHARA　  NIRMALA</t>
  </si>
  <si>
    <t xml:space="preserve"> OLI  　SUSHMITA </t>
  </si>
  <si>
    <t>KHADKA　  BISHAM</t>
  </si>
  <si>
    <t>0.99109999999999998</t>
  </si>
  <si>
    <t>PRADHAN 　  ANMOLISHA</t>
  </si>
  <si>
    <t xml:space="preserve">KARIM　MD  ABDUL </t>
  </si>
  <si>
    <t xml:space="preserve">MAHFUJ MOHAMMAD 　  ULLAH </t>
  </si>
  <si>
    <t xml:space="preserve">HOSSAIN   　SARUAR    </t>
  </si>
  <si>
    <t xml:space="preserve">DEWAN　  MD MOHIN UDDIN </t>
  </si>
  <si>
    <t>1181</t>
  </si>
  <si>
    <t>HASAN　  MEHEDI</t>
  </si>
  <si>
    <t xml:space="preserve">HOQUE 　MD HASIBUL </t>
  </si>
  <si>
    <t>HASIB 　MD ABDULLAH AL</t>
  </si>
  <si>
    <t>SHADIN 　  TAHER</t>
  </si>
  <si>
    <t>0.97959999999999992</t>
  </si>
  <si>
    <t xml:space="preserve"> AMIN　AL</t>
  </si>
  <si>
    <t xml:space="preserve">ISLAM　MD ZAHIDUL </t>
  </si>
  <si>
    <t xml:space="preserve">KAIF 　MD KAWSAR </t>
  </si>
  <si>
    <t xml:space="preserve"> ISLAM   　 SAMIUL                </t>
  </si>
  <si>
    <t xml:space="preserve">  MASUM 　MD</t>
  </si>
  <si>
    <t xml:space="preserve">  PARVIN　 TAHMINA </t>
  </si>
  <si>
    <t>1152</t>
  </si>
  <si>
    <t>0.99060000000000004</t>
  </si>
  <si>
    <t xml:space="preserve">NAHAR　  MOST SADIKUN </t>
  </si>
  <si>
    <t xml:space="preserve"> MD　  HASIN LABIB REZA KABYO</t>
  </si>
  <si>
    <t>0.97760000000000002</t>
  </si>
  <si>
    <t>KABIR　 MD RAYHAN</t>
  </si>
  <si>
    <t xml:space="preserve">ISLAM　SHAIDUL </t>
  </si>
  <si>
    <t>0.98439999999999994</t>
  </si>
  <si>
    <t xml:space="preserve">CHOWDHURY MD　SHARIFUL ISLAM </t>
  </si>
  <si>
    <t xml:space="preserve">RAHMAN　HABIBUR </t>
  </si>
  <si>
    <t>ISLAM 　MD NAIEMOL</t>
  </si>
  <si>
    <t>0.98909999999999998</t>
  </si>
  <si>
    <t xml:space="preserve">MALIK　AYESHA SAJID </t>
  </si>
  <si>
    <t xml:space="preserve"> ILANGAKOON LEKAM RALALAGE 　  LAKSHITHA DHANANJAYA BANDARA </t>
  </si>
  <si>
    <t xml:space="preserve"> JAYASUNDARA RANASINGHE MUDIYANSELAGE　   CHAMIKA </t>
  </si>
  <si>
    <t>1096</t>
  </si>
  <si>
    <t xml:space="preserve"> MOHOTTI MUDIYANSELAGE 　  LAKSHAN NIROSHANA SENAVIRATHNA</t>
  </si>
  <si>
    <t xml:space="preserve"> MOHAMED KAMALDEEN 　  MOHAMED FESAL</t>
  </si>
  <si>
    <t xml:space="preserve"> GODIGAMUWAGE 　  THESHAN SANDEEPA GODIGAMUWA</t>
  </si>
  <si>
    <t>0.94950000000000001</t>
  </si>
  <si>
    <t>DISSANAYAKA MUDIYANSELAGE 　CHAMUDITHA RANDUNU BANDARA</t>
  </si>
  <si>
    <t xml:space="preserve"> MALLIKA KANKANAMALAGE 　  THARUSHI NAVODYA CHANDRASEKARA</t>
  </si>
  <si>
    <t>1136</t>
  </si>
  <si>
    <t xml:space="preserve"> BEMINA HENNEDIGE 　DASHANA PRABATH PEIRIS</t>
  </si>
  <si>
    <t>0.97889999999999999</t>
  </si>
  <si>
    <t xml:space="preserve"> MALIMBADAGE　  DILSHAN MADHUSHANKA</t>
  </si>
  <si>
    <t>38</t>
  </si>
  <si>
    <t xml:space="preserve"> KARANAYAKAGE　  BHAGYA NETHMINI</t>
  </si>
  <si>
    <t>QIU　JISEN</t>
  </si>
  <si>
    <t>HU　WENCHENG</t>
  </si>
  <si>
    <t>ZHANG　YUYANG</t>
  </si>
  <si>
    <t>ZHENG　JIAFA</t>
  </si>
  <si>
    <t>869</t>
  </si>
  <si>
    <t>64</t>
  </si>
  <si>
    <t>0.93159999999999998</t>
  </si>
  <si>
    <t>FU 　JIASHUN</t>
  </si>
  <si>
    <t>60</t>
  </si>
  <si>
    <t>PHOO　EAIN SI</t>
  </si>
  <si>
    <t>1060</t>
  </si>
  <si>
    <t>SOE　SOE SAN</t>
  </si>
  <si>
    <t>BAW 　MYAR</t>
  </si>
  <si>
    <t>0.99620000000000009</t>
  </si>
  <si>
    <t>THA　 ZIN PHYU</t>
  </si>
  <si>
    <t xml:space="preserve"> AA KYIN NAR NAY 　 KHYEE</t>
  </si>
  <si>
    <t>HNIN PWINT 　 WAI</t>
  </si>
  <si>
    <t>HEIN 　THURA NAY YU</t>
  </si>
  <si>
    <t>1032</t>
  </si>
  <si>
    <t>HTET EAINDRAY　 LINN</t>
  </si>
  <si>
    <t>KHINE YAMIN　 OO</t>
  </si>
  <si>
    <t>1064</t>
  </si>
  <si>
    <t>NYAN LIN 　HTET</t>
  </si>
  <si>
    <t>47</t>
  </si>
  <si>
    <t>CHUU 　WATHONE</t>
  </si>
  <si>
    <t>PHYO THIHA 　KYAW</t>
  </si>
  <si>
    <t>1052</t>
  </si>
  <si>
    <t>YE MHAN 　OO</t>
  </si>
  <si>
    <t>WIN MYAT 　THU</t>
  </si>
  <si>
    <t>　WINE</t>
  </si>
  <si>
    <t>1044</t>
  </si>
  <si>
    <t>THEINT THEINT 　PHYO</t>
  </si>
  <si>
    <t>0.98680000000000012</t>
  </si>
  <si>
    <t>MOH MOH　 THU</t>
  </si>
  <si>
    <t>KAUNG ZIN 　KHANT</t>
  </si>
  <si>
    <t>THU ZAR 　WIN</t>
  </si>
  <si>
    <t>YATI KO 　KO</t>
  </si>
  <si>
    <t xml:space="preserve">ARAFAT　 MD YASIR </t>
  </si>
  <si>
    <t>0.96700000000000008</t>
  </si>
  <si>
    <t xml:space="preserve">HASAN MD　MEHEDI </t>
  </si>
  <si>
    <t xml:space="preserve">BILLAH MD　MASUM </t>
  </si>
  <si>
    <t>0.998</t>
  </si>
  <si>
    <t xml:space="preserve"> POLASH SAKIBUL　HASAN</t>
  </si>
  <si>
    <t>MAHMUD　MIRAZ</t>
  </si>
  <si>
    <t>JEHAN　JAWAD AHMED</t>
  </si>
  <si>
    <t xml:space="preserve">HOZAIFA 　MOHAMMAD </t>
  </si>
  <si>
    <t xml:space="preserve">IMRAN ABDUR　RAHMAN </t>
  </si>
  <si>
    <t>HASAN 　RAKIBUL</t>
  </si>
  <si>
    <t xml:space="preserve">KHANDAKER MD　SAGAR </t>
  </si>
  <si>
    <t xml:space="preserve">RONY　AMIR HAMZA BHUIYAN </t>
  </si>
  <si>
    <t>0.99690000000000001</t>
  </si>
  <si>
    <t xml:space="preserve">NUR 　ASADUZZAMAN </t>
  </si>
  <si>
    <t xml:space="preserve">UDDIN　MD SHARIF </t>
  </si>
  <si>
    <t xml:space="preserve"> RAIHAN MEHRAB 　HOSSAIN</t>
  </si>
  <si>
    <t xml:space="preserve"> ABIR TANVIR 　AHAMMED</t>
  </si>
  <si>
    <t>0.996</t>
  </si>
  <si>
    <t>DAS　ANJALI</t>
  </si>
  <si>
    <t>ZHANG　FAN</t>
  </si>
  <si>
    <t>563</t>
  </si>
  <si>
    <t>48</t>
  </si>
  <si>
    <t>0.92159999999999997</t>
  </si>
  <si>
    <t>RUAN　YUCHEN</t>
  </si>
  <si>
    <t>41</t>
  </si>
  <si>
    <t>LIN　WEIJIAN</t>
  </si>
  <si>
    <t>GU　KANXI</t>
  </si>
  <si>
    <t>YU　GUOKUN</t>
  </si>
  <si>
    <t>643</t>
  </si>
  <si>
    <t>NGUYEN　PHUONG LINH</t>
  </si>
  <si>
    <t>0.98930000000000007</t>
  </si>
  <si>
    <t>NGUYEN　DINH HUYNH</t>
  </si>
  <si>
    <t>657</t>
  </si>
  <si>
    <t>DUONG　THANH TUNG</t>
  </si>
  <si>
    <t>676</t>
  </si>
  <si>
    <t>0.99409999999999998</t>
  </si>
  <si>
    <t>BUI　NGOC ANH THU</t>
  </si>
  <si>
    <t>KAUNG　KHANT KYAW</t>
  </si>
  <si>
    <t>647</t>
  </si>
  <si>
    <t xml:space="preserve">CHIT　MAUNG MAUNG </t>
  </si>
  <si>
    <t>664</t>
  </si>
  <si>
    <t>THOON　NAYCHI ZIN</t>
  </si>
  <si>
    <t xml:space="preserve"> NAY　LIN OO</t>
  </si>
  <si>
    <t>THAW　ZIN HTUN</t>
  </si>
  <si>
    <t>HNIN　HNIN WAI</t>
  </si>
  <si>
    <t>674</t>
  </si>
  <si>
    <t>MAY　PHOO THIT</t>
  </si>
  <si>
    <t xml:space="preserve"> MIN　THIHA</t>
  </si>
  <si>
    <t>659</t>
  </si>
  <si>
    <t xml:space="preserve"> SAI　KWAN PHA</t>
  </si>
  <si>
    <t>NANG　PHWAY WADI OO</t>
  </si>
  <si>
    <t>THIRI　MAY</t>
  </si>
  <si>
    <t xml:space="preserve"> LAE　YI HTUN</t>
  </si>
  <si>
    <t xml:space="preserve"> KHAY　MON CHAN</t>
  </si>
  <si>
    <t xml:space="preserve"> YE　MIN HTET</t>
  </si>
  <si>
    <t>646</t>
  </si>
  <si>
    <t>33</t>
  </si>
  <si>
    <t>PHYO　 SI THU</t>
  </si>
  <si>
    <t>0.98089999999999999</t>
  </si>
  <si>
    <t>THET　WAI KYAW</t>
  </si>
  <si>
    <t>KAY　ZIN OO</t>
  </si>
  <si>
    <t>MYAT　 PWINT WAI</t>
  </si>
  <si>
    <t>NWAY　 NWAY TUN</t>
  </si>
  <si>
    <t>THU THU　NYEIN</t>
  </si>
  <si>
    <t>663</t>
  </si>
  <si>
    <t>AUNG　SATT PAING</t>
  </si>
  <si>
    <t>SOE LIN　TUN</t>
  </si>
  <si>
    <t>672</t>
  </si>
  <si>
    <t>MI AYE　SOE MOE</t>
  </si>
  <si>
    <t>653</t>
  </si>
  <si>
    <t>KAUNG　WAI YAN</t>
  </si>
  <si>
    <t>655</t>
  </si>
  <si>
    <t>MAUNG　PHYU</t>
  </si>
  <si>
    <t>LIN　LIN TUN</t>
  </si>
  <si>
    <t>THURA　 PHYO</t>
  </si>
  <si>
    <t>AYE　PWINT NAING</t>
  </si>
  <si>
    <t>SAI KAUNG　KHANT AUNG</t>
  </si>
  <si>
    <t>PHU PHU MYAT　THU</t>
  </si>
  <si>
    <t>RITA HLA　MOE</t>
  </si>
  <si>
    <t>671</t>
  </si>
  <si>
    <t>THURA　LINN</t>
  </si>
  <si>
    <t>THEIN NAING　WIN</t>
  </si>
  <si>
    <t>0.9587</t>
  </si>
  <si>
    <t>KYAL SIN　LIN</t>
  </si>
  <si>
    <t>KHIN YADANAR　OO</t>
  </si>
  <si>
    <t>MIN HTET　PAING</t>
  </si>
  <si>
    <t>SAI KHANT　SITHU</t>
  </si>
  <si>
    <t>669</t>
  </si>
  <si>
    <t>THUTA　ZAW</t>
  </si>
  <si>
    <t>KAUNG ZIN　NYI</t>
  </si>
  <si>
    <t>SAW YU　HNIN</t>
  </si>
  <si>
    <t>667</t>
  </si>
  <si>
    <t>HAN HAN　HTWE</t>
  </si>
  <si>
    <t>HAN ZIN　PHYO</t>
  </si>
  <si>
    <t>MIN　KYAW</t>
  </si>
  <si>
    <t>NAN DAR　HTAY</t>
  </si>
  <si>
    <t>HAN THU　SAN</t>
  </si>
  <si>
    <t xml:space="preserve">KABIR 　MD HOSSAIN </t>
  </si>
  <si>
    <t>HOSSAIN　MD YEASIN</t>
  </si>
  <si>
    <t>FOYSAL　MD ATIK</t>
  </si>
  <si>
    <t xml:space="preserve">CHOWDHURY　MD SABER AL BASAR </t>
  </si>
  <si>
    <t>SHUVO　MD</t>
  </si>
  <si>
    <t>　SIFAT</t>
  </si>
  <si>
    <t>0.98470000000000002</t>
  </si>
  <si>
    <t xml:space="preserve">HAQUE　MD NAJMUL </t>
  </si>
  <si>
    <t xml:space="preserve">RAIHAN　INTISHAR BIN </t>
  </si>
  <si>
    <t>FAHAD　TAZNUR AHAMED</t>
  </si>
  <si>
    <t xml:space="preserve">FAKIR　SHAKIB </t>
  </si>
  <si>
    <t>BHUIYAN　MD OMAR</t>
  </si>
  <si>
    <t>627</t>
  </si>
  <si>
    <t>RONY　MD RAKEBUL ISLAM</t>
  </si>
  <si>
    <t>PRODHAN　MD RAYHAN</t>
  </si>
  <si>
    <t>MD ATIKUL　ISLAM</t>
  </si>
  <si>
    <t>HASAN　MD HASIBUL</t>
  </si>
  <si>
    <t>AKTER　JESMIN</t>
  </si>
  <si>
    <t>HASAN　MD MEHEDI</t>
  </si>
  <si>
    <t>SADI　AL AMIN AL</t>
  </si>
  <si>
    <t xml:space="preserve">AHOMMED 　SHAHIN </t>
  </si>
  <si>
    <t>TUSAR RAGIB　SHAHRIAR</t>
  </si>
  <si>
    <t>MD　MATIUR RAHMAN</t>
  </si>
  <si>
    <t>JONAYET 　S M</t>
  </si>
  <si>
    <t xml:space="preserve">NAEEM　ABDUL KAIUM </t>
  </si>
  <si>
    <t>HOSEN　MD EMTEAZ</t>
  </si>
  <si>
    <t>MAHIM　AHAD BHUIYAN</t>
  </si>
  <si>
    <t>EMON　MD</t>
  </si>
  <si>
    <t>SHIHAB　MOTIUR RAHMAN</t>
  </si>
  <si>
    <t>ZISAN　MD RAIHAN SARIF</t>
  </si>
  <si>
    <t>DELWAR HOSHEN　SAYED</t>
  </si>
  <si>
    <t>AKASH　TANZIM AHMED</t>
  </si>
  <si>
    <t xml:space="preserve">ANID 　MD MASHAYEL KHAN </t>
  </si>
  <si>
    <t>DEWAN　SAIF</t>
  </si>
  <si>
    <t>0.98569999999999991</t>
  </si>
  <si>
    <t>LIMON　MD SAKIBUL HAQ</t>
  </si>
  <si>
    <t>HOSAIN　ARIF</t>
  </si>
  <si>
    <t xml:space="preserve">HOSSAIN　MD RAHIM </t>
  </si>
  <si>
    <t>SAEM　MD</t>
  </si>
  <si>
    <t>HOSSAIN　SHAMIM</t>
  </si>
  <si>
    <t xml:space="preserve">AKHAND　MD RAJBIR </t>
  </si>
  <si>
    <t xml:space="preserve">TAREK　MD DAUDE IBRAHIM </t>
  </si>
  <si>
    <t xml:space="preserve">SHEIKH　MD SABBIR HOSEN </t>
  </si>
  <si>
    <t>MAHIBUR　RAHMAN SANNY</t>
  </si>
  <si>
    <t>MD　JONAYET</t>
  </si>
  <si>
    <t xml:space="preserve">HAYDER　JAHIDUL ISLAM </t>
  </si>
  <si>
    <t>HOSSEN　JABER</t>
  </si>
  <si>
    <t>ISLAM　MD RASEDUL</t>
  </si>
  <si>
    <t>0.98670000000000002</t>
  </si>
  <si>
    <t>IFTEKHAR　MD</t>
  </si>
  <si>
    <t>ISLAM　MD ARIFUL</t>
  </si>
  <si>
    <t>AHMED　BULBUL</t>
  </si>
  <si>
    <t>ARNOB　JAHIN SHAHRIAR</t>
  </si>
  <si>
    <t>PAUL　JOY</t>
  </si>
  <si>
    <t>　MAHBUB</t>
  </si>
  <si>
    <t xml:space="preserve">AKASH 　MD </t>
  </si>
  <si>
    <t>SHANTO　MD MEHEDI HASAN</t>
  </si>
  <si>
    <t>KHAN　MD EMON</t>
  </si>
  <si>
    <t xml:space="preserve">MIRAZ　MD SAIKAT ISLAM </t>
  </si>
  <si>
    <t>624</t>
  </si>
  <si>
    <t>HOSSAIN 　MD EMRAN</t>
  </si>
  <si>
    <t>UDOY　MD</t>
  </si>
  <si>
    <t xml:space="preserve">RAHMAN　MD ANISOR </t>
  </si>
  <si>
    <t xml:space="preserve">AHMED　MD JUBAYER </t>
  </si>
  <si>
    <t>0.99840000000000007</t>
  </si>
  <si>
    <t xml:space="preserve">SAGAR　NUR UDDIN </t>
  </si>
  <si>
    <t xml:space="preserve">SHOVA　MD ARAFAT HOSSAIN </t>
  </si>
  <si>
    <t>SHRESTHA 　YAM KUMAR</t>
  </si>
  <si>
    <t>648</t>
  </si>
  <si>
    <t>SEDAI　UPAHAR</t>
  </si>
  <si>
    <t xml:space="preserve">GAUTAM 　ROSHAN </t>
  </si>
  <si>
    <t>PYAKUREL　ANKIT</t>
  </si>
  <si>
    <t>KHANAL　SUSAN</t>
  </si>
  <si>
    <t>THAPA　MAGAR RAJ</t>
  </si>
  <si>
    <t>DARAI　DURGA BAHADUR</t>
  </si>
  <si>
    <t>TAMANG　SUSMA</t>
  </si>
  <si>
    <t>TAMANG　BISHAL</t>
  </si>
  <si>
    <t>THAMI 　SWASTIKA</t>
  </si>
  <si>
    <t>GHARTI　MAGAR ESTHER</t>
  </si>
  <si>
    <t>GURUNG 　MANISH</t>
  </si>
  <si>
    <t>MAHARA 　TILSARA</t>
  </si>
  <si>
    <t>LAMICHHANE　RUPESH</t>
  </si>
  <si>
    <t>0.99360000000000004</t>
  </si>
  <si>
    <t>BOHARA　TARA KUMARI</t>
  </si>
  <si>
    <t>BHANDARI　BISHNU PRASAD</t>
  </si>
  <si>
    <t>RANA　GITA KUMARI</t>
  </si>
  <si>
    <t>SAUD　LOKENDRA</t>
  </si>
  <si>
    <t>GIRI　RAJ KUMAR</t>
  </si>
  <si>
    <t>POKHAREL　NIRAJ</t>
  </si>
  <si>
    <t>KHADKA 　ROSHMA</t>
  </si>
  <si>
    <t>CHAUDHARY　AADITYA KUMAR</t>
  </si>
  <si>
    <t>BUDHATHOKI　BUDDHI BAHADUR</t>
  </si>
  <si>
    <t>MALLA　HIMAL</t>
  </si>
  <si>
    <t>BOHARA　NISHA</t>
  </si>
  <si>
    <t>0.98769999999999991</t>
  </si>
  <si>
    <t>DAHAL　MANISHA</t>
  </si>
  <si>
    <t xml:space="preserve">THAPALIYA 　RABIN </t>
  </si>
  <si>
    <t>632</t>
  </si>
  <si>
    <t>THAPA　AAKRITI</t>
  </si>
  <si>
    <t>SHRESTHA　ROJINA</t>
  </si>
  <si>
    <t>DHENGA　DEB BAHADUR</t>
  </si>
  <si>
    <t>GAMAL　SABITA</t>
  </si>
  <si>
    <t>RAI　ARATI</t>
  </si>
  <si>
    <t>GIRI　TAPENDRA RAJ</t>
  </si>
  <si>
    <t>SHERPA　AAYUSHA</t>
  </si>
  <si>
    <t>PURI　ANUSHA</t>
  </si>
  <si>
    <t>668</t>
  </si>
  <si>
    <t>LAMICHHANE　BHUWANESHOWARI</t>
  </si>
  <si>
    <t xml:space="preserve">MAHATO　SALINA KUMARI </t>
  </si>
  <si>
    <t>CHAUDHARY　RAJ KUMAR</t>
  </si>
  <si>
    <t>LIMBU 　SUSHIL</t>
  </si>
  <si>
    <t>TAMANG　DIPESH</t>
  </si>
  <si>
    <t>SHAH　SANJOG</t>
  </si>
  <si>
    <t>0.997</t>
  </si>
  <si>
    <t>PANDEY　JYOTI</t>
  </si>
  <si>
    <t>SHRESTHA　GYANU</t>
  </si>
  <si>
    <t>KHADKA　SARASWOTI</t>
  </si>
  <si>
    <t>JOGI　MILAN KUMAR</t>
  </si>
  <si>
    <t xml:space="preserve">KARKI　ARUNA </t>
  </si>
  <si>
    <t>PUDASAINI　SITA</t>
  </si>
  <si>
    <t>B K　BHARAT</t>
  </si>
  <si>
    <t>NABID　TANJIM</t>
  </si>
  <si>
    <t>0.99529999999999996</t>
  </si>
  <si>
    <t>CHEN　JIALE</t>
  </si>
  <si>
    <t>MA　LIUYI</t>
  </si>
  <si>
    <t>0.93030000000000002</t>
  </si>
  <si>
    <t>LIU　XIAOCONG</t>
  </si>
  <si>
    <t>432</t>
  </si>
  <si>
    <t>KAMURAN　ADILI</t>
  </si>
  <si>
    <t>AILIFEILA 　AIKEBAIER</t>
  </si>
  <si>
    <t>LI　WEIZHENG</t>
  </si>
  <si>
    <t>MYA　MYA THIN</t>
  </si>
  <si>
    <t>440</t>
  </si>
  <si>
    <t>NAING　LIN KHANT</t>
  </si>
  <si>
    <t>0.98860000000000003</t>
  </si>
  <si>
    <t>YEE　MON OO</t>
  </si>
  <si>
    <t>MIN　AUNG HTET OO</t>
  </si>
  <si>
    <t xml:space="preserve">KYAL　SIN NYEIN </t>
  </si>
  <si>
    <t>SOE　NYI HTUT</t>
  </si>
  <si>
    <t>ZIN　LAY NWE</t>
  </si>
  <si>
    <t>SHANE　ARKAR</t>
  </si>
  <si>
    <t>KYAW　ZIN MYINT</t>
  </si>
  <si>
    <t>THAN　TOE AUNG</t>
  </si>
  <si>
    <t>KHIN　SANDI ZAW</t>
  </si>
  <si>
    <t>KHIN　MYAT NOE AYE</t>
  </si>
  <si>
    <t>MAY KHIN　OO</t>
  </si>
  <si>
    <t>MYA　MYA MOE</t>
  </si>
  <si>
    <t>SHWE　SIN PHYOE</t>
  </si>
  <si>
    <t>HNIN　YU HLAING</t>
  </si>
  <si>
    <t>NAY　MYO HTET</t>
  </si>
  <si>
    <t>0.99049999999999994</t>
  </si>
  <si>
    <t>KHIN　PYAE SONE</t>
  </si>
  <si>
    <t>0.98099999999999998</t>
  </si>
  <si>
    <t xml:space="preserve"> SU　SU WIN</t>
  </si>
  <si>
    <t xml:space="preserve"> MI　MI ZIN</t>
  </si>
  <si>
    <t xml:space="preserve"> KYAW　BHONE LU</t>
  </si>
  <si>
    <t xml:space="preserve"> EI　EI THEIN</t>
  </si>
  <si>
    <t>KAY　KHING LIN</t>
  </si>
  <si>
    <t>AYE　YADANAR MOE</t>
  </si>
  <si>
    <t>HEIN　HTET ZAW</t>
  </si>
  <si>
    <t xml:space="preserve">SABBIR　SAJID AHMED </t>
  </si>
  <si>
    <t>PRODHANIA MD　JAHID</t>
  </si>
  <si>
    <t>ANWAR ZIHAD MD　OBAYED BIN</t>
  </si>
  <si>
    <t>ASIKUZZAMAN　MD</t>
  </si>
  <si>
    <t>SARKAR　TUHIN</t>
  </si>
  <si>
    <t>HOSSEN　KAMAL</t>
  </si>
  <si>
    <t>AHMED　PARVEZ</t>
  </si>
  <si>
    <t>AKTER   MST　SAMIA</t>
  </si>
  <si>
    <t>MIA　MD  SABUZ</t>
  </si>
  <si>
    <t>ABDULLAH　KM</t>
  </si>
  <si>
    <t>SUTA DHAR　SHABAK</t>
  </si>
  <si>
    <t>RATUL　TANVIR HASAN</t>
  </si>
  <si>
    <t>DEBNATH 　EMON</t>
  </si>
  <si>
    <t>0.99739999999999995</t>
  </si>
  <si>
    <t>SAHA 　SARAN</t>
  </si>
  <si>
    <t>HASAN　MD   RAKIBUL</t>
  </si>
  <si>
    <t>AHMAD　SABBIR</t>
  </si>
  <si>
    <t>MIA　ROMAN</t>
  </si>
  <si>
    <t>HAQUE　MD ISMAIL</t>
  </si>
  <si>
    <t>ALI　MD   ABBAS</t>
  </si>
  <si>
    <t>ALI　MD SAGOR</t>
  </si>
  <si>
    <t>MIYAJI　JABED HOSEN SHISHIR</t>
  </si>
  <si>
    <t>MIZAN　MD</t>
  </si>
  <si>
    <t>ISLAM　SAIFUL</t>
  </si>
  <si>
    <t xml:space="preserve">MIA　MD   RAHIM </t>
  </si>
  <si>
    <t xml:space="preserve">RAHAMAN　ABDUR </t>
  </si>
  <si>
    <t xml:space="preserve">HASAN 　MEHEDI </t>
  </si>
  <si>
    <t xml:space="preserve">CHAUDHARY 　 SIRANJAN PRASAD </t>
  </si>
  <si>
    <t>ARYAL　SUSMITA</t>
  </si>
  <si>
    <t xml:space="preserve">BHUJEL　YAMUNA </t>
  </si>
  <si>
    <t xml:space="preserve">MAGAR　SANDESH SAMAL </t>
  </si>
  <si>
    <t xml:space="preserve">RAWAL 　RADHA </t>
  </si>
  <si>
    <t xml:space="preserve">BALAMI　 RACHINA </t>
  </si>
  <si>
    <t xml:space="preserve">TAMANG　 NIKITA </t>
  </si>
  <si>
    <t>OLI　REKHA</t>
  </si>
  <si>
    <t xml:space="preserve">TAMANG 　ALISHA </t>
  </si>
  <si>
    <t xml:space="preserve">SHRESTHA 　ASMITA </t>
  </si>
  <si>
    <t xml:space="preserve"> GURUNG 　YUG</t>
  </si>
  <si>
    <t>THAPA　HIMAL</t>
  </si>
  <si>
    <t xml:space="preserve">DONG TAMANG 　USHA KUMARI </t>
  </si>
  <si>
    <t>RAI　SUSMITA</t>
  </si>
  <si>
    <t>SHRESTHA　BHUWAN</t>
  </si>
  <si>
    <t>FAN　ZEXU</t>
  </si>
  <si>
    <t>74</t>
  </si>
  <si>
    <t>KONG　WEICHEN</t>
  </si>
  <si>
    <t>GAO　XING</t>
  </si>
  <si>
    <t>YU　TENGJIE</t>
  </si>
  <si>
    <t>ZHAO　CHUNHUI</t>
  </si>
  <si>
    <t>XU　ZHANGSHUAI</t>
  </si>
  <si>
    <t xml:space="preserve"> ZON PWINT 　AUNG</t>
  </si>
  <si>
    <t>NWAY KHET 　KHET PAN</t>
  </si>
  <si>
    <t>DANG   PHI　   HUNG</t>
  </si>
  <si>
    <t>ZHU　RONGLE</t>
  </si>
  <si>
    <t>85</t>
  </si>
  <si>
    <t>0.94440000000000002</t>
  </si>
  <si>
    <t>1477</t>
  </si>
  <si>
    <t>0.96989999999999998</t>
  </si>
  <si>
    <t>1453</t>
  </si>
  <si>
    <t>61</t>
  </si>
  <si>
    <t>0.95940000000000003</t>
  </si>
  <si>
    <t>1502</t>
  </si>
  <si>
    <t>0.99870000000000003</t>
  </si>
  <si>
    <t>1489</t>
  </si>
  <si>
    <t>1431</t>
  </si>
  <si>
    <t>96</t>
  </si>
  <si>
    <t>0.93720000000000003</t>
  </si>
  <si>
    <t>0.95909999999999995</t>
  </si>
  <si>
    <t>1404</t>
  </si>
  <si>
    <t>95</t>
  </si>
  <si>
    <t>0.93389999999999995</t>
  </si>
  <si>
    <t>1516</t>
  </si>
  <si>
    <t>0.99280000000000002</t>
  </si>
  <si>
    <t>1486</t>
  </si>
  <si>
    <t>1480</t>
  </si>
  <si>
    <t>1372</t>
  </si>
  <si>
    <t>49</t>
  </si>
  <si>
    <t>0.96569999999999989</t>
  </si>
  <si>
    <t>1504</t>
  </si>
  <si>
    <t>1474</t>
  </si>
  <si>
    <t>1473</t>
  </si>
  <si>
    <t>1455</t>
  </si>
  <si>
    <t>1466</t>
  </si>
  <si>
    <t>0.99390000000000001</t>
  </si>
  <si>
    <t>1521</t>
  </si>
  <si>
    <t>0.99609999999999999</t>
  </si>
  <si>
    <t>1522</t>
  </si>
  <si>
    <t>1495</t>
  </si>
  <si>
    <t>1464</t>
  </si>
  <si>
    <t>0.97799999999999998</t>
  </si>
  <si>
    <t>1498</t>
  </si>
  <si>
    <t>1448</t>
  </si>
  <si>
    <t>1500</t>
  </si>
  <si>
    <t>0.99209999999999998</t>
  </si>
  <si>
    <t>0.98809999999999998</t>
  </si>
  <si>
    <t>0.98739999999999994</t>
  </si>
  <si>
    <t>1462</t>
  </si>
  <si>
    <t>0.9919</t>
  </si>
  <si>
    <t>1400</t>
  </si>
  <si>
    <t>1399</t>
  </si>
  <si>
    <t>1405</t>
  </si>
  <si>
    <t>0.9887999999999999</t>
  </si>
  <si>
    <t>1496</t>
  </si>
  <si>
    <t>1491</t>
  </si>
  <si>
    <t>0.99470000000000003</t>
  </si>
  <si>
    <t>1443</t>
  </si>
  <si>
    <t>1481</t>
  </si>
  <si>
    <t>1482</t>
  </si>
  <si>
    <t>1430</t>
  </si>
  <si>
    <t>1528</t>
  </si>
  <si>
    <t>1506</t>
  </si>
  <si>
    <t>0.9869</t>
  </si>
  <si>
    <t>1505</t>
  </si>
  <si>
    <t>0.98430000000000006</t>
  </si>
  <si>
    <t>1490</t>
  </si>
  <si>
    <t>1488</t>
  </si>
  <si>
    <t>1514</t>
  </si>
  <si>
    <t>1494</t>
  </si>
  <si>
    <t>1492</t>
  </si>
  <si>
    <t>0.97770000000000001</t>
  </si>
  <si>
    <t>1512</t>
  </si>
  <si>
    <t>87</t>
  </si>
  <si>
    <t>0.9423999999999999</t>
  </si>
  <si>
    <t>0.97640000000000005</t>
  </si>
  <si>
    <t>0.99019999999999997</t>
  </si>
  <si>
    <t>0.9627</t>
  </si>
  <si>
    <t>1479</t>
  </si>
  <si>
    <t>119</t>
  </si>
  <si>
    <t>0.92189999999999994</t>
  </si>
  <si>
    <t>0.96530000000000005</t>
  </si>
  <si>
    <t>1458</t>
  </si>
  <si>
    <t>0.95680000000000009</t>
  </si>
  <si>
    <t>0.98560000000000003</t>
  </si>
  <si>
    <t>1507</t>
  </si>
  <si>
    <t>1476</t>
  </si>
  <si>
    <t>0.96860000000000002</t>
  </si>
  <si>
    <t>0.94590000000000007</t>
  </si>
  <si>
    <t>146</t>
  </si>
  <si>
    <t>0.90110000000000001</t>
  </si>
  <si>
    <t>1469</t>
  </si>
  <si>
    <t>0.97750000000000004</t>
  </si>
  <si>
    <t>1483</t>
  </si>
  <si>
    <t>1475</t>
  </si>
  <si>
    <t>0.99180000000000001</t>
  </si>
  <si>
    <t>0.97680000000000011</t>
  </si>
  <si>
    <t>0.98159999999999992</t>
  </si>
  <si>
    <t>1371</t>
  </si>
  <si>
    <t>43</t>
  </si>
  <si>
    <t>0.98319999999999996</t>
  </si>
  <si>
    <t>1460</t>
  </si>
  <si>
    <t>1410</t>
  </si>
  <si>
    <t>1452</t>
  </si>
  <si>
    <t>1385</t>
  </si>
  <si>
    <t>0.99099999999999999</t>
  </si>
  <si>
    <t>0.98140000000000005</t>
  </si>
  <si>
    <t>0.98069999999999991</t>
  </si>
  <si>
    <t>0.97549999999999992</t>
  </si>
  <si>
    <t>0.96499999999999997</t>
  </si>
  <si>
    <t>0.99370000000000003</t>
  </si>
  <si>
    <t>1409</t>
  </si>
  <si>
    <t>1429</t>
  </si>
  <si>
    <t>76</t>
  </si>
  <si>
    <t>0.94959999999999989</t>
  </si>
  <si>
    <t>1407</t>
  </si>
  <si>
    <t>0.9729000000000001</t>
  </si>
  <si>
    <t>112</t>
  </si>
  <si>
    <t>0.92409999999999992</t>
  </si>
  <si>
    <t>1451</t>
  </si>
  <si>
    <t>66</t>
  </si>
  <si>
    <t>108</t>
  </si>
  <si>
    <t>0.92810000000000004</t>
  </si>
  <si>
    <t>93</t>
  </si>
  <si>
    <t>0.93799999999999994</t>
  </si>
  <si>
    <t>0.95810000000000006</t>
  </si>
  <si>
    <t>0.99080000000000001</t>
  </si>
  <si>
    <t>1272</t>
  </si>
  <si>
    <t>1259</t>
  </si>
  <si>
    <t>0.99459999999999993</t>
  </si>
  <si>
    <t>89</t>
  </si>
  <si>
    <t>1270</t>
  </si>
  <si>
    <t>0.96519999999999995</t>
  </si>
  <si>
    <t>1268</t>
  </si>
  <si>
    <t>0.97699999999999998</t>
  </si>
  <si>
    <t>1179</t>
  </si>
  <si>
    <t>0.91409999999999991</t>
  </si>
  <si>
    <t>1313</t>
  </si>
  <si>
    <t>1290</t>
  </si>
  <si>
    <t>1265</t>
  </si>
  <si>
    <t>1266</t>
  </si>
  <si>
    <t>1253</t>
  </si>
  <si>
    <t>0.97160000000000002</t>
  </si>
  <si>
    <t>1243</t>
  </si>
  <si>
    <t>1275</t>
  </si>
  <si>
    <t>1280</t>
  </si>
  <si>
    <t>1294</t>
  </si>
  <si>
    <t>1299</t>
  </si>
  <si>
    <t>1271</t>
  </si>
  <si>
    <t>1246</t>
  </si>
  <si>
    <t>1285</t>
  </si>
  <si>
    <t>1284</t>
  </si>
  <si>
    <t>1260</t>
  </si>
  <si>
    <t>1287</t>
  </si>
  <si>
    <t>0.99</t>
  </si>
  <si>
    <t>1248</t>
  </si>
  <si>
    <t>1282</t>
  </si>
  <si>
    <t>1273</t>
  </si>
  <si>
    <t>0.9839</t>
  </si>
  <si>
    <t>1283</t>
  </si>
  <si>
    <t>0.96779999999999999</t>
  </si>
  <si>
    <t>0.99219999999999997</t>
  </si>
  <si>
    <t>0.98719999999999997</t>
  </si>
  <si>
    <t>1239</t>
  </si>
  <si>
    <t>1267</t>
  </si>
  <si>
    <t>1277</t>
  </si>
  <si>
    <t>1276</t>
  </si>
  <si>
    <t>1292</t>
  </si>
  <si>
    <t>0.99159999999999993</t>
  </si>
  <si>
    <t>1269</t>
  </si>
  <si>
    <t>0.97849999999999993</t>
  </si>
  <si>
    <t>1229</t>
  </si>
  <si>
    <t>1255</t>
  </si>
  <si>
    <t>0.9859</t>
  </si>
  <si>
    <t>1249</t>
  </si>
  <si>
    <t>0.98360000000000003</t>
  </si>
  <si>
    <t>1286</t>
  </si>
  <si>
    <t>0.97409999999999997</t>
  </si>
  <si>
    <t>1222</t>
  </si>
  <si>
    <t>0.97089999999999999</t>
  </si>
  <si>
    <t>1223</t>
  </si>
  <si>
    <t>1216</t>
  </si>
  <si>
    <t>0.97420000000000007</t>
  </si>
  <si>
    <t>1263</t>
  </si>
  <si>
    <t>1245</t>
  </si>
  <si>
    <t>0.90670000000000006</t>
  </si>
  <si>
    <t>1197</t>
  </si>
  <si>
    <t>0.94689999999999996</t>
  </si>
  <si>
    <t>0.92099999999999993</t>
  </si>
  <si>
    <t>0.97010000000000007</t>
  </si>
  <si>
    <t>1295</t>
  </si>
  <si>
    <t>1089</t>
  </si>
  <si>
    <t>0.96550000000000002</t>
  </si>
  <si>
    <t>1072</t>
  </si>
  <si>
    <t>0.95319999999999994</t>
  </si>
  <si>
    <t>994</t>
  </si>
  <si>
    <t>0.93120000000000003</t>
  </si>
  <si>
    <t>1053</t>
  </si>
  <si>
    <t>0.94290000000000007</t>
  </si>
  <si>
    <t>1132</t>
  </si>
  <si>
    <t>1127</t>
  </si>
  <si>
    <t>0.99650000000000005</t>
  </si>
  <si>
    <t>1131</t>
  </si>
  <si>
    <t>1102</t>
  </si>
  <si>
    <t>1075</t>
  </si>
  <si>
    <t>0.95760000000000001</t>
  </si>
  <si>
    <t>1122</t>
  </si>
  <si>
    <t>1069</t>
  </si>
  <si>
    <t>1118</t>
  </si>
  <si>
    <t>1112</t>
  </si>
  <si>
    <t>0.98230000000000006</t>
  </si>
  <si>
    <t>1114</t>
  </si>
  <si>
    <t>0.98760000000000003</t>
  </si>
  <si>
    <t>1124</t>
  </si>
  <si>
    <t>0.99290000000000012</t>
  </si>
  <si>
    <t>1126</t>
  </si>
  <si>
    <t>1095</t>
  </si>
  <si>
    <t>0.97609999999999997</t>
  </si>
  <si>
    <t>967</t>
  </si>
  <si>
    <t>0.99819999999999998</t>
  </si>
  <si>
    <t>0.97809999999999997</t>
  </si>
  <si>
    <t>1119</t>
  </si>
  <si>
    <t>0.99909999999999999</t>
  </si>
  <si>
    <t>1039</t>
  </si>
  <si>
    <t>0.94059999999999999</t>
  </si>
  <si>
    <t>1070</t>
  </si>
  <si>
    <t>1067</t>
  </si>
  <si>
    <t>711</t>
  </si>
  <si>
    <t>0.94550000000000001</t>
  </si>
  <si>
    <t>705</t>
  </si>
  <si>
    <t>0.95209999999999995</t>
  </si>
  <si>
    <t>699</t>
  </si>
  <si>
    <t>0.95109999999999995</t>
  </si>
  <si>
    <t>715</t>
  </si>
  <si>
    <t>0.95079999999999998</t>
  </si>
  <si>
    <t>620</t>
  </si>
  <si>
    <t>724</t>
  </si>
  <si>
    <t>0.98010000000000008</t>
  </si>
  <si>
    <t>748</t>
  </si>
  <si>
    <t>737</t>
  </si>
  <si>
    <t>0.98540000000000005</t>
  </si>
  <si>
    <t>714</t>
  </si>
  <si>
    <t>735</t>
  </si>
  <si>
    <t>70</t>
  </si>
  <si>
    <t>0.90560000000000007</t>
  </si>
  <si>
    <t>749</t>
  </si>
  <si>
    <t>728</t>
  </si>
  <si>
    <t>746</t>
  </si>
  <si>
    <t>721</t>
  </si>
  <si>
    <t>0.96279999999999999</t>
  </si>
  <si>
    <t>731</t>
  </si>
  <si>
    <t>0.97470000000000001</t>
  </si>
  <si>
    <t>751</t>
  </si>
  <si>
    <t>745</t>
  </si>
  <si>
    <t>752</t>
  </si>
  <si>
    <t>742</t>
  </si>
  <si>
    <t>0.99199999999999999</t>
  </si>
  <si>
    <t>718</t>
  </si>
  <si>
    <t>0.95609999999999995</t>
  </si>
  <si>
    <t>736</t>
  </si>
  <si>
    <t>0.95480000000000009</t>
  </si>
  <si>
    <t>750</t>
  </si>
  <si>
    <t>744</t>
  </si>
  <si>
    <t>722</t>
  </si>
  <si>
    <t>727</t>
  </si>
  <si>
    <t>0.96810000000000007</t>
  </si>
  <si>
    <t>743</t>
  </si>
  <si>
    <t>465</t>
  </si>
  <si>
    <t>0.96489999999999998</t>
  </si>
  <si>
    <t>733</t>
  </si>
  <si>
    <t>0.97739999999999994</t>
  </si>
  <si>
    <t>741</t>
  </si>
  <si>
    <t>739</t>
  </si>
  <si>
    <t>702</t>
  </si>
  <si>
    <t>738</t>
  </si>
  <si>
    <t>640</t>
  </si>
  <si>
    <t>631</t>
  </si>
  <si>
    <t>649</t>
  </si>
  <si>
    <t>656</t>
  </si>
  <si>
    <t>0.99400000000000011</t>
  </si>
  <si>
    <t>700</t>
  </si>
  <si>
    <t>688</t>
  </si>
  <si>
    <t>682</t>
  </si>
  <si>
    <t>0.96889999999999998</t>
  </si>
  <si>
    <t>658</t>
  </si>
  <si>
    <t>685</t>
  </si>
  <si>
    <t>0.98290000000000011</t>
  </si>
  <si>
    <t>0.98650000000000004</t>
  </si>
  <si>
    <t>684</t>
  </si>
  <si>
    <t>0.98730000000000007</t>
  </si>
  <si>
    <t>652</t>
  </si>
  <si>
    <t>625</t>
  </si>
  <si>
    <t>0.99540000000000006</t>
  </si>
  <si>
    <t>695</t>
  </si>
  <si>
    <t>696</t>
  </si>
  <si>
    <t>698</t>
  </si>
  <si>
    <t>675</t>
  </si>
  <si>
    <t>720</t>
  </si>
  <si>
    <t>710</t>
  </si>
  <si>
    <t>0.99430000000000007</t>
  </si>
  <si>
    <t>716</t>
  </si>
  <si>
    <t>0.9889</t>
  </si>
  <si>
    <t>704</t>
  </si>
  <si>
    <t>740</t>
  </si>
  <si>
    <t>692</t>
  </si>
  <si>
    <t>0.99569999999999992</t>
  </si>
  <si>
    <t>505</t>
  </si>
  <si>
    <t>450</t>
  </si>
  <si>
    <t>0.93849999999999989</t>
  </si>
  <si>
    <t>504</t>
  </si>
  <si>
    <t>460</t>
  </si>
  <si>
    <t>0.90079999999999993</t>
  </si>
  <si>
    <t>492</t>
  </si>
  <si>
    <t>512</t>
  </si>
  <si>
    <t>503</t>
  </si>
  <si>
    <t>498</t>
  </si>
  <si>
    <t>0.97459999999999991</t>
  </si>
  <si>
    <t>507</t>
  </si>
  <si>
    <t>496</t>
  </si>
  <si>
    <t>0.98239999999999994</t>
  </si>
  <si>
    <t>493</t>
  </si>
  <si>
    <t>489</t>
  </si>
  <si>
    <t>0.95900000000000007</t>
  </si>
  <si>
    <t>510</t>
  </si>
  <si>
    <t>511</t>
  </si>
  <si>
    <t>509</t>
  </si>
  <si>
    <t>487</t>
  </si>
  <si>
    <t>481</t>
  </si>
  <si>
    <t>501</t>
  </si>
  <si>
    <t>499</t>
  </si>
  <si>
    <t>497</t>
  </si>
  <si>
    <t>0.97659999999999991</t>
  </si>
  <si>
    <t>455</t>
  </si>
  <si>
    <t>454</t>
  </si>
  <si>
    <t>456</t>
  </si>
  <si>
    <t>483</t>
  </si>
  <si>
    <t>0.98170000000000002</t>
  </si>
  <si>
    <t>500</t>
  </si>
  <si>
    <t>463</t>
  </si>
  <si>
    <t>482</t>
  </si>
  <si>
    <t>486</t>
  </si>
  <si>
    <t>491</t>
  </si>
  <si>
    <t>469</t>
  </si>
  <si>
    <t>477</t>
  </si>
  <si>
    <t>475</t>
  </si>
  <si>
    <t>495</t>
  </si>
  <si>
    <t>245</t>
  </si>
  <si>
    <t>84</t>
  </si>
  <si>
    <t>0.74709999999999999</t>
  </si>
  <si>
    <t>332</t>
  </si>
  <si>
    <t>340</t>
  </si>
  <si>
    <t>339</t>
  </si>
  <si>
    <t>127</t>
  </si>
  <si>
    <t>72</t>
  </si>
  <si>
    <t>113</t>
  </si>
  <si>
    <t>0.89060000000000006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</si>
</sst>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.00_ "/>
    <numFmt numFmtId="178" formatCode="0.00_);[Red]\(0.00\)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0"/>
      <name val="メイリオ"/>
      <family val="3"/>
      <charset val="128"/>
    </font>
    <font>
      <sz val="26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4"/>
      <color theme="1"/>
      <name val="メイリオ"/>
      <family val="3"/>
      <charset val="128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color theme="1"/>
      <name val="メイリオ"/>
      <family val="3"/>
      <charset val="128"/>
    </font>
    <font>
      <u/>
      <sz val="6"/>
      <color theme="1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1" xfId="0" applyFill="1" applyBorder="1">
      <alignment vertical="center"/>
    </xf>
    <xf numFmtId="177" fontId="0" fillId="0" borderId="7" xfId="0" applyNumberFormat="1" applyBorder="1">
      <alignment vertical="center"/>
    </xf>
    <xf numFmtId="177" fontId="0" fillId="0" borderId="8" xfId="0" applyNumberFormat="1" applyBorder="1">
      <alignment vertical="center"/>
    </xf>
    <xf numFmtId="176" fontId="0" fillId="0" borderId="10" xfId="0" applyNumberFormat="1" applyBorder="1">
      <alignment vertical="center"/>
    </xf>
    <xf numFmtId="176" fontId="0" fillId="0" borderId="9" xfId="0" applyNumberFormat="1" applyBorder="1">
      <alignment vertical="center"/>
    </xf>
    <xf numFmtId="176" fontId="0" fillId="0" borderId="11" xfId="0" applyNumberFormat="1" applyBorder="1">
      <alignment vertical="center"/>
    </xf>
    <xf numFmtId="0" fontId="0" fillId="3" borderId="4" xfId="0" applyFill="1" applyBorder="1">
      <alignment vertical="center"/>
    </xf>
    <xf numFmtId="0" fontId="5" fillId="0" borderId="0" xfId="1">
      <alignment vertical="center"/>
    </xf>
    <xf numFmtId="178" fontId="0" fillId="0" borderId="8" xfId="0" applyNumberFormat="1" applyBorder="1">
      <alignment vertical="center"/>
    </xf>
    <xf numFmtId="178" fontId="0" fillId="0" borderId="9" xfId="0" applyNumberFormat="1" applyBorder="1">
      <alignment vertical="center"/>
    </xf>
    <xf numFmtId="0" fontId="0" fillId="4" borderId="13" xfId="0" applyFill="1" applyBorder="1">
      <alignment vertical="center"/>
    </xf>
    <xf numFmtId="0" fontId="0" fillId="4" borderId="14" xfId="0" applyFill="1" applyBorder="1">
      <alignment vertical="center"/>
    </xf>
    <xf numFmtId="177" fontId="0" fillId="0" borderId="15" xfId="0" applyNumberFormat="1" applyBorder="1">
      <alignment vertical="center"/>
    </xf>
    <xf numFmtId="177" fontId="0" fillId="0" borderId="16" xfId="0" applyNumberFormat="1" applyBorder="1">
      <alignment vertical="center"/>
    </xf>
    <xf numFmtId="178" fontId="0" fillId="0" borderId="16" xfId="0" applyNumberFormat="1" applyBorder="1">
      <alignment vertical="center"/>
    </xf>
    <xf numFmtId="178" fontId="0" fillId="0" borderId="17" xfId="0" applyNumberFormat="1" applyBorder="1">
      <alignment vertical="center"/>
    </xf>
    <xf numFmtId="176" fontId="0" fillId="0" borderId="18" xfId="0" applyNumberFormat="1" applyBorder="1">
      <alignment vertical="center"/>
    </xf>
    <xf numFmtId="176" fontId="0" fillId="0" borderId="17" xfId="0" applyNumberFormat="1" applyBorder="1">
      <alignment vertical="center"/>
    </xf>
    <xf numFmtId="176" fontId="0" fillId="0" borderId="15" xfId="0" applyNumberFormat="1" applyBorder="1">
      <alignment vertical="center"/>
    </xf>
    <xf numFmtId="0" fontId="0" fillId="3" borderId="13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2" borderId="14" xfId="0" applyFill="1" applyBorder="1">
      <alignment vertical="center"/>
    </xf>
    <xf numFmtId="176" fontId="0" fillId="5" borderId="16" xfId="0" applyNumberFormat="1" applyFill="1" applyBorder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8" fontId="0" fillId="0" borderId="0" xfId="0" applyNumberFormat="1">
      <alignment vertical="center"/>
    </xf>
    <xf numFmtId="178" fontId="0" fillId="3" borderId="19" xfId="0" applyNumberFormat="1" applyFill="1" applyBorder="1">
      <alignment vertical="center"/>
    </xf>
    <xf numFmtId="0" fontId="12" fillId="0" borderId="0" xfId="0" applyFont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176" fontId="8" fillId="0" borderId="1" xfId="0" applyNumberFormat="1" applyFont="1" applyBorder="1" applyAlignment="1">
      <alignment horizontal="center" vertical="center"/>
    </xf>
    <xf numFmtId="176" fontId="8" fillId="0" borderId="5" xfId="0" applyNumberFormat="1" applyFont="1" applyBorder="1" applyAlignment="1">
      <alignment horizontal="center" vertical="center"/>
    </xf>
    <xf numFmtId="176" fontId="8" fillId="0" borderId="27" xfId="0" applyNumberFormat="1" applyFont="1" applyBorder="1" applyAlignment="1">
      <alignment horizontal="center" vertical="center"/>
    </xf>
    <xf numFmtId="176" fontId="8" fillId="0" borderId="28" xfId="0" applyNumberFormat="1" applyFont="1" applyBorder="1" applyAlignment="1">
      <alignment horizontal="center" vertical="center"/>
    </xf>
    <xf numFmtId="176" fontId="8" fillId="0" borderId="31" xfId="0" applyNumberFormat="1" applyFont="1" applyBorder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176" fontId="8" fillId="0" borderId="32" xfId="0" applyNumberFormat="1" applyFont="1" applyBorder="1" applyAlignment="1">
      <alignment horizontal="center" vertical="center"/>
    </xf>
    <xf numFmtId="176" fontId="8" fillId="0" borderId="3" xfId="0" applyNumberFormat="1" applyFont="1" applyBorder="1" applyAlignment="1">
      <alignment horizontal="center" vertical="center"/>
    </xf>
    <xf numFmtId="176" fontId="8" fillId="0" borderId="16" xfId="0" applyNumberFormat="1" applyFont="1" applyBorder="1" applyAlignment="1">
      <alignment horizontal="center" vertical="center"/>
    </xf>
    <xf numFmtId="176" fontId="8" fillId="0" borderId="36" xfId="0" applyNumberFormat="1" applyFont="1" applyBorder="1" applyAlignment="1">
      <alignment horizontal="center" vertical="center"/>
    </xf>
    <xf numFmtId="176" fontId="8" fillId="0" borderId="29" xfId="0" applyNumberFormat="1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8" fillId="0" borderId="6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176" fontId="8" fillId="0" borderId="6" xfId="0" applyNumberFormat="1" applyFont="1" applyBorder="1" applyAlignment="1">
      <alignment horizontal="center" vertical="center"/>
    </xf>
    <xf numFmtId="176" fontId="8" fillId="0" borderId="33" xfId="0" applyNumberFormat="1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/>
    </xf>
    <xf numFmtId="176" fontId="8" fillId="0" borderId="35" xfId="0" applyNumberFormat="1" applyFont="1" applyBorder="1" applyAlignment="1">
      <alignment horizontal="center" vertical="center"/>
    </xf>
    <xf numFmtId="176" fontId="8" fillId="0" borderId="37" xfId="0" applyNumberFormat="1" applyFont="1" applyBorder="1" applyAlignment="1">
      <alignment horizontal="center" vertical="center"/>
    </xf>
    <xf numFmtId="176" fontId="8" fillId="0" borderId="38" xfId="0" applyNumberFormat="1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7"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right" vertical="center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成績通知書!$B$10:$B$15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成績通知書!$O$10:$O$15</c:f>
              <c:numCache>
                <c:formatCode>0.0_ </c:formatCode>
                <c:ptCount val="6"/>
                <c:pt idx="0">
                  <c:v>92.522858751072079</c:v>
                </c:pt>
                <c:pt idx="1">
                  <c:v>94.51153168941029</c:v>
                </c:pt>
                <c:pt idx="2">
                  <c:v>89.661604279314844</c:v>
                </c:pt>
                <c:pt idx="3">
                  <c:v>86.396435637121243</c:v>
                </c:pt>
                <c:pt idx="4">
                  <c:v>84.714742076555012</c:v>
                </c:pt>
                <c:pt idx="5">
                  <c:v>95.070086208774356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B4-4DA0-8ED0-D0A2F24BE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196992"/>
        <c:axId val="1796200800"/>
      </c:radarChart>
      <c:catAx>
        <c:axId val="179619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200800"/>
        <c:crosses val="autoZero"/>
        <c:auto val="1"/>
        <c:lblAlgn val="ctr"/>
        <c:lblOffset val="100"/>
        <c:noMultiLvlLbl val="0"/>
      </c:catAx>
      <c:valAx>
        <c:axId val="1796200800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9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成績通知書!$B$36:$B$41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成績通知書!$O$36:$O$41</c:f>
              <c:numCache>
                <c:formatCode>0.0_ </c:formatCode>
                <c:ptCount val="6"/>
                <c:pt idx="0">
                  <c:v>80.230419195052335</c:v>
                </c:pt>
                <c:pt idx="1">
                  <c:v>92.768489545973495</c:v>
                </c:pt>
                <c:pt idx="2">
                  <c:v>85.526196372503748</c:v>
                </c:pt>
                <c:pt idx="3">
                  <c:v>88.748230708056724</c:v>
                </c:pt>
                <c:pt idx="4">
                  <c:v>91.882028443461309</c:v>
                </c:pt>
                <c:pt idx="5">
                  <c:v>93.710595501908585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07-4F28-B50D-C8FE817DE46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79040"/>
        <c:axId val="1796197536"/>
      </c:radarChart>
      <c:catAx>
        <c:axId val="179617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97536"/>
        <c:crosses val="autoZero"/>
        <c:auto val="1"/>
        <c:lblAlgn val="ctr"/>
        <c:lblOffset val="100"/>
        <c:noMultiLvlLbl val="0"/>
      </c:catAx>
      <c:valAx>
        <c:axId val="1796197536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7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成績通知書!$B$62:$B$67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成績通知書!$O$62:$O$67</c:f>
              <c:numCache>
                <c:formatCode>0.0_ </c:formatCode>
                <c:ptCount val="6"/>
                <c:pt idx="0">
                  <c:v>84.126403271580941</c:v>
                </c:pt>
                <c:pt idx="1">
                  <c:v>99.374499999999955</c:v>
                </c:pt>
                <c:pt idx="2">
                  <c:v>91.061485827943315</c:v>
                </c:pt>
                <c:pt idx="3">
                  <c:v>90.391145523045026</c:v>
                </c:pt>
                <c:pt idx="4">
                  <c:v>88.377078002529899</c:v>
                </c:pt>
                <c:pt idx="5">
                  <c:v>89.95155107863242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1E-47B9-B90B-09BD482CC5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87744"/>
        <c:axId val="1796186112"/>
      </c:radarChart>
      <c:catAx>
        <c:axId val="179618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86112"/>
        <c:crosses val="autoZero"/>
        <c:auto val="1"/>
        <c:lblAlgn val="ctr"/>
        <c:lblOffset val="100"/>
        <c:noMultiLvlLbl val="0"/>
      </c:catAx>
      <c:valAx>
        <c:axId val="1796186112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8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成績通知書!$B$88:$B$93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成績通知書!$O$88:$O$93</c:f>
              <c:numCache>
                <c:formatCode>0.0_ </c:formatCode>
                <c:ptCount val="6"/>
                <c:pt idx="0">
                  <c:v>69.146714513865277</c:v>
                </c:pt>
                <c:pt idx="1">
                  <c:v>86.920467229801432</c:v>
                </c:pt>
                <c:pt idx="2">
                  <c:v>73.682666378915712</c:v>
                </c:pt>
                <c:pt idx="3">
                  <c:v>72.784992546963849</c:v>
                </c:pt>
                <c:pt idx="4">
                  <c:v>88.717533745764854</c:v>
                </c:pt>
                <c:pt idx="5">
                  <c:v>95.582060298731648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7B-4553-8E03-CDB9021366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86656"/>
        <c:axId val="1796170880"/>
      </c:radarChart>
      <c:catAx>
        <c:axId val="179618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0880"/>
        <c:crosses val="autoZero"/>
        <c:auto val="1"/>
        <c:lblAlgn val="ctr"/>
        <c:lblOffset val="100"/>
        <c:noMultiLvlLbl val="0"/>
      </c:catAx>
      <c:valAx>
        <c:axId val="1796170880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8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成績通知書!$B$114:$B$119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成績通知書!$O$114:$O$119</c:f>
              <c:numCache>
                <c:formatCode>0.0_ </c:formatCode>
                <c:ptCount val="6"/>
                <c:pt idx="0">
                  <c:v>94.154857864014446</c:v>
                </c:pt>
                <c:pt idx="1">
                  <c:v>100</c:v>
                </c:pt>
                <c:pt idx="2">
                  <c:v>87.997298311401337</c:v>
                </c:pt>
                <c:pt idx="3">
                  <c:v>99.186152827230273</c:v>
                </c:pt>
                <c:pt idx="4">
                  <c:v>84.695796757445265</c:v>
                </c:pt>
                <c:pt idx="5">
                  <c:v>93.128331356602217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9F-46EE-95A1-026F07443F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202432"/>
        <c:axId val="1796171968"/>
      </c:radarChart>
      <c:catAx>
        <c:axId val="179620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1968"/>
        <c:crosses val="autoZero"/>
        <c:auto val="1"/>
        <c:lblAlgn val="ctr"/>
        <c:lblOffset val="100"/>
        <c:noMultiLvlLbl val="0"/>
      </c:catAx>
      <c:valAx>
        <c:axId val="1796171968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20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成績通知書!$B$140:$B$145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成績通知書!$O$140:$O$145</c:f>
              <c:numCache>
                <c:formatCode>0.0_ </c:formatCode>
                <c:ptCount val="6"/>
                <c:pt idx="0">
                  <c:v>90.066138190788294</c:v>
                </c:pt>
                <c:pt idx="1">
                  <c:v>92.471489545973455</c:v>
                </c:pt>
                <c:pt idx="2">
                  <c:v>84.077200407136345</c:v>
                </c:pt>
                <c:pt idx="3">
                  <c:v>91.46581955647504</c:v>
                </c:pt>
                <c:pt idx="4">
                  <c:v>89.377923374408127</c:v>
                </c:pt>
                <c:pt idx="5">
                  <c:v>92.592831356602176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0-4314-AE51-524CEC8686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201344"/>
        <c:axId val="1796172512"/>
      </c:radarChart>
      <c:catAx>
        <c:axId val="179620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2512"/>
        <c:crosses val="autoZero"/>
        <c:auto val="1"/>
        <c:lblAlgn val="ctr"/>
        <c:lblOffset val="100"/>
        <c:noMultiLvlLbl val="0"/>
      </c:catAx>
      <c:valAx>
        <c:axId val="1796172512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20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成績通知書!$B$166:$B$171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成績通知書!$O$166:$O$171</c:f>
              <c:numCache>
                <c:formatCode>0.0_ </c:formatCode>
                <c:ptCount val="6"/>
                <c:pt idx="0">
                  <c:v>93.677857864014399</c:v>
                </c:pt>
                <c:pt idx="1">
                  <c:v>92.52998954597345</c:v>
                </c:pt>
                <c:pt idx="2">
                  <c:v>94.638269744536416</c:v>
                </c:pt>
                <c:pt idx="3">
                  <c:v>93.900170614539249</c:v>
                </c:pt>
                <c:pt idx="4">
                  <c:v>93.339091329348008</c:v>
                </c:pt>
                <c:pt idx="5">
                  <c:v>95.070086208774356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4-4918-9B42-D0670A2469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202976"/>
        <c:axId val="1796191552"/>
      </c:radarChart>
      <c:catAx>
        <c:axId val="17962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91552"/>
        <c:crosses val="autoZero"/>
        <c:auto val="1"/>
        <c:lblAlgn val="ctr"/>
        <c:lblOffset val="100"/>
        <c:noMultiLvlLbl val="0"/>
      </c:catAx>
      <c:valAx>
        <c:axId val="1796191552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20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成績通知書!$B$192:$B$197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成績通知書!$O$192:$O$197</c:f>
              <c:numCache>
                <c:formatCode>0.0_ </c:formatCode>
                <c:ptCount val="6"/>
                <c:pt idx="0">
                  <c:v>81.648038654123255</c:v>
                </c:pt>
                <c:pt idx="1">
                  <c:v>95.880933679444311</c:v>
                </c:pt>
                <c:pt idx="2">
                  <c:v>98.996499999999997</c:v>
                </c:pt>
                <c:pt idx="3">
                  <c:v>93.834378039453625</c:v>
                </c:pt>
                <c:pt idx="4">
                  <c:v>92.394445590311591</c:v>
                </c:pt>
                <c:pt idx="5">
                  <c:v>92.945595501908585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8-4F6C-9B54-C24F9CF799D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92096"/>
        <c:axId val="1796196448"/>
      </c:radarChart>
      <c:catAx>
        <c:axId val="179619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96448"/>
        <c:crosses val="autoZero"/>
        <c:auto val="1"/>
        <c:lblAlgn val="ctr"/>
        <c:lblOffset val="100"/>
        <c:noMultiLvlLbl val="0"/>
      </c:catAx>
      <c:valAx>
        <c:axId val="1796196448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9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成績通知書!$B$218:$B$223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成績通知書!$O$218:$O$223</c:f>
              <c:numCache>
                <c:formatCode>0.0_ </c:formatCode>
                <c:ptCount val="6"/>
                <c:pt idx="0">
                  <c:v>96.917054391765618</c:v>
                </c:pt>
                <c:pt idx="1">
                  <c:v>93.006989545973497</c:v>
                </c:pt>
                <c:pt idx="2">
                  <c:v>94.161646221937687</c:v>
                </c:pt>
                <c:pt idx="3">
                  <c:v>99.595389010694447</c:v>
                </c:pt>
                <c:pt idx="4">
                  <c:v>89.002578002529944</c:v>
                </c:pt>
                <c:pt idx="5">
                  <c:v>94.755302624562376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C-4278-9478-0AA4448C123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88288"/>
        <c:axId val="1796169792"/>
      </c:radarChart>
      <c:catAx>
        <c:axId val="179618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69792"/>
        <c:crosses val="autoZero"/>
        <c:auto val="1"/>
        <c:lblAlgn val="ctr"/>
        <c:lblOffset val="100"/>
        <c:noMultiLvlLbl val="0"/>
      </c:catAx>
      <c:valAx>
        <c:axId val="1796169792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8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成績通知書!$B$244:$B$249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成績通知書!$O$244:$O$249</c:f>
              <c:numCache>
                <c:formatCode>0.0_ </c:formatCode>
                <c:ptCount val="6"/>
                <c:pt idx="0">
                  <c:v>86.536144891894821</c:v>
                </c:pt>
                <c:pt idx="1">
                  <c:v>89.088066733395237</c:v>
                </c:pt>
                <c:pt idx="2">
                  <c:v>87.20937591285977</c:v>
                </c:pt>
                <c:pt idx="3">
                  <c:v>91.272970560353528</c:v>
                </c:pt>
                <c:pt idx="4">
                  <c:v>88.764078002529942</c:v>
                </c:pt>
                <c:pt idx="5">
                  <c:v>95.3085862087744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2-4CA0-8317-2722BC5639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91008"/>
        <c:axId val="1796203520"/>
      </c:radarChart>
      <c:catAx>
        <c:axId val="179619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203520"/>
        <c:crosses val="autoZero"/>
        <c:auto val="1"/>
        <c:lblAlgn val="ctr"/>
        <c:lblOffset val="100"/>
        <c:noMultiLvlLbl val="0"/>
      </c:catAx>
      <c:valAx>
        <c:axId val="1796203520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9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成績通知書!$B$270:$B$275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成績通知書!$O$270:$O$275</c:f>
              <c:numCache>
                <c:formatCode>0.0_ </c:formatCode>
                <c:ptCount val="6"/>
                <c:pt idx="0">
                  <c:v>78.034419195052322</c:v>
                </c:pt>
                <c:pt idx="1">
                  <c:v>85.228467229801467</c:v>
                </c:pt>
                <c:pt idx="2">
                  <c:v>85.562798311401338</c:v>
                </c:pt>
                <c:pt idx="3">
                  <c:v>89.07697056035353</c:v>
                </c:pt>
                <c:pt idx="4">
                  <c:v>78.659242078981052</c:v>
                </c:pt>
                <c:pt idx="5">
                  <c:v>90.693831356602217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F-4DF9-9C51-E2F6FF1F8E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201888"/>
        <c:axId val="1796178496"/>
      </c:radarChart>
      <c:catAx>
        <c:axId val="179620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8496"/>
        <c:crosses val="autoZero"/>
        <c:auto val="1"/>
        <c:lblAlgn val="ctr"/>
        <c:lblOffset val="100"/>
        <c:noMultiLvlLbl val="0"/>
      </c:catAx>
      <c:valAx>
        <c:axId val="1796178496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20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成績通知書!$B$296:$B$301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成績通知書!$O$296:$O$301</c:f>
              <c:numCache>
                <c:formatCode>0.0_ </c:formatCode>
                <c:ptCount val="6"/>
                <c:pt idx="0">
                  <c:v>88.065305305873025</c:v>
                </c:pt>
                <c:pt idx="1">
                  <c:v>91.088989545973448</c:v>
                </c:pt>
                <c:pt idx="2">
                  <c:v>76.546329788781577</c:v>
                </c:pt>
                <c:pt idx="3">
                  <c:v>93.375825993733272</c:v>
                </c:pt>
                <c:pt idx="4">
                  <c:v>91.89809132934802</c:v>
                </c:pt>
                <c:pt idx="5">
                  <c:v>92.031095501908538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0-431C-9A48-ED5CF4518AF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75232"/>
        <c:axId val="1796179584"/>
      </c:radarChart>
      <c:catAx>
        <c:axId val="179617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9584"/>
        <c:crosses val="autoZero"/>
        <c:auto val="1"/>
        <c:lblAlgn val="ctr"/>
        <c:lblOffset val="100"/>
        <c:noMultiLvlLbl val="0"/>
      </c:catAx>
      <c:valAx>
        <c:axId val="1796179584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7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成績通知書!$B$322:$B$327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成績通知書!$O$322:$O$327</c:f>
              <c:numCache>
                <c:formatCode>0.0_ </c:formatCode>
                <c:ptCount val="6"/>
                <c:pt idx="0">
                  <c:v>88.970805305873071</c:v>
                </c:pt>
                <c:pt idx="1">
                  <c:v>93.976031689410334</c:v>
                </c:pt>
                <c:pt idx="2">
                  <c:v>86.435375912859769</c:v>
                </c:pt>
                <c:pt idx="3">
                  <c:v>91.953739224962803</c:v>
                </c:pt>
                <c:pt idx="4">
                  <c:v>87.528519662496848</c:v>
                </c:pt>
                <c:pt idx="5">
                  <c:v>93.742802624562373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46-4618-84A8-70F99F6CC5D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77952"/>
        <c:axId val="1796171424"/>
      </c:radarChart>
      <c:catAx>
        <c:axId val="179617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1424"/>
        <c:crosses val="autoZero"/>
        <c:auto val="1"/>
        <c:lblAlgn val="ctr"/>
        <c:lblOffset val="100"/>
        <c:noMultiLvlLbl val="0"/>
      </c:catAx>
      <c:valAx>
        <c:axId val="1796171424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7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成績通知書!$B$348:$B$353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成績通知書!$O$348:$O$353</c:f>
              <c:numCache>
                <c:formatCode>0.0_ </c:formatCode>
                <c:ptCount val="6"/>
                <c:pt idx="0">
                  <c:v>98.401070547913179</c:v>
                </c:pt>
                <c:pt idx="1">
                  <c:v>90.360914634146297</c:v>
                </c:pt>
                <c:pt idx="2">
                  <c:v>98.478353086722791</c:v>
                </c:pt>
                <c:pt idx="3">
                  <c:v>89.41430377803168</c:v>
                </c:pt>
                <c:pt idx="4">
                  <c:v>98.897499999999951</c:v>
                </c:pt>
                <c:pt idx="5">
                  <c:v>91.190356398964454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C-4F83-A13A-694C75925E5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95360"/>
        <c:axId val="1796170336"/>
      </c:radarChart>
      <c:catAx>
        <c:axId val="17961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0336"/>
        <c:crosses val="autoZero"/>
        <c:auto val="1"/>
        <c:lblAlgn val="ctr"/>
        <c:lblOffset val="100"/>
        <c:noMultiLvlLbl val="0"/>
      </c:catAx>
      <c:valAx>
        <c:axId val="1796170336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9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成績通知書!$B$374:$B$379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成績通知書!$O$374:$O$379</c:f>
              <c:numCache>
                <c:formatCode>0.0_ </c:formatCode>
                <c:ptCount val="6"/>
                <c:pt idx="0">
                  <c:v>98.756999999999962</c:v>
                </c:pt>
                <c:pt idx="1">
                  <c:v>95.641433679444276</c:v>
                </c:pt>
                <c:pt idx="2">
                  <c:v>88.895604279314853</c:v>
                </c:pt>
                <c:pt idx="3">
                  <c:v>94.948529556204008</c:v>
                </c:pt>
                <c:pt idx="4">
                  <c:v>92.154945590311556</c:v>
                </c:pt>
                <c:pt idx="5">
                  <c:v>89.334051078632427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B9F-8054-9A8BB4F9C99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204064"/>
        <c:axId val="1796180128"/>
      </c:radarChart>
      <c:catAx>
        <c:axId val="17962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80128"/>
        <c:crosses val="autoZero"/>
        <c:auto val="1"/>
        <c:lblAlgn val="ctr"/>
        <c:lblOffset val="100"/>
        <c:noMultiLvlLbl val="0"/>
      </c:catAx>
      <c:valAx>
        <c:axId val="1796180128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20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成績通知書!$B$400:$B$405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成績通知書!$O$400:$O$405</c:f>
              <c:numCache>
                <c:formatCode>0.0_ </c:formatCode>
                <c:ptCount val="6"/>
                <c:pt idx="0">
                  <c:v>87.791301305749101</c:v>
                </c:pt>
                <c:pt idx="1">
                  <c:v>83.794062166661561</c:v>
                </c:pt>
                <c:pt idx="2">
                  <c:v>89.094130090618521</c:v>
                </c:pt>
                <c:pt idx="3">
                  <c:v>95.936873444974438</c:v>
                </c:pt>
                <c:pt idx="4">
                  <c:v>87.436578002529899</c:v>
                </c:pt>
                <c:pt idx="5">
                  <c:v>90.726856398964443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C-4146-B643-7141351DB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185024"/>
        <c:axId val="1796173056"/>
      </c:radarChart>
      <c:catAx>
        <c:axId val="179618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3056"/>
        <c:crosses val="autoZero"/>
        <c:auto val="1"/>
        <c:lblAlgn val="ctr"/>
        <c:lblOffset val="100"/>
        <c:noMultiLvlLbl val="0"/>
      </c:catAx>
      <c:valAx>
        <c:axId val="1796173056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8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成績通知書!$B$426:$B$431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成績通知書!$O$426:$O$431</c:f>
              <c:numCache>
                <c:formatCode>0.0_ </c:formatCode>
                <c:ptCount val="6"/>
                <c:pt idx="0">
                  <c:v>97.459580334966461</c:v>
                </c:pt>
                <c:pt idx="1">
                  <c:v>96.371433679444323</c:v>
                </c:pt>
                <c:pt idx="2">
                  <c:v>86.379683958907123</c:v>
                </c:pt>
                <c:pt idx="3">
                  <c:v>99.082389010694442</c:v>
                </c:pt>
                <c:pt idx="4">
                  <c:v>88.947033745764912</c:v>
                </c:pt>
                <c:pt idx="5">
                  <c:v>95.811560298731706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4-48BA-AB4F-EBBB74175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173600"/>
        <c:axId val="1796176864"/>
      </c:radarChart>
      <c:catAx>
        <c:axId val="179617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6864"/>
        <c:crosses val="autoZero"/>
        <c:auto val="1"/>
        <c:lblAlgn val="ctr"/>
        <c:lblOffset val="100"/>
        <c:noMultiLvlLbl val="0"/>
      </c:catAx>
      <c:valAx>
        <c:axId val="1796176864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7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成績通知書!$B$452:$B$457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成績通知書!$O$452:$O$457</c:f>
              <c:numCache>
                <c:formatCode>0.0_ </c:formatCode>
                <c:ptCount val="6"/>
                <c:pt idx="0">
                  <c:v>99.000195617606494</c:v>
                </c:pt>
                <c:pt idx="1">
                  <c:v>100</c:v>
                </c:pt>
                <c:pt idx="2">
                  <c:v>96.048527267687632</c:v>
                </c:pt>
                <c:pt idx="3">
                  <c:v>100</c:v>
                </c:pt>
                <c:pt idx="4">
                  <c:v>97.410600109422347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069-9490-4853EFC07A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92640"/>
        <c:axId val="1796193728"/>
      </c:radarChart>
      <c:catAx>
        <c:axId val="179619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93728"/>
        <c:crosses val="autoZero"/>
        <c:auto val="1"/>
        <c:lblAlgn val="ctr"/>
        <c:lblOffset val="100"/>
        <c:noMultiLvlLbl val="0"/>
      </c:catAx>
      <c:valAx>
        <c:axId val="1796193728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9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成績通知書!$B$478:$B$483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成績通知書!$O$478:$O$483</c:f>
              <c:numCache>
                <c:formatCode>0.0_ </c:formatCode>
                <c:ptCount val="6"/>
                <c:pt idx="0">
                  <c:v>82.651538654123257</c:v>
                </c:pt>
                <c:pt idx="1">
                  <c:v>94.988531689410337</c:v>
                </c:pt>
                <c:pt idx="2">
                  <c:v>71.560744326608727</c:v>
                </c:pt>
                <c:pt idx="3">
                  <c:v>88.46636013609141</c:v>
                </c:pt>
                <c:pt idx="4">
                  <c:v>88.541019662496836</c:v>
                </c:pt>
                <c:pt idx="5">
                  <c:v>96.324560298731697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0-41E0-A701-D46945AC02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76320"/>
        <c:axId val="1796180672"/>
      </c:radarChart>
      <c:catAx>
        <c:axId val="179617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80672"/>
        <c:crosses val="autoZero"/>
        <c:auto val="1"/>
        <c:lblAlgn val="ctr"/>
        <c:lblOffset val="100"/>
        <c:noMultiLvlLbl val="0"/>
      </c:catAx>
      <c:valAx>
        <c:axId val="1796180672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成績通知書!$B$504:$B$509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成績通知書!$O$504:$O$509</c:f>
              <c:numCache>
                <c:formatCode>0.0_ </c:formatCode>
                <c:ptCount val="6"/>
                <c:pt idx="0">
                  <c:v>85.434572980521978</c:v>
                </c:pt>
                <c:pt idx="1">
                  <c:v>91.463414634146346</c:v>
                </c:pt>
                <c:pt idx="2">
                  <c:v>82.83810728278587</c:v>
                </c:pt>
                <c:pt idx="3">
                  <c:v>93.441378620551689</c:v>
                </c:pt>
                <c:pt idx="4">
                  <c:v>88.541019662496836</c:v>
                </c:pt>
                <c:pt idx="5">
                  <c:v>93.128331356602217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F-478A-B55C-135B380C7E1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96174144"/>
        <c:axId val="1796174688"/>
      </c:radarChart>
      <c:catAx>
        <c:axId val="179617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74688"/>
        <c:crosses val="autoZero"/>
        <c:auto val="1"/>
        <c:lblAlgn val="ctr"/>
        <c:lblOffset val="100"/>
        <c:noMultiLvlLbl val="0"/>
      </c:catAx>
      <c:valAx>
        <c:axId val="1796174688"/>
        <c:scaling>
          <c:orientation val="minMax"/>
          <c:max val="100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out"/>
        <c:minorTickMark val="none"/>
        <c:tickLblPos val="nextTo"/>
        <c:crossAx val="179617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成績通知書!$B$530:$B$535</c:f>
              <c:strCache>
                <c:ptCount val="6"/>
                <c:pt idx="0">
                  <c:v>文字・語彙
vocabulary</c:v>
                </c:pt>
                <c:pt idx="1">
                  <c:v>聴解
listening</c:v>
                </c:pt>
                <c:pt idx="2">
                  <c:v>読解
reading</c:v>
                </c:pt>
                <c:pt idx="3">
                  <c:v>文法
grammar</c:v>
                </c:pt>
                <c:pt idx="4">
                  <c:v>作文
writing</c:v>
                </c:pt>
                <c:pt idx="5">
                  <c:v>会話
conversation</c:v>
                </c:pt>
              </c:strCache>
            </c:strRef>
          </c:cat>
          <c:val>
            <c:numRef>
              <c:f>成績通知書!$O$530:$O$535</c:f>
              <c:numCache>
                <c:formatCode>0.0_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5F4-8A45-DC4D8BFA8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187200"/>
        <c:axId val="1796183936"/>
      </c:radarChart>
      <c:catAx>
        <c:axId val="179618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6183936"/>
        <c:crosses val="autoZero"/>
        <c:auto val="1"/>
        <c:lblAlgn val="ctr"/>
        <c:lblOffset val="100"/>
        <c:noMultiLvlLbl val="0"/>
      </c:catAx>
      <c:valAx>
        <c:axId val="1796183936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out"/>
        <c:minorTickMark val="none"/>
        <c:tickLblPos val="nextTo"/>
        <c:crossAx val="179618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1</xdr:row>
      <xdr:rowOff>161925</xdr:rowOff>
    </xdr:from>
    <xdr:to>
      <xdr:col>17</xdr:col>
      <xdr:colOff>371475</xdr:colOff>
      <xdr:row>11</xdr:row>
      <xdr:rowOff>57150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439150" y="400050"/>
          <a:ext cx="3609975" cy="22764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ここには、期末試験の成績ファイルの「成績入力」シートから、成績を出したい人のクラスおよび同一の試験を受けたクラスのデータを「学籍番号」～「文法」までコピーしてください。</a:t>
          </a:r>
          <a:endParaRPr kumimoji="1" lang="en-US" altLang="ja-JP" sz="1100"/>
        </a:p>
        <a:p>
          <a:r>
            <a:rPr kumimoji="1" lang="ja-JP" altLang="en-US" sz="1100"/>
            <a:t>「作文」と「会話」は手動で入力してください。</a:t>
          </a:r>
          <a:endParaRPr kumimoji="1" lang="en-US" altLang="ja-JP" sz="1100"/>
        </a:p>
        <a:p>
          <a:r>
            <a:rPr kumimoji="1" lang="ja-JP" altLang="en-US" sz="1100"/>
            <a:t>「合計」は自動計算されるので入力しないでください。</a:t>
          </a:r>
          <a:endParaRPr kumimoji="1" lang="en-US" altLang="ja-JP" sz="1100"/>
        </a:p>
        <a:p>
          <a:r>
            <a:rPr kumimoji="1" lang="en-US" altLang="ja-JP" sz="1100"/>
            <a:t>※</a:t>
          </a:r>
          <a:r>
            <a:rPr kumimoji="1" lang="ja-JP" altLang="en-US" sz="1100"/>
            <a:t>相対評価のため、「作文」と「会話」を含めた全員の得点を入力してください。</a:t>
          </a:r>
          <a:endParaRPr kumimoji="1" lang="en-US" altLang="ja-JP" sz="1100"/>
        </a:p>
        <a:p>
          <a:r>
            <a:rPr kumimoji="1" lang="ja-JP" altLang="en-US" sz="1100"/>
            <a:t>入力が終わったら「次へ」ボタンを押してください。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12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次へ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13</xdr:col>
      <xdr:colOff>180975</xdr:colOff>
      <xdr:row>11</xdr:row>
      <xdr:rowOff>133350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810250" y="476250"/>
          <a:ext cx="3609975" cy="22764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ここには、成績計算を行う時点での累計出席率を入力します。</a:t>
          </a:r>
          <a:endParaRPr kumimoji="1" lang="en-US" altLang="ja-JP" sz="1100"/>
        </a:p>
        <a:p>
          <a:r>
            <a:rPr kumimoji="1" lang="ja-JP" altLang="en-US" sz="1100"/>
            <a:t>まず、上のリンクから「出席率出力</a:t>
          </a:r>
          <a:r>
            <a:rPr kumimoji="1" lang="en-US" altLang="ja-JP" sz="1100"/>
            <a:t>.xlsx</a:t>
          </a:r>
          <a:r>
            <a:rPr kumimoji="1" lang="ja-JP" altLang="en-US" sz="1100"/>
            <a:t>」を開き、対象月の出席率計算を終えてください。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その後、そのファイルの「累計出席」のシートから、このシートに</a:t>
          </a:r>
          <a:r>
            <a:rPr kumimoji="1" lang="ja-JP" altLang="en-US" sz="1100" b="1"/>
            <a:t>全員分</a:t>
          </a:r>
          <a:r>
            <a:rPr kumimoji="1" lang="ja-JP" altLang="en-US" sz="1100"/>
            <a:t>コピーしてください。</a:t>
          </a:r>
          <a:endParaRPr kumimoji="1" lang="en-US" altLang="ja-JP" sz="1100"/>
        </a:p>
        <a:p>
          <a:r>
            <a:rPr kumimoji="1" lang="ja-JP" altLang="en-US" sz="1100"/>
            <a:t>入力が終わったら「次へ」ボタンを押してください。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次へ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238124</xdr:rowOff>
    </xdr:from>
    <xdr:to>
      <xdr:col>18</xdr:col>
      <xdr:colOff>428625</xdr:colOff>
      <xdr:row>30</xdr:row>
      <xdr:rowOff>76199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82000" y="238124"/>
          <a:ext cx="5915025" cy="698182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ここには、平常点を入力します。</a:t>
          </a:r>
          <a:endParaRPr kumimoji="1" lang="en-US" altLang="ja-JP" sz="1100"/>
        </a:p>
        <a:p>
          <a:r>
            <a:rPr kumimoji="1" lang="ja-JP" altLang="en-US" sz="1100"/>
            <a:t>「授業態度」「宿題提出頻度」「小テスト」にそれぞれ５段階で成績を入力してください。ここでは出席率は考慮に含めません。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 baseline="0"/>
            <a:t>  </a:t>
          </a:r>
          <a:r>
            <a:rPr kumimoji="1" lang="ja-JP" altLang="en-US" sz="1100"/>
            <a:t>評価基準</a:t>
          </a:r>
          <a:endParaRPr kumimoji="1" lang="en-US" altLang="ja-JP" sz="1100"/>
        </a:p>
        <a:p>
          <a:r>
            <a:rPr kumimoji="1" lang="ja-JP" altLang="en-US" sz="1100"/>
            <a:t>♦授業態度</a:t>
          </a:r>
          <a:endParaRPr kumimoji="1" lang="en-US" altLang="ja-JP" sz="1100"/>
        </a:p>
        <a:p>
          <a:r>
            <a:rPr kumimoji="1" lang="en-US" altLang="ja-JP" sz="1100"/>
            <a:t>5</a:t>
          </a:r>
          <a:r>
            <a:rPr kumimoji="1" lang="ja-JP" altLang="en-US" sz="1100" baseline="0"/>
            <a:t>　いつも真面目に受けている</a:t>
          </a:r>
          <a:endParaRPr kumimoji="1" lang="en-US" altLang="ja-JP" sz="1100"/>
        </a:p>
        <a:p>
          <a:r>
            <a:rPr kumimoji="1" lang="en-US" altLang="ja-JP" sz="1100"/>
            <a:t>4</a:t>
          </a:r>
          <a:r>
            <a:rPr kumimoji="1" lang="ja-JP" altLang="en-US" sz="1100"/>
            <a:t>　だいたい真面目に受けている</a:t>
          </a:r>
          <a:endParaRPr kumimoji="1" lang="en-US" altLang="ja-JP" sz="1100"/>
        </a:p>
        <a:p>
          <a:r>
            <a:rPr kumimoji="1" lang="en-US" altLang="ja-JP" sz="1100"/>
            <a:t>3</a:t>
          </a:r>
          <a:r>
            <a:rPr kumimoji="1" lang="ja-JP" altLang="en-US" sz="1100"/>
            <a:t>　時々授業に参加していない</a:t>
          </a:r>
          <a:r>
            <a:rPr kumimoji="1" lang="en-US" altLang="ja-JP" sz="1100"/>
            <a:t>(</a:t>
          </a:r>
          <a:r>
            <a:rPr kumimoji="1" lang="ja-JP" altLang="en-US" sz="1100"/>
            <a:t>居眠り含む</a:t>
          </a:r>
          <a:r>
            <a:rPr kumimoji="1" lang="en-US" altLang="ja-JP" sz="1100"/>
            <a:t>)</a:t>
          </a:r>
          <a:r>
            <a:rPr kumimoji="1" lang="ja-JP" altLang="en-US" sz="1100"/>
            <a:t>。時々授業妨害になっている</a:t>
          </a:r>
          <a:r>
            <a:rPr kumimoji="1" lang="en-US" altLang="ja-JP" sz="1100"/>
            <a:t>(</a:t>
          </a:r>
          <a:r>
            <a:rPr kumimoji="1" lang="ja-JP" altLang="en-US" sz="1100"/>
            <a:t>私語など</a:t>
          </a:r>
          <a:r>
            <a:rPr kumimoji="1" lang="en-US" altLang="ja-JP" sz="1100"/>
            <a:t>)</a:t>
          </a:r>
        </a:p>
        <a:p>
          <a:r>
            <a:rPr kumimoji="1" lang="en-US" altLang="ja-JP" sz="1100"/>
            <a:t>2</a:t>
          </a:r>
          <a:r>
            <a:rPr kumimoji="1" lang="ja-JP" altLang="en-US" sz="1100"/>
            <a:t>　ほとんど授業に参加していない</a:t>
          </a:r>
          <a:r>
            <a:rPr kumimoji="1" lang="en-US" altLang="ja-JP" sz="1100"/>
            <a:t>(</a:t>
          </a:r>
          <a:r>
            <a:rPr kumimoji="1" lang="ja-JP" altLang="en-US" sz="1100"/>
            <a:t>居眠り含む</a:t>
          </a:r>
          <a:r>
            <a:rPr kumimoji="1" lang="en-US" altLang="ja-JP" sz="1100"/>
            <a:t>)</a:t>
          </a:r>
          <a:r>
            <a:rPr kumimoji="1" lang="ja-JP" altLang="en-US" sz="1100"/>
            <a:t>。よく授業妨害になっている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私語など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kumimoji="1" lang="en-US" altLang="ja-JP" sz="1100"/>
        </a:p>
        <a:p>
          <a:r>
            <a:rPr kumimoji="1" lang="en-US" altLang="ja-JP" sz="1100"/>
            <a:t>1</a:t>
          </a:r>
          <a:r>
            <a:rPr kumimoji="1" lang="ja-JP" altLang="en-US" sz="1100"/>
            <a:t>　いつも授業に参加していない</a:t>
          </a:r>
          <a:r>
            <a:rPr kumimoji="1" lang="en-US" altLang="ja-JP" sz="1100"/>
            <a:t>(</a:t>
          </a:r>
          <a:r>
            <a:rPr kumimoji="1" lang="ja-JP" altLang="en-US" sz="1100"/>
            <a:t>居眠り含む</a:t>
          </a:r>
          <a:r>
            <a:rPr kumimoji="1" lang="en-US" altLang="ja-JP" sz="1100"/>
            <a:t>)</a:t>
          </a:r>
          <a:r>
            <a:rPr kumimoji="1" lang="ja-JP" altLang="en-US" sz="1100"/>
            <a:t>。  いつも授業妨害になっている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私語など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♦宿題提出頻度</a:t>
          </a:r>
          <a:endParaRPr kumimoji="1" lang="en-US" altLang="ja-JP" sz="1100"/>
        </a:p>
        <a:p>
          <a:r>
            <a:rPr kumimoji="1" lang="en-US" altLang="ja-JP" sz="1100"/>
            <a:t>5</a:t>
          </a:r>
          <a:r>
            <a:rPr kumimoji="1" lang="ja-JP" altLang="en-US" sz="1100"/>
            <a:t>　</a:t>
          </a:r>
          <a:r>
            <a:rPr kumimoji="1" lang="en-US" altLang="ja-JP" sz="1100"/>
            <a:t>80</a:t>
          </a:r>
          <a:r>
            <a:rPr kumimoji="1" lang="ja-JP" altLang="en-US" sz="1100"/>
            <a:t>％以上提出している</a:t>
          </a:r>
          <a:endParaRPr kumimoji="1" lang="en-US" altLang="ja-JP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</a:t>
          </a:r>
          <a:r>
            <a:rPr kumimoji="1" lang="ja-JP" altLang="en-US" sz="1100"/>
            <a:t>　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％以上提出している</a:t>
          </a:r>
          <a:endParaRPr kumimoji="1" lang="en-US" altLang="ja-JP" sz="1100"/>
        </a:p>
        <a:p>
          <a:r>
            <a:rPr kumimoji="1" lang="en-US" altLang="ja-JP" sz="1100"/>
            <a:t>3</a:t>
          </a:r>
          <a:r>
            <a:rPr kumimoji="1" lang="ja-JP" altLang="en-US" sz="1100"/>
            <a:t>　</a:t>
          </a:r>
          <a:r>
            <a:rPr kumimoji="1" lang="en-US" altLang="ja-JP" sz="1100"/>
            <a:t>40</a:t>
          </a:r>
          <a:r>
            <a:rPr kumimoji="1" lang="ja-JP" altLang="en-US" sz="1100"/>
            <a:t>％以上提出している</a:t>
          </a:r>
          <a:endParaRPr kumimoji="1" lang="en-US" altLang="ja-JP" sz="1100"/>
        </a:p>
        <a:p>
          <a:r>
            <a:rPr kumimoji="1" lang="en-US" altLang="ja-JP" sz="1100"/>
            <a:t>2</a:t>
          </a:r>
          <a:r>
            <a:rPr kumimoji="1" lang="ja-JP" altLang="en-US" sz="1100"/>
            <a:t>　</a:t>
          </a:r>
          <a:r>
            <a:rPr kumimoji="1" lang="en-US" altLang="ja-JP" sz="1100"/>
            <a:t>20</a:t>
          </a:r>
          <a:r>
            <a:rPr kumimoji="1" lang="ja-JP" altLang="en-US" sz="1100"/>
            <a:t>％以上提出している</a:t>
          </a:r>
          <a:endParaRPr kumimoji="1" lang="en-US" altLang="ja-JP" sz="1100"/>
        </a:p>
        <a:p>
          <a:r>
            <a:rPr kumimoji="1" lang="en-US" altLang="ja-JP" sz="1100"/>
            <a:t>1</a:t>
          </a:r>
          <a:r>
            <a:rPr kumimoji="1" lang="ja-JP" altLang="en-US" sz="1100"/>
            <a:t>　</a:t>
          </a:r>
          <a:r>
            <a:rPr kumimoji="1" lang="en-US" altLang="ja-JP" sz="1100"/>
            <a:t>0</a:t>
          </a:r>
          <a:r>
            <a:rPr kumimoji="1" lang="ja-JP" altLang="en-US" sz="1100"/>
            <a:t>％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♦小テスト</a:t>
          </a:r>
          <a:r>
            <a:rPr kumimoji="1" lang="en-US" altLang="ja-JP" sz="1100"/>
            <a:t>(</a:t>
          </a:r>
          <a:r>
            <a:rPr kumimoji="1" lang="ja-JP" altLang="en-US" sz="1100"/>
            <a:t>得点率</a:t>
          </a:r>
          <a:r>
            <a:rPr kumimoji="1" lang="en-US" altLang="ja-JP" sz="1100"/>
            <a:t>)</a:t>
          </a:r>
        </a:p>
        <a:p>
          <a:r>
            <a:rPr kumimoji="1" lang="en-US" altLang="ja-JP" sz="1100"/>
            <a:t>5</a:t>
          </a:r>
          <a:r>
            <a:rPr kumimoji="1" lang="ja-JP" altLang="en-US" sz="1100"/>
            <a:t>　</a:t>
          </a:r>
          <a:r>
            <a:rPr kumimoji="1" lang="en-US" altLang="ja-JP" sz="1100"/>
            <a:t>80</a:t>
          </a:r>
          <a:r>
            <a:rPr kumimoji="1" lang="ja-JP" altLang="en-US" sz="1100"/>
            <a:t>％以上</a:t>
          </a:r>
          <a:endParaRPr kumimoji="1" lang="en-US" altLang="ja-JP" sz="1100"/>
        </a:p>
        <a:p>
          <a:r>
            <a:rPr kumimoji="1" lang="en-US" altLang="ja-JP" sz="1100"/>
            <a:t>4</a:t>
          </a:r>
          <a:r>
            <a:rPr kumimoji="1" lang="ja-JP" altLang="en-US" sz="1100"/>
            <a:t>　</a:t>
          </a:r>
          <a:r>
            <a:rPr kumimoji="1" lang="en-US" altLang="ja-JP" sz="1100"/>
            <a:t>60</a:t>
          </a:r>
          <a:r>
            <a:rPr kumimoji="1" lang="ja-JP" altLang="en-US" sz="1100"/>
            <a:t>％以上</a:t>
          </a:r>
          <a:endParaRPr kumimoji="1" lang="en-US" altLang="ja-JP" sz="1100"/>
        </a:p>
        <a:p>
          <a:r>
            <a:rPr kumimoji="1" lang="en-US" altLang="ja-JP" sz="1100"/>
            <a:t>3</a:t>
          </a:r>
          <a:r>
            <a:rPr kumimoji="1" lang="ja-JP" altLang="en-US" sz="1100"/>
            <a:t>　</a:t>
          </a:r>
          <a:r>
            <a:rPr kumimoji="1" lang="en-US" altLang="ja-JP" sz="1100"/>
            <a:t>40</a:t>
          </a:r>
          <a:r>
            <a:rPr kumimoji="1" lang="ja-JP" altLang="en-US" sz="1100"/>
            <a:t>％以上</a:t>
          </a:r>
          <a:endParaRPr kumimoji="1" lang="en-US" altLang="ja-JP" sz="1100"/>
        </a:p>
        <a:p>
          <a:r>
            <a:rPr kumimoji="1" lang="en-US" altLang="ja-JP" sz="1100"/>
            <a:t>2</a:t>
          </a:r>
          <a:r>
            <a:rPr kumimoji="1" lang="ja-JP" altLang="en-US" sz="1100"/>
            <a:t>　</a:t>
          </a:r>
          <a:r>
            <a:rPr kumimoji="1" lang="en-US" altLang="ja-JP" sz="1100"/>
            <a:t>20</a:t>
          </a:r>
          <a:r>
            <a:rPr kumimoji="1" lang="ja-JP" altLang="en-US" sz="1100"/>
            <a:t>％以上</a:t>
          </a:r>
          <a:endParaRPr kumimoji="1" lang="en-US" altLang="ja-JP" sz="1100"/>
        </a:p>
        <a:p>
          <a:r>
            <a:rPr kumimoji="1" lang="en-US" altLang="ja-JP" sz="1100"/>
            <a:t>1</a:t>
          </a:r>
          <a:r>
            <a:rPr kumimoji="1" lang="ja-JP" altLang="en-US" sz="1100"/>
            <a:t>　</a:t>
          </a:r>
          <a:r>
            <a:rPr kumimoji="1" lang="en-US" altLang="ja-JP" sz="1100"/>
            <a:t>0</a:t>
          </a:r>
          <a:r>
            <a:rPr kumimoji="1" lang="ja-JP" altLang="en-US" sz="1100"/>
            <a:t>％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「平常点」は自動計算されます。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成績が不要な人については入力する必要はありません。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入力が終わったら「次へ」ボタンを押してください。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31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次へ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114300</xdr:colOff>
      <xdr:row>4</xdr:row>
      <xdr:rowOff>200025</xdr:rowOff>
    </xdr:from>
    <xdr:to>
      <xdr:col>11</xdr:col>
      <xdr:colOff>66675</xdr:colOff>
      <xdr:row>5</xdr:row>
      <xdr:rowOff>200025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496300" y="1152525"/>
          <a:ext cx="638175" cy="238125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16</xdr:row>
      <xdr:rowOff>80962</xdr:rowOff>
    </xdr:from>
    <xdr:to>
      <xdr:col>17</xdr:col>
      <xdr:colOff>266700</xdr:colOff>
      <xdr:row>25</xdr:row>
      <xdr:rowOff>252412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266700</xdr:colOff>
      <xdr:row>42</xdr:row>
      <xdr:rowOff>80962</xdr:rowOff>
    </xdr:from>
    <xdr:to>
      <xdr:col>17</xdr:col>
      <xdr:colOff>266700</xdr:colOff>
      <xdr:row>51</xdr:row>
      <xdr:rowOff>252412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266700</xdr:colOff>
      <xdr:row>68</xdr:row>
      <xdr:rowOff>80962</xdr:rowOff>
    </xdr:from>
    <xdr:to>
      <xdr:col>17</xdr:col>
      <xdr:colOff>266700</xdr:colOff>
      <xdr:row>77</xdr:row>
      <xdr:rowOff>252412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266700</xdr:colOff>
      <xdr:row>94</xdr:row>
      <xdr:rowOff>80962</xdr:rowOff>
    </xdr:from>
    <xdr:to>
      <xdr:col>17</xdr:col>
      <xdr:colOff>266700</xdr:colOff>
      <xdr:row>103</xdr:row>
      <xdr:rowOff>252412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266700</xdr:colOff>
      <xdr:row>120</xdr:row>
      <xdr:rowOff>80962</xdr:rowOff>
    </xdr:from>
    <xdr:to>
      <xdr:col>17</xdr:col>
      <xdr:colOff>266700</xdr:colOff>
      <xdr:row>129</xdr:row>
      <xdr:rowOff>252412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266700</xdr:colOff>
      <xdr:row>146</xdr:row>
      <xdr:rowOff>80962</xdr:rowOff>
    </xdr:from>
    <xdr:to>
      <xdr:col>17</xdr:col>
      <xdr:colOff>266700</xdr:colOff>
      <xdr:row>155</xdr:row>
      <xdr:rowOff>252412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266700</xdr:colOff>
      <xdr:row>172</xdr:row>
      <xdr:rowOff>80962</xdr:rowOff>
    </xdr:from>
    <xdr:to>
      <xdr:col>17</xdr:col>
      <xdr:colOff>266700</xdr:colOff>
      <xdr:row>181</xdr:row>
      <xdr:rowOff>252412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266700</xdr:colOff>
      <xdr:row>198</xdr:row>
      <xdr:rowOff>80962</xdr:rowOff>
    </xdr:from>
    <xdr:to>
      <xdr:col>17</xdr:col>
      <xdr:colOff>266700</xdr:colOff>
      <xdr:row>207</xdr:row>
      <xdr:rowOff>252412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266700</xdr:colOff>
      <xdr:row>224</xdr:row>
      <xdr:rowOff>80962</xdr:rowOff>
    </xdr:from>
    <xdr:to>
      <xdr:col>17</xdr:col>
      <xdr:colOff>266700</xdr:colOff>
      <xdr:row>233</xdr:row>
      <xdr:rowOff>252412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266700</xdr:colOff>
      <xdr:row>250</xdr:row>
      <xdr:rowOff>80962</xdr:rowOff>
    </xdr:from>
    <xdr:to>
      <xdr:col>17</xdr:col>
      <xdr:colOff>266700</xdr:colOff>
      <xdr:row>259</xdr:row>
      <xdr:rowOff>252412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266700</xdr:colOff>
      <xdr:row>276</xdr:row>
      <xdr:rowOff>80962</xdr:rowOff>
    </xdr:from>
    <xdr:to>
      <xdr:col>17</xdr:col>
      <xdr:colOff>266700</xdr:colOff>
      <xdr:row>285</xdr:row>
      <xdr:rowOff>252412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266700</xdr:colOff>
      <xdr:row>302</xdr:row>
      <xdr:rowOff>80962</xdr:rowOff>
    </xdr:from>
    <xdr:to>
      <xdr:col>17</xdr:col>
      <xdr:colOff>266700</xdr:colOff>
      <xdr:row>311</xdr:row>
      <xdr:rowOff>252412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266700</xdr:colOff>
      <xdr:row>328</xdr:row>
      <xdr:rowOff>80962</xdr:rowOff>
    </xdr:from>
    <xdr:to>
      <xdr:col>17</xdr:col>
      <xdr:colOff>266700</xdr:colOff>
      <xdr:row>337</xdr:row>
      <xdr:rowOff>252412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266700</xdr:colOff>
      <xdr:row>354</xdr:row>
      <xdr:rowOff>80962</xdr:rowOff>
    </xdr:from>
    <xdr:to>
      <xdr:col>17</xdr:col>
      <xdr:colOff>266700</xdr:colOff>
      <xdr:row>363</xdr:row>
      <xdr:rowOff>252412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266700</xdr:colOff>
      <xdr:row>380</xdr:row>
      <xdr:rowOff>80962</xdr:rowOff>
    </xdr:from>
    <xdr:to>
      <xdr:col>17</xdr:col>
      <xdr:colOff>266700</xdr:colOff>
      <xdr:row>389</xdr:row>
      <xdr:rowOff>252412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266700</xdr:colOff>
      <xdr:row>406</xdr:row>
      <xdr:rowOff>80962</xdr:rowOff>
    </xdr:from>
    <xdr:to>
      <xdr:col>17</xdr:col>
      <xdr:colOff>266700</xdr:colOff>
      <xdr:row>415</xdr:row>
      <xdr:rowOff>252412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266700</xdr:colOff>
      <xdr:row>432</xdr:row>
      <xdr:rowOff>80962</xdr:rowOff>
    </xdr:from>
    <xdr:to>
      <xdr:col>17</xdr:col>
      <xdr:colOff>266700</xdr:colOff>
      <xdr:row>441</xdr:row>
      <xdr:rowOff>252412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266700</xdr:colOff>
      <xdr:row>458</xdr:row>
      <xdr:rowOff>80962</xdr:rowOff>
    </xdr:from>
    <xdr:to>
      <xdr:col>17</xdr:col>
      <xdr:colOff>266700</xdr:colOff>
      <xdr:row>467</xdr:row>
      <xdr:rowOff>252412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266700</xdr:colOff>
      <xdr:row>484</xdr:row>
      <xdr:rowOff>80962</xdr:rowOff>
    </xdr:from>
    <xdr:to>
      <xdr:col>17</xdr:col>
      <xdr:colOff>266700</xdr:colOff>
      <xdr:row>493</xdr:row>
      <xdr:rowOff>252412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266700</xdr:colOff>
      <xdr:row>510</xdr:row>
      <xdr:rowOff>80962</xdr:rowOff>
    </xdr:from>
    <xdr:to>
      <xdr:col>17</xdr:col>
      <xdr:colOff>266700</xdr:colOff>
      <xdr:row>519</xdr:row>
      <xdr:rowOff>252412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266700</xdr:colOff>
      <xdr:row>536</xdr:row>
      <xdr:rowOff>80962</xdr:rowOff>
    </xdr:from>
    <xdr:to>
      <xdr:col>17</xdr:col>
      <xdr:colOff>266700</xdr:colOff>
      <xdr:row>545</xdr:row>
      <xdr:rowOff>252412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_TEST" displayName="T_TEST" ref="B2:L22" totalsRowShown="0" headerRowDxfId="16" dataDxfId="14" headerRowBorderDxfId="15" tableBorderDxfId="13" totalsRowBorderDxfId="12">
  <autoFilter ref="B2:L22" xr:uid="{00000000-0009-0000-0100-000001000000}"/>
  <tableColumns count="11">
    <tableColumn id="1" xr3:uid="{00000000-0010-0000-0000-000001000000}" name="学籍番号" dataDxfId="11"/>
    <tableColumn id="2" xr3:uid="{00000000-0010-0000-0000-000002000000}" name="クラス" dataDxfId="10"/>
    <tableColumn id="3" xr3:uid="{00000000-0010-0000-0000-000003000000}" name="番号" dataDxfId="9"/>
    <tableColumn id="4" xr3:uid="{00000000-0010-0000-0000-000004000000}" name="名前" dataDxfId="8"/>
    <tableColumn id="5" xr3:uid="{00000000-0010-0000-0000-000005000000}" name="語彙" dataDxfId="7"/>
    <tableColumn id="6" xr3:uid="{00000000-0010-0000-0000-000006000000}" name="聴解" dataDxfId="6"/>
    <tableColumn id="7" xr3:uid="{00000000-0010-0000-0000-000007000000}" name="読解" dataDxfId="5"/>
    <tableColumn id="8" xr3:uid="{00000000-0010-0000-0000-000008000000}" name="文法" dataDxfId="4"/>
    <tableColumn id="9" xr3:uid="{00000000-0010-0000-0000-000009000000}" name="作文" dataDxfId="3"/>
    <tableColumn id="10" xr3:uid="{00000000-0010-0000-0000-00000A000000}" name="会話" dataDxfId="2"/>
    <tableColumn id="11" xr3:uid="{00000000-0010-0000-0000-00000B000000}" name="合計" dataDxfId="1">
      <calculatedColumnFormula>SUM(T_TEST[[#This Row],[語彙]:[会話]])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022-04PC\&#25945;&#21209;&#23460;&#20849;&#26377;&#12501;&#12449;&#12452;&#12523;\&#23398;&#29983;&#29366;&#27841;\&#12486;&#12473;&#12488;&#32080;&#26524;\&#23450;&#26399;&#12486;&#12473;&#12488;\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file:///\\2022-04PC\&#25945;&#21209;&#23460;&#20849;&#26377;&#12501;&#12449;&#12452;&#12523;\&#23398;&#29983;&#29366;&#27841;\&#20986;&#24109;&#29575;\&#20986;&#24109;&#29575;&#20986;&#21147;.xlsx" TargetMode="Externa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22"/>
  <sheetViews>
    <sheetView workbookViewId="0">
      <selection activeCell="J3" sqref="J3:J22"/>
    </sheetView>
  </sheetViews>
  <sheetFormatPr defaultRowHeight="18.75" x14ac:dyDescent="0.4"/>
  <cols>
    <col min="2" max="2" width="10.75" customWidth="1"/>
    <col min="3" max="3" width="7.75" customWidth="1"/>
    <col min="4" max="4" width="6.75" customWidth="1"/>
    <col min="5" max="5" width="26.75" bestFit="1" customWidth="1"/>
    <col min="6" max="12" width="6.75" customWidth="1"/>
  </cols>
  <sheetData>
    <row r="1" spans="2:13" x14ac:dyDescent="0.4">
      <c r="M1" s="13" t="s">
        <v>28</v>
      </c>
    </row>
    <row r="2" spans="2:13" x14ac:dyDescent="0.4">
      <c r="B2" s="1" t="s">
        <v>11</v>
      </c>
      <c r="C2" s="1" t="s">
        <v>0</v>
      </c>
      <c r="D2" s="1" t="s">
        <v>1</v>
      </c>
      <c r="E2" s="1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8</v>
      </c>
      <c r="K2" s="2" t="s">
        <v>9</v>
      </c>
      <c r="L2" s="3" t="s">
        <v>7</v>
      </c>
    </row>
    <row r="3" spans="2:13" x14ac:dyDescent="0.4">
      <c r="B3" s="1">
        <v>2304010</v>
      </c>
      <c r="C3" s="1" t="s">
        <v>53</v>
      </c>
      <c r="D3" s="1">
        <v>1</v>
      </c>
      <c r="E3" s="1" t="s">
        <v>54</v>
      </c>
      <c r="F3" s="1">
        <v>58</v>
      </c>
      <c r="G3" s="1">
        <v>71</v>
      </c>
      <c r="H3" s="1">
        <v>63</v>
      </c>
      <c r="I3" s="1">
        <v>59</v>
      </c>
      <c r="J3" s="5">
        <v>63</v>
      </c>
      <c r="K3" s="5">
        <v>88</v>
      </c>
      <c r="L3" s="4">
        <f>SUM(T_TEST[[#This Row],[語彙]:[会話]])</f>
        <v>402</v>
      </c>
    </row>
    <row r="4" spans="2:13" x14ac:dyDescent="0.4">
      <c r="B4" s="1">
        <v>2304067</v>
      </c>
      <c r="C4" s="1" t="s">
        <v>53</v>
      </c>
      <c r="D4" s="1">
        <v>2</v>
      </c>
      <c r="E4" s="1" t="s">
        <v>55</v>
      </c>
      <c r="F4" s="1">
        <v>39</v>
      </c>
      <c r="G4" s="1">
        <v>67</v>
      </c>
      <c r="H4" s="1">
        <v>55</v>
      </c>
      <c r="I4" s="1">
        <v>63</v>
      </c>
      <c r="J4" s="1">
        <v>78</v>
      </c>
      <c r="K4" s="1">
        <v>84</v>
      </c>
      <c r="L4" s="4">
        <f>SUM(T_TEST[[#This Row],[語彙]:[会話]])</f>
        <v>386</v>
      </c>
    </row>
    <row r="5" spans="2:13" x14ac:dyDescent="0.4">
      <c r="B5" s="1">
        <v>2304069</v>
      </c>
      <c r="C5" s="1" t="s">
        <v>53</v>
      </c>
      <c r="D5" s="1">
        <v>3</v>
      </c>
      <c r="E5" s="1" t="s">
        <v>56</v>
      </c>
      <c r="F5" s="1">
        <v>45</v>
      </c>
      <c r="G5" s="1">
        <v>82</v>
      </c>
      <c r="H5" s="1">
        <v>66</v>
      </c>
      <c r="I5" s="1">
        <v>67</v>
      </c>
      <c r="J5" s="1">
        <v>71</v>
      </c>
      <c r="K5" s="1">
        <v>76</v>
      </c>
      <c r="L5" s="4">
        <f>SUM(T_TEST[[#This Row],[語彙]:[会話]])</f>
        <v>407</v>
      </c>
    </row>
    <row r="6" spans="2:13" x14ac:dyDescent="0.4">
      <c r="B6" s="1">
        <v>2304070</v>
      </c>
      <c r="C6" s="1" t="s">
        <v>53</v>
      </c>
      <c r="D6" s="1">
        <v>4</v>
      </c>
      <c r="E6" s="1" t="s">
        <v>57</v>
      </c>
      <c r="F6" s="1">
        <v>26</v>
      </c>
      <c r="G6" s="1">
        <v>57</v>
      </c>
      <c r="H6" s="1">
        <v>37</v>
      </c>
      <c r="I6" s="1">
        <v>37</v>
      </c>
      <c r="J6" s="1">
        <v>72</v>
      </c>
      <c r="K6" s="1">
        <v>90</v>
      </c>
      <c r="L6" s="4">
        <f>SUM(T_TEST[[#This Row],[語彙]:[会話]])</f>
        <v>319</v>
      </c>
    </row>
    <row r="7" spans="2:13" x14ac:dyDescent="0.4">
      <c r="B7" s="1">
        <v>2304071</v>
      </c>
      <c r="C7" s="1" t="s">
        <v>53</v>
      </c>
      <c r="D7" s="1">
        <v>5</v>
      </c>
      <c r="E7" s="1" t="s">
        <v>58</v>
      </c>
      <c r="F7" s="1">
        <v>60</v>
      </c>
      <c r="G7" s="1">
        <v>82</v>
      </c>
      <c r="H7" s="1">
        <v>59</v>
      </c>
      <c r="I7" s="1">
        <v>85</v>
      </c>
      <c r="J7" s="1">
        <v>62</v>
      </c>
      <c r="K7" s="1">
        <v>82</v>
      </c>
      <c r="L7" s="4">
        <f>SUM(T_TEST[[#This Row],[語彙]:[会話]])</f>
        <v>430</v>
      </c>
    </row>
    <row r="8" spans="2:13" x14ac:dyDescent="0.4">
      <c r="B8" s="1">
        <v>2304072</v>
      </c>
      <c r="C8" s="1" t="s">
        <v>53</v>
      </c>
      <c r="D8" s="1">
        <v>6</v>
      </c>
      <c r="E8" s="1" t="s">
        <v>59</v>
      </c>
      <c r="F8" s="1">
        <v>54</v>
      </c>
      <c r="G8" s="1">
        <v>67</v>
      </c>
      <c r="H8" s="1">
        <v>53</v>
      </c>
      <c r="I8" s="1">
        <v>69</v>
      </c>
      <c r="J8" s="1">
        <v>73</v>
      </c>
      <c r="K8" s="1">
        <v>82</v>
      </c>
      <c r="L8" s="4">
        <f>SUM(T_TEST[[#This Row],[語彙]:[会話]])</f>
        <v>398</v>
      </c>
    </row>
    <row r="9" spans="2:13" x14ac:dyDescent="0.4">
      <c r="B9" s="1">
        <v>2304073</v>
      </c>
      <c r="C9" s="1" t="s">
        <v>53</v>
      </c>
      <c r="D9" s="1">
        <v>7</v>
      </c>
      <c r="E9" s="1" t="s">
        <v>60</v>
      </c>
      <c r="F9" s="1">
        <v>60</v>
      </c>
      <c r="G9" s="1">
        <v>67</v>
      </c>
      <c r="H9" s="1">
        <v>73</v>
      </c>
      <c r="I9" s="1">
        <v>74</v>
      </c>
      <c r="J9" s="1">
        <v>82</v>
      </c>
      <c r="K9" s="1">
        <v>88</v>
      </c>
      <c r="L9" s="4">
        <f>SUM(T_TEST[[#This Row],[語彙]:[会話]])</f>
        <v>444</v>
      </c>
    </row>
    <row r="10" spans="2:13" x14ac:dyDescent="0.4">
      <c r="B10" s="1">
        <v>2304074</v>
      </c>
      <c r="C10" s="1" t="s">
        <v>53</v>
      </c>
      <c r="D10" s="1">
        <v>8</v>
      </c>
      <c r="E10" s="1" t="s">
        <v>61</v>
      </c>
      <c r="F10" s="1">
        <v>42</v>
      </c>
      <c r="G10" s="1">
        <v>75</v>
      </c>
      <c r="H10" s="1">
        <v>84</v>
      </c>
      <c r="I10" s="1">
        <v>75</v>
      </c>
      <c r="J10" s="1">
        <v>81</v>
      </c>
      <c r="K10" s="1">
        <v>84</v>
      </c>
      <c r="L10" s="4">
        <f>SUM(T_TEST[[#This Row],[語彙]:[会話]])</f>
        <v>441</v>
      </c>
    </row>
    <row r="11" spans="2:13" x14ac:dyDescent="0.4">
      <c r="B11" s="1">
        <v>2304075</v>
      </c>
      <c r="C11" s="1" t="s">
        <v>53</v>
      </c>
      <c r="D11" s="1">
        <v>9</v>
      </c>
      <c r="E11" s="1" t="s">
        <v>62</v>
      </c>
      <c r="F11" s="1">
        <v>65</v>
      </c>
      <c r="G11" s="1">
        <v>67</v>
      </c>
      <c r="H11" s="1">
        <v>71</v>
      </c>
      <c r="I11" s="1">
        <v>86</v>
      </c>
      <c r="J11" s="1">
        <v>71</v>
      </c>
      <c r="K11" s="1">
        <v>86</v>
      </c>
      <c r="L11" s="4">
        <f>SUM(T_TEST[[#This Row],[語彙]:[会話]])</f>
        <v>446</v>
      </c>
    </row>
    <row r="12" spans="2:13" x14ac:dyDescent="0.4">
      <c r="B12" s="1">
        <v>2304090</v>
      </c>
      <c r="C12" s="1" t="s">
        <v>53</v>
      </c>
      <c r="D12" s="1">
        <v>10</v>
      </c>
      <c r="E12" s="1" t="s">
        <v>63</v>
      </c>
      <c r="F12" s="1">
        <v>48</v>
      </c>
      <c r="G12" s="1">
        <v>60</v>
      </c>
      <c r="H12" s="1">
        <v>58</v>
      </c>
      <c r="I12" s="1">
        <v>68</v>
      </c>
      <c r="J12" s="1">
        <v>71</v>
      </c>
      <c r="K12" s="1">
        <v>88</v>
      </c>
      <c r="L12" s="4">
        <f>SUM(T_TEST[[#This Row],[語彙]:[会話]])</f>
        <v>393</v>
      </c>
    </row>
    <row r="13" spans="2:13" x14ac:dyDescent="0.4">
      <c r="B13" s="1">
        <v>2304092</v>
      </c>
      <c r="C13" s="1" t="s">
        <v>53</v>
      </c>
      <c r="D13" s="1">
        <v>11</v>
      </c>
      <c r="E13" s="1" t="s">
        <v>64</v>
      </c>
      <c r="F13" s="1">
        <v>39</v>
      </c>
      <c r="G13" s="1">
        <v>57</v>
      </c>
      <c r="H13" s="1">
        <v>59</v>
      </c>
      <c r="I13" s="1">
        <v>68</v>
      </c>
      <c r="J13" s="1">
        <v>55</v>
      </c>
      <c r="K13" s="1">
        <v>82</v>
      </c>
      <c r="L13" s="4">
        <f>SUM(T_TEST[[#This Row],[語彙]:[会話]])</f>
        <v>360</v>
      </c>
    </row>
    <row r="14" spans="2:13" x14ac:dyDescent="0.4">
      <c r="B14" s="1">
        <v>2304093</v>
      </c>
      <c r="C14" s="1" t="s">
        <v>53</v>
      </c>
      <c r="D14" s="1">
        <v>12</v>
      </c>
      <c r="E14" s="1" t="s">
        <v>65</v>
      </c>
      <c r="F14" s="1">
        <v>53</v>
      </c>
      <c r="G14" s="1">
        <v>67</v>
      </c>
      <c r="H14" s="1">
        <v>43</v>
      </c>
      <c r="I14" s="1">
        <v>76</v>
      </c>
      <c r="J14" s="1">
        <v>82</v>
      </c>
      <c r="K14" s="1">
        <v>84</v>
      </c>
      <c r="L14" s="4">
        <f>SUM(T_TEST[[#This Row],[語彙]:[会話]])</f>
        <v>405</v>
      </c>
    </row>
    <row r="15" spans="2:13" x14ac:dyDescent="0.4">
      <c r="B15" s="1">
        <v>2304095</v>
      </c>
      <c r="C15" s="1" t="s">
        <v>53</v>
      </c>
      <c r="D15" s="1">
        <v>13</v>
      </c>
      <c r="E15" s="1" t="s">
        <v>66</v>
      </c>
      <c r="F15" s="1">
        <v>53</v>
      </c>
      <c r="G15" s="1">
        <v>71</v>
      </c>
      <c r="H15" s="1">
        <v>58</v>
      </c>
      <c r="I15" s="1">
        <v>71</v>
      </c>
      <c r="J15" s="1">
        <v>70</v>
      </c>
      <c r="K15" s="1">
        <v>86</v>
      </c>
      <c r="L15" s="4">
        <f>SUM(T_TEST[[#This Row],[語彙]:[会話]])</f>
        <v>409</v>
      </c>
    </row>
    <row r="16" spans="2:13" x14ac:dyDescent="0.4">
      <c r="B16" s="1">
        <v>2307002</v>
      </c>
      <c r="C16" s="1" t="s">
        <v>53</v>
      </c>
      <c r="D16" s="1">
        <v>14</v>
      </c>
      <c r="E16" s="1" t="s">
        <v>67</v>
      </c>
      <c r="F16" s="1">
        <v>70</v>
      </c>
      <c r="G16" s="1">
        <v>64</v>
      </c>
      <c r="H16" s="1">
        <v>83</v>
      </c>
      <c r="I16" s="1">
        <v>66</v>
      </c>
      <c r="J16" s="1">
        <v>98</v>
      </c>
      <c r="K16" s="1">
        <v>80</v>
      </c>
      <c r="L16" s="4">
        <f>SUM(T_TEST[[#This Row],[語彙]:[会話]])</f>
        <v>461</v>
      </c>
    </row>
    <row r="17" spans="2:12" x14ac:dyDescent="0.4">
      <c r="B17" s="1">
        <v>2307004</v>
      </c>
      <c r="C17" s="1" t="s">
        <v>53</v>
      </c>
      <c r="D17" s="1">
        <v>15</v>
      </c>
      <c r="E17" s="1" t="s">
        <v>68</v>
      </c>
      <c r="F17" s="1">
        <v>71</v>
      </c>
      <c r="G17" s="1">
        <v>75</v>
      </c>
      <c r="H17" s="1">
        <v>63</v>
      </c>
      <c r="I17" s="1">
        <v>78</v>
      </c>
      <c r="J17" s="1">
        <v>81</v>
      </c>
      <c r="K17" s="1">
        <v>76</v>
      </c>
      <c r="L17" s="4">
        <f>SUM(T_TEST[[#This Row],[語彙]:[会話]])</f>
        <v>444</v>
      </c>
    </row>
    <row r="18" spans="2:12" x14ac:dyDescent="0.4">
      <c r="B18" s="1">
        <v>2307007</v>
      </c>
      <c r="C18" s="1" t="s">
        <v>53</v>
      </c>
      <c r="D18" s="1">
        <v>16</v>
      </c>
      <c r="E18" s="1" t="s">
        <v>69</v>
      </c>
      <c r="F18" s="1">
        <v>52</v>
      </c>
      <c r="G18" s="1">
        <v>53</v>
      </c>
      <c r="H18" s="1">
        <v>64</v>
      </c>
      <c r="I18" s="1">
        <v>81</v>
      </c>
      <c r="J18" s="1">
        <v>71</v>
      </c>
      <c r="K18" s="1">
        <v>80</v>
      </c>
      <c r="L18" s="4">
        <f>SUM(T_TEST[[#This Row],[語彙]:[会話]])</f>
        <v>401</v>
      </c>
    </row>
    <row r="19" spans="2:12" x14ac:dyDescent="0.4">
      <c r="B19" s="1">
        <v>2307011</v>
      </c>
      <c r="C19" s="1" t="s">
        <v>53</v>
      </c>
      <c r="D19" s="1">
        <v>17</v>
      </c>
      <c r="E19" s="1" t="s">
        <v>70</v>
      </c>
      <c r="F19" s="1">
        <v>67</v>
      </c>
      <c r="G19" s="1">
        <v>75</v>
      </c>
      <c r="H19" s="1">
        <v>57</v>
      </c>
      <c r="I19" s="1">
        <v>86</v>
      </c>
      <c r="J19" s="1">
        <v>72</v>
      </c>
      <c r="K19" s="1">
        <v>90</v>
      </c>
      <c r="L19" s="4">
        <f>SUM(T_TEST[[#This Row],[語彙]:[会話]])</f>
        <v>447</v>
      </c>
    </row>
    <row r="20" spans="2:12" x14ac:dyDescent="0.4">
      <c r="B20" s="1">
        <v>2310016</v>
      </c>
      <c r="C20" s="1" t="s">
        <v>53</v>
      </c>
      <c r="D20" s="1">
        <v>18</v>
      </c>
      <c r="E20" s="1" t="s">
        <v>71</v>
      </c>
      <c r="F20" s="1">
        <v>69</v>
      </c>
      <c r="G20" s="1">
        <v>82</v>
      </c>
      <c r="H20" s="1">
        <v>75</v>
      </c>
      <c r="I20" s="1">
        <v>87</v>
      </c>
      <c r="J20" s="1">
        <v>91</v>
      </c>
      <c r="K20" s="1">
        <v>100</v>
      </c>
      <c r="L20" s="4">
        <f>SUM(T_TEST[[#This Row],[語彙]:[会話]])</f>
        <v>504</v>
      </c>
    </row>
    <row r="21" spans="2:12" x14ac:dyDescent="0.4">
      <c r="B21" s="1">
        <v>2404091</v>
      </c>
      <c r="C21" s="1" t="s">
        <v>53</v>
      </c>
      <c r="D21" s="1">
        <v>19</v>
      </c>
      <c r="E21" s="1" t="s">
        <v>72</v>
      </c>
      <c r="F21" s="1">
        <v>42</v>
      </c>
      <c r="G21" s="1">
        <v>71</v>
      </c>
      <c r="H21" s="1">
        <v>33</v>
      </c>
      <c r="I21" s="1">
        <v>62</v>
      </c>
      <c r="J21" s="1">
        <v>70</v>
      </c>
      <c r="K21" s="1">
        <v>90</v>
      </c>
      <c r="L21" s="4">
        <f>SUM(T_TEST[[#This Row],[語彙]:[会話]])</f>
        <v>368</v>
      </c>
    </row>
    <row r="22" spans="2:12" x14ac:dyDescent="0.4">
      <c r="B22" s="1">
        <v>2404159</v>
      </c>
      <c r="C22" s="1" t="s">
        <v>53</v>
      </c>
      <c r="D22" s="1">
        <v>20</v>
      </c>
      <c r="E22" s="1" t="s">
        <v>73</v>
      </c>
      <c r="F22" s="1">
        <v>46</v>
      </c>
      <c r="G22" s="1">
        <v>64</v>
      </c>
      <c r="H22" s="1">
        <v>50</v>
      </c>
      <c r="I22" s="1">
        <v>72</v>
      </c>
      <c r="J22" s="1">
        <v>70</v>
      </c>
      <c r="K22" s="1">
        <v>82</v>
      </c>
      <c r="L22" s="4">
        <f>SUM(T_TEST[[#This Row],[語彙]:[会話]])</f>
        <v>384</v>
      </c>
    </row>
  </sheetData>
  <phoneticPr fontId="4"/>
  <hyperlinks>
    <hyperlink ref="M1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学生コピー①">
                <anchor moveWithCells="1">
                  <from>
                    <xdr:col>12</xdr:col>
                    <xdr:colOff>95250</xdr:colOff>
                    <xdr:row>12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I500"/>
  <sheetViews>
    <sheetView workbookViewId="0">
      <selection activeCell="B3" sqref="B3:G500"/>
    </sheetView>
  </sheetViews>
  <sheetFormatPr defaultRowHeight="18.75" x14ac:dyDescent="0.4"/>
  <cols>
    <col min="2" max="2" width="10.75" customWidth="1"/>
    <col min="3" max="3" width="30" bestFit="1" customWidth="1"/>
    <col min="4" max="4" width="6.75" customWidth="1"/>
    <col min="5" max="7" width="11" bestFit="1" customWidth="1"/>
  </cols>
  <sheetData>
    <row r="2" spans="2:9" x14ac:dyDescent="0.4">
      <c r="B2" s="1" t="s">
        <v>11</v>
      </c>
      <c r="C2" s="1" t="s">
        <v>2</v>
      </c>
      <c r="D2" s="1" t="s">
        <v>12</v>
      </c>
      <c r="E2" s="1" t="s">
        <v>13</v>
      </c>
      <c r="F2" s="1" t="s">
        <v>14</v>
      </c>
      <c r="G2" s="1" t="s">
        <v>15</v>
      </c>
      <c r="I2" s="13" t="s">
        <v>27</v>
      </c>
    </row>
    <row r="3" spans="2:9" x14ac:dyDescent="0.4">
      <c r="B3">
        <v>2304001</v>
      </c>
      <c r="C3" t="s">
        <v>74</v>
      </c>
      <c r="D3" t="s">
        <v>210</v>
      </c>
      <c r="E3" t="s">
        <v>75</v>
      </c>
      <c r="F3" t="s">
        <v>782</v>
      </c>
      <c r="G3" t="s">
        <v>783</v>
      </c>
    </row>
    <row r="4" spans="2:9" x14ac:dyDescent="0.4">
      <c r="B4">
        <v>2304002</v>
      </c>
      <c r="C4" t="s">
        <v>76</v>
      </c>
      <c r="D4" t="s">
        <v>784</v>
      </c>
      <c r="E4" t="s">
        <v>128</v>
      </c>
      <c r="F4" t="s">
        <v>79</v>
      </c>
      <c r="G4" t="s">
        <v>785</v>
      </c>
    </row>
    <row r="5" spans="2:9" x14ac:dyDescent="0.4">
      <c r="B5">
        <v>2304003</v>
      </c>
      <c r="C5" t="s">
        <v>81</v>
      </c>
      <c r="D5" t="s">
        <v>786</v>
      </c>
      <c r="E5" t="s">
        <v>204</v>
      </c>
      <c r="F5" t="s">
        <v>787</v>
      </c>
      <c r="G5" t="s">
        <v>788</v>
      </c>
    </row>
    <row r="6" spans="2:9" x14ac:dyDescent="0.4">
      <c r="B6">
        <v>2304005</v>
      </c>
      <c r="C6" t="s">
        <v>85</v>
      </c>
      <c r="D6" t="s">
        <v>789</v>
      </c>
      <c r="E6" t="s">
        <v>161</v>
      </c>
      <c r="F6" t="s">
        <v>88</v>
      </c>
      <c r="G6" t="s">
        <v>790</v>
      </c>
    </row>
    <row r="7" spans="2:9" x14ac:dyDescent="0.4">
      <c r="B7">
        <v>2304010</v>
      </c>
      <c r="C7" t="s">
        <v>90</v>
      </c>
      <c r="D7" t="s">
        <v>791</v>
      </c>
      <c r="E7" t="s">
        <v>152</v>
      </c>
      <c r="F7" t="s">
        <v>260</v>
      </c>
      <c r="G7" t="s">
        <v>366</v>
      </c>
    </row>
    <row r="8" spans="2:9" x14ac:dyDescent="0.4">
      <c r="B8">
        <v>2304014</v>
      </c>
      <c r="C8" t="s">
        <v>93</v>
      </c>
      <c r="D8" t="s">
        <v>792</v>
      </c>
      <c r="E8" t="s">
        <v>88</v>
      </c>
      <c r="F8" t="s">
        <v>793</v>
      </c>
      <c r="G8" t="s">
        <v>794</v>
      </c>
    </row>
    <row r="9" spans="2:9" x14ac:dyDescent="0.4">
      <c r="B9">
        <v>2304015</v>
      </c>
      <c r="C9" t="s">
        <v>94</v>
      </c>
      <c r="D9" t="s">
        <v>101</v>
      </c>
      <c r="E9" t="s">
        <v>182</v>
      </c>
      <c r="F9" t="s">
        <v>84</v>
      </c>
      <c r="G9" t="s">
        <v>795</v>
      </c>
    </row>
    <row r="10" spans="2:9" x14ac:dyDescent="0.4">
      <c r="B10">
        <v>2304017</v>
      </c>
      <c r="C10" t="s">
        <v>97</v>
      </c>
      <c r="D10" t="s">
        <v>796</v>
      </c>
      <c r="E10" t="s">
        <v>137</v>
      </c>
      <c r="F10" t="s">
        <v>797</v>
      </c>
      <c r="G10" t="s">
        <v>798</v>
      </c>
    </row>
    <row r="11" spans="2:9" x14ac:dyDescent="0.4">
      <c r="B11">
        <v>2304019</v>
      </c>
      <c r="C11" t="s">
        <v>99</v>
      </c>
      <c r="D11" t="s">
        <v>799</v>
      </c>
      <c r="E11" t="s">
        <v>88</v>
      </c>
      <c r="F11" t="s">
        <v>83</v>
      </c>
      <c r="G11" t="s">
        <v>800</v>
      </c>
    </row>
    <row r="12" spans="2:9" x14ac:dyDescent="0.4">
      <c r="B12">
        <v>2304020</v>
      </c>
      <c r="C12" t="s">
        <v>100</v>
      </c>
      <c r="D12" t="s">
        <v>801</v>
      </c>
      <c r="E12" t="s">
        <v>88</v>
      </c>
      <c r="F12" t="s">
        <v>88</v>
      </c>
      <c r="G12" t="s">
        <v>89</v>
      </c>
    </row>
    <row r="13" spans="2:9" x14ac:dyDescent="0.4">
      <c r="B13">
        <v>2304021</v>
      </c>
      <c r="C13" t="s">
        <v>102</v>
      </c>
      <c r="D13" t="s">
        <v>802</v>
      </c>
      <c r="E13" t="s">
        <v>78</v>
      </c>
      <c r="F13" t="s">
        <v>104</v>
      </c>
      <c r="G13" t="s">
        <v>430</v>
      </c>
    </row>
    <row r="14" spans="2:9" x14ac:dyDescent="0.4">
      <c r="B14">
        <v>2304022</v>
      </c>
      <c r="C14" t="s">
        <v>106</v>
      </c>
      <c r="D14" t="s">
        <v>803</v>
      </c>
      <c r="E14" t="s">
        <v>108</v>
      </c>
      <c r="F14" t="s">
        <v>804</v>
      </c>
      <c r="G14" t="s">
        <v>805</v>
      </c>
    </row>
    <row r="15" spans="2:9" x14ac:dyDescent="0.4">
      <c r="B15">
        <v>2304023</v>
      </c>
      <c r="C15" t="s">
        <v>110</v>
      </c>
      <c r="D15" t="s">
        <v>101</v>
      </c>
      <c r="E15" t="s">
        <v>78</v>
      </c>
      <c r="F15" t="s">
        <v>112</v>
      </c>
      <c r="G15" t="s">
        <v>143</v>
      </c>
    </row>
    <row r="16" spans="2:9" x14ac:dyDescent="0.4">
      <c r="B16">
        <v>2304024</v>
      </c>
      <c r="C16" t="s">
        <v>113</v>
      </c>
      <c r="D16" t="s">
        <v>806</v>
      </c>
      <c r="E16" t="s">
        <v>75</v>
      </c>
      <c r="F16" t="s">
        <v>87</v>
      </c>
      <c r="G16" t="s">
        <v>507</v>
      </c>
    </row>
    <row r="17" spans="2:7" x14ac:dyDescent="0.4">
      <c r="B17">
        <v>2304025</v>
      </c>
      <c r="C17" t="s">
        <v>116</v>
      </c>
      <c r="D17" t="s">
        <v>807</v>
      </c>
      <c r="E17" t="s">
        <v>121</v>
      </c>
      <c r="F17" t="s">
        <v>118</v>
      </c>
      <c r="G17" t="s">
        <v>88</v>
      </c>
    </row>
    <row r="18" spans="2:7" x14ac:dyDescent="0.4">
      <c r="B18">
        <v>2304026</v>
      </c>
      <c r="C18" t="s">
        <v>119</v>
      </c>
      <c r="D18" t="s">
        <v>807</v>
      </c>
      <c r="E18" t="s">
        <v>88</v>
      </c>
      <c r="F18" t="s">
        <v>88</v>
      </c>
      <c r="G18" t="s">
        <v>89</v>
      </c>
    </row>
    <row r="19" spans="2:7" x14ac:dyDescent="0.4">
      <c r="B19">
        <v>2304027</v>
      </c>
      <c r="C19" t="s">
        <v>120</v>
      </c>
      <c r="D19" t="s">
        <v>808</v>
      </c>
      <c r="E19" t="s">
        <v>88</v>
      </c>
      <c r="F19" t="s">
        <v>121</v>
      </c>
      <c r="G19" t="s">
        <v>122</v>
      </c>
    </row>
    <row r="20" spans="2:7" x14ac:dyDescent="0.4">
      <c r="B20">
        <v>2304028</v>
      </c>
      <c r="C20" t="s">
        <v>123</v>
      </c>
      <c r="D20" t="s">
        <v>809</v>
      </c>
      <c r="E20" t="s">
        <v>88</v>
      </c>
      <c r="F20" t="s">
        <v>125</v>
      </c>
      <c r="G20" t="s">
        <v>379</v>
      </c>
    </row>
    <row r="21" spans="2:7" x14ac:dyDescent="0.4">
      <c r="B21">
        <v>2304029</v>
      </c>
      <c r="C21" t="s">
        <v>127</v>
      </c>
      <c r="D21" t="s">
        <v>810</v>
      </c>
      <c r="E21" t="s">
        <v>88</v>
      </c>
      <c r="F21" t="s">
        <v>87</v>
      </c>
      <c r="G21" t="s">
        <v>811</v>
      </c>
    </row>
    <row r="22" spans="2:7" x14ac:dyDescent="0.4">
      <c r="B22">
        <v>2304030</v>
      </c>
      <c r="C22" t="s">
        <v>129</v>
      </c>
      <c r="D22" t="s">
        <v>812</v>
      </c>
      <c r="E22" t="s">
        <v>88</v>
      </c>
      <c r="F22" t="s">
        <v>131</v>
      </c>
      <c r="G22" t="s">
        <v>813</v>
      </c>
    </row>
    <row r="23" spans="2:7" x14ac:dyDescent="0.4">
      <c r="B23">
        <v>2304031</v>
      </c>
      <c r="C23" t="s">
        <v>132</v>
      </c>
      <c r="D23" t="s">
        <v>814</v>
      </c>
      <c r="E23" t="s">
        <v>121</v>
      </c>
      <c r="F23" t="s">
        <v>78</v>
      </c>
      <c r="G23" t="s">
        <v>742</v>
      </c>
    </row>
    <row r="24" spans="2:7" x14ac:dyDescent="0.4">
      <c r="B24">
        <v>2304032</v>
      </c>
      <c r="C24" t="s">
        <v>134</v>
      </c>
      <c r="D24" t="s">
        <v>815</v>
      </c>
      <c r="E24" t="s">
        <v>88</v>
      </c>
      <c r="F24" t="s">
        <v>118</v>
      </c>
      <c r="G24" t="s">
        <v>88</v>
      </c>
    </row>
    <row r="25" spans="2:7" x14ac:dyDescent="0.4">
      <c r="B25">
        <v>2304033</v>
      </c>
      <c r="C25" t="s">
        <v>135</v>
      </c>
      <c r="D25" t="s">
        <v>816</v>
      </c>
      <c r="E25" t="s">
        <v>75</v>
      </c>
      <c r="F25" t="s">
        <v>528</v>
      </c>
      <c r="G25" t="s">
        <v>817</v>
      </c>
    </row>
    <row r="26" spans="2:7" x14ac:dyDescent="0.4">
      <c r="B26">
        <v>2304034</v>
      </c>
      <c r="C26" t="s">
        <v>139</v>
      </c>
      <c r="D26" t="s">
        <v>818</v>
      </c>
      <c r="E26" t="s">
        <v>121</v>
      </c>
      <c r="F26" t="s">
        <v>118</v>
      </c>
      <c r="G26" t="s">
        <v>88</v>
      </c>
    </row>
    <row r="27" spans="2:7" x14ac:dyDescent="0.4">
      <c r="B27">
        <v>2304035</v>
      </c>
      <c r="C27" t="s">
        <v>141</v>
      </c>
      <c r="D27" t="s">
        <v>802</v>
      </c>
      <c r="E27" t="s">
        <v>121</v>
      </c>
      <c r="F27" t="s">
        <v>204</v>
      </c>
      <c r="G27" t="s">
        <v>407</v>
      </c>
    </row>
    <row r="28" spans="2:7" x14ac:dyDescent="0.4">
      <c r="B28">
        <v>2304036</v>
      </c>
      <c r="C28" t="s">
        <v>144</v>
      </c>
      <c r="D28" t="s">
        <v>819</v>
      </c>
      <c r="E28" t="s">
        <v>118</v>
      </c>
      <c r="F28" t="s">
        <v>118</v>
      </c>
      <c r="G28" t="s">
        <v>88</v>
      </c>
    </row>
    <row r="29" spans="2:7" x14ac:dyDescent="0.4">
      <c r="B29">
        <v>2304037</v>
      </c>
      <c r="C29" t="s">
        <v>145</v>
      </c>
      <c r="D29" t="s">
        <v>202</v>
      </c>
      <c r="E29" t="s">
        <v>131</v>
      </c>
      <c r="F29" t="s">
        <v>118</v>
      </c>
      <c r="G29" t="s">
        <v>88</v>
      </c>
    </row>
    <row r="30" spans="2:7" x14ac:dyDescent="0.4">
      <c r="B30">
        <v>2304038</v>
      </c>
      <c r="C30" t="s">
        <v>146</v>
      </c>
      <c r="D30" t="s">
        <v>91</v>
      </c>
      <c r="E30" t="s">
        <v>75</v>
      </c>
      <c r="F30" t="s">
        <v>147</v>
      </c>
      <c r="G30" t="s">
        <v>244</v>
      </c>
    </row>
    <row r="31" spans="2:7" x14ac:dyDescent="0.4">
      <c r="B31">
        <v>2304039</v>
      </c>
      <c r="C31" t="s">
        <v>148</v>
      </c>
      <c r="D31" t="s">
        <v>227</v>
      </c>
      <c r="E31" t="s">
        <v>88</v>
      </c>
      <c r="F31" t="s">
        <v>121</v>
      </c>
      <c r="G31" t="s">
        <v>122</v>
      </c>
    </row>
    <row r="32" spans="2:7" x14ac:dyDescent="0.4">
      <c r="B32">
        <v>2304040</v>
      </c>
      <c r="C32" t="s">
        <v>150</v>
      </c>
      <c r="D32" t="s">
        <v>820</v>
      </c>
      <c r="E32" t="s">
        <v>78</v>
      </c>
      <c r="F32" t="s">
        <v>152</v>
      </c>
      <c r="G32" t="s">
        <v>821</v>
      </c>
    </row>
    <row r="33" spans="2:7" x14ac:dyDescent="0.4">
      <c r="B33">
        <v>2304041</v>
      </c>
      <c r="C33" t="s">
        <v>153</v>
      </c>
      <c r="D33" t="s">
        <v>103</v>
      </c>
      <c r="E33" t="s">
        <v>112</v>
      </c>
      <c r="F33" t="s">
        <v>112</v>
      </c>
      <c r="G33" t="s">
        <v>143</v>
      </c>
    </row>
    <row r="34" spans="2:7" x14ac:dyDescent="0.4">
      <c r="B34">
        <v>2304042</v>
      </c>
      <c r="C34" t="s">
        <v>154</v>
      </c>
      <c r="D34" t="s">
        <v>77</v>
      </c>
      <c r="E34" t="s">
        <v>128</v>
      </c>
      <c r="F34" t="s">
        <v>155</v>
      </c>
      <c r="G34" t="s">
        <v>822</v>
      </c>
    </row>
    <row r="35" spans="2:7" x14ac:dyDescent="0.4">
      <c r="B35">
        <v>2304043</v>
      </c>
      <c r="C35" t="s">
        <v>156</v>
      </c>
      <c r="D35" t="s">
        <v>210</v>
      </c>
      <c r="E35" t="s">
        <v>157</v>
      </c>
      <c r="F35" t="s">
        <v>125</v>
      </c>
      <c r="G35" t="s">
        <v>603</v>
      </c>
    </row>
    <row r="36" spans="2:7" x14ac:dyDescent="0.4">
      <c r="B36">
        <v>2304044</v>
      </c>
      <c r="C36" t="s">
        <v>159</v>
      </c>
      <c r="D36" t="s">
        <v>216</v>
      </c>
      <c r="E36" t="s">
        <v>75</v>
      </c>
      <c r="F36" t="s">
        <v>118</v>
      </c>
      <c r="G36" t="s">
        <v>88</v>
      </c>
    </row>
    <row r="37" spans="2:7" x14ac:dyDescent="0.4">
      <c r="B37">
        <v>2304045</v>
      </c>
      <c r="C37" t="s">
        <v>160</v>
      </c>
      <c r="D37" t="s">
        <v>136</v>
      </c>
      <c r="E37" t="s">
        <v>204</v>
      </c>
      <c r="F37" t="s">
        <v>95</v>
      </c>
      <c r="G37" t="s">
        <v>823</v>
      </c>
    </row>
    <row r="38" spans="2:7" x14ac:dyDescent="0.4">
      <c r="B38">
        <v>2304046</v>
      </c>
      <c r="C38" t="s">
        <v>162</v>
      </c>
      <c r="D38" t="s">
        <v>824</v>
      </c>
      <c r="E38" t="s">
        <v>121</v>
      </c>
      <c r="F38" t="s">
        <v>152</v>
      </c>
      <c r="G38" t="s">
        <v>825</v>
      </c>
    </row>
    <row r="39" spans="2:7" x14ac:dyDescent="0.4">
      <c r="B39">
        <v>2304047</v>
      </c>
      <c r="C39" t="s">
        <v>164</v>
      </c>
      <c r="D39" t="s">
        <v>232</v>
      </c>
      <c r="E39" t="s">
        <v>121</v>
      </c>
      <c r="F39" t="s">
        <v>165</v>
      </c>
      <c r="G39" t="s">
        <v>703</v>
      </c>
    </row>
    <row r="40" spans="2:7" x14ac:dyDescent="0.4">
      <c r="B40">
        <v>2304048</v>
      </c>
      <c r="C40" t="s">
        <v>167</v>
      </c>
      <c r="D40" t="s">
        <v>826</v>
      </c>
      <c r="E40" t="s">
        <v>78</v>
      </c>
      <c r="F40" t="s">
        <v>118</v>
      </c>
      <c r="G40" t="s">
        <v>88</v>
      </c>
    </row>
    <row r="41" spans="2:7" x14ac:dyDescent="0.4">
      <c r="B41">
        <v>2304049</v>
      </c>
      <c r="C41" t="s">
        <v>168</v>
      </c>
      <c r="D41" t="s">
        <v>827</v>
      </c>
      <c r="E41" t="s">
        <v>128</v>
      </c>
      <c r="F41" t="s">
        <v>118</v>
      </c>
      <c r="G41" t="s">
        <v>88</v>
      </c>
    </row>
    <row r="42" spans="2:7" x14ac:dyDescent="0.4">
      <c r="B42">
        <v>2304050</v>
      </c>
      <c r="C42" t="s">
        <v>169</v>
      </c>
      <c r="D42" t="s">
        <v>828</v>
      </c>
      <c r="E42" t="s">
        <v>75</v>
      </c>
      <c r="F42" t="s">
        <v>165</v>
      </c>
      <c r="G42" t="s">
        <v>829</v>
      </c>
    </row>
    <row r="43" spans="2:7" x14ac:dyDescent="0.4">
      <c r="B43">
        <v>2304051</v>
      </c>
      <c r="C43" t="s">
        <v>170</v>
      </c>
      <c r="D43" t="s">
        <v>830</v>
      </c>
      <c r="E43" t="s">
        <v>78</v>
      </c>
      <c r="F43" t="s">
        <v>118</v>
      </c>
      <c r="G43" t="s">
        <v>88</v>
      </c>
    </row>
    <row r="44" spans="2:7" x14ac:dyDescent="0.4">
      <c r="B44">
        <v>2304052</v>
      </c>
      <c r="C44" t="s">
        <v>172</v>
      </c>
      <c r="D44" t="s">
        <v>831</v>
      </c>
      <c r="E44" t="s">
        <v>88</v>
      </c>
      <c r="F44" t="s">
        <v>157</v>
      </c>
      <c r="G44" t="s">
        <v>832</v>
      </c>
    </row>
    <row r="45" spans="2:7" x14ac:dyDescent="0.4">
      <c r="B45">
        <v>2304053</v>
      </c>
      <c r="C45" t="s">
        <v>174</v>
      </c>
      <c r="D45" t="s">
        <v>833</v>
      </c>
      <c r="E45" t="s">
        <v>75</v>
      </c>
      <c r="F45" t="s">
        <v>328</v>
      </c>
      <c r="G45" t="s">
        <v>138</v>
      </c>
    </row>
    <row r="46" spans="2:7" x14ac:dyDescent="0.4">
      <c r="B46">
        <v>2304054</v>
      </c>
      <c r="C46" t="s">
        <v>177</v>
      </c>
      <c r="D46" t="s">
        <v>227</v>
      </c>
      <c r="E46" t="s">
        <v>121</v>
      </c>
      <c r="F46" t="s">
        <v>88</v>
      </c>
      <c r="G46" t="s">
        <v>89</v>
      </c>
    </row>
    <row r="47" spans="2:7" x14ac:dyDescent="0.4">
      <c r="B47">
        <v>2304055</v>
      </c>
      <c r="C47" t="s">
        <v>178</v>
      </c>
      <c r="D47" t="s">
        <v>834</v>
      </c>
      <c r="E47" t="s">
        <v>131</v>
      </c>
      <c r="F47" t="s">
        <v>161</v>
      </c>
      <c r="G47" t="s">
        <v>185</v>
      </c>
    </row>
    <row r="48" spans="2:7" x14ac:dyDescent="0.4">
      <c r="B48">
        <v>2304056</v>
      </c>
      <c r="C48" t="s">
        <v>180</v>
      </c>
      <c r="D48" t="s">
        <v>835</v>
      </c>
      <c r="E48" t="s">
        <v>128</v>
      </c>
      <c r="F48" t="s">
        <v>161</v>
      </c>
      <c r="G48" t="s">
        <v>185</v>
      </c>
    </row>
    <row r="49" spans="2:7" x14ac:dyDescent="0.4">
      <c r="B49">
        <v>2304057</v>
      </c>
      <c r="C49" t="s">
        <v>181</v>
      </c>
      <c r="D49" t="s">
        <v>816</v>
      </c>
      <c r="E49" t="s">
        <v>204</v>
      </c>
      <c r="F49" t="s">
        <v>237</v>
      </c>
      <c r="G49" t="s">
        <v>575</v>
      </c>
    </row>
    <row r="50" spans="2:7" x14ac:dyDescent="0.4">
      <c r="B50">
        <v>2304058</v>
      </c>
      <c r="C50" t="s">
        <v>184</v>
      </c>
      <c r="D50" t="s">
        <v>836</v>
      </c>
      <c r="E50" t="s">
        <v>131</v>
      </c>
      <c r="F50" t="s">
        <v>152</v>
      </c>
      <c r="G50" t="s">
        <v>92</v>
      </c>
    </row>
    <row r="51" spans="2:7" x14ac:dyDescent="0.4">
      <c r="B51">
        <v>2304060</v>
      </c>
      <c r="C51" t="s">
        <v>186</v>
      </c>
      <c r="D51" t="s">
        <v>142</v>
      </c>
      <c r="E51" t="s">
        <v>157</v>
      </c>
      <c r="F51" t="s">
        <v>157</v>
      </c>
      <c r="G51" t="s">
        <v>173</v>
      </c>
    </row>
    <row r="52" spans="2:7" x14ac:dyDescent="0.4">
      <c r="B52">
        <v>2304061</v>
      </c>
      <c r="C52" t="s">
        <v>188</v>
      </c>
      <c r="D52" t="s">
        <v>179</v>
      </c>
      <c r="E52" t="s">
        <v>108</v>
      </c>
      <c r="F52" t="s">
        <v>131</v>
      </c>
      <c r="G52" t="s">
        <v>354</v>
      </c>
    </row>
    <row r="53" spans="2:7" x14ac:dyDescent="0.4">
      <c r="B53">
        <v>2304062</v>
      </c>
      <c r="C53" t="s">
        <v>189</v>
      </c>
      <c r="D53" t="s">
        <v>151</v>
      </c>
      <c r="E53" t="s">
        <v>118</v>
      </c>
      <c r="F53" t="s">
        <v>118</v>
      </c>
      <c r="G53" t="s">
        <v>88</v>
      </c>
    </row>
    <row r="54" spans="2:7" x14ac:dyDescent="0.4">
      <c r="B54">
        <v>2304063</v>
      </c>
      <c r="C54" t="s">
        <v>190</v>
      </c>
      <c r="D54" t="s">
        <v>815</v>
      </c>
      <c r="E54" t="s">
        <v>88</v>
      </c>
      <c r="F54" t="s">
        <v>78</v>
      </c>
      <c r="G54" t="s">
        <v>133</v>
      </c>
    </row>
    <row r="55" spans="2:7" x14ac:dyDescent="0.4">
      <c r="B55">
        <v>2304064</v>
      </c>
      <c r="C55" t="s">
        <v>191</v>
      </c>
      <c r="D55" t="s">
        <v>837</v>
      </c>
      <c r="E55" t="s">
        <v>118</v>
      </c>
      <c r="F55" t="s">
        <v>118</v>
      </c>
      <c r="G55" t="s">
        <v>88</v>
      </c>
    </row>
    <row r="56" spans="2:7" x14ac:dyDescent="0.4">
      <c r="B56">
        <v>2304065</v>
      </c>
      <c r="C56" t="s">
        <v>192</v>
      </c>
      <c r="D56" t="s">
        <v>140</v>
      </c>
      <c r="E56" t="s">
        <v>88</v>
      </c>
      <c r="F56" t="s">
        <v>88</v>
      </c>
      <c r="G56" t="s">
        <v>89</v>
      </c>
    </row>
    <row r="57" spans="2:7" x14ac:dyDescent="0.4">
      <c r="B57">
        <v>2304066</v>
      </c>
      <c r="C57" t="s">
        <v>193</v>
      </c>
      <c r="D57" t="s">
        <v>838</v>
      </c>
      <c r="E57" t="s">
        <v>121</v>
      </c>
      <c r="F57" t="s">
        <v>125</v>
      </c>
      <c r="G57" t="s">
        <v>839</v>
      </c>
    </row>
    <row r="58" spans="2:7" x14ac:dyDescent="0.4">
      <c r="B58">
        <v>2304067</v>
      </c>
      <c r="C58" t="s">
        <v>194</v>
      </c>
      <c r="D58" t="s">
        <v>840</v>
      </c>
      <c r="E58" t="s">
        <v>75</v>
      </c>
      <c r="F58" t="s">
        <v>157</v>
      </c>
      <c r="G58" t="s">
        <v>832</v>
      </c>
    </row>
    <row r="59" spans="2:7" x14ac:dyDescent="0.4">
      <c r="B59">
        <v>2304068</v>
      </c>
      <c r="C59" t="s">
        <v>195</v>
      </c>
      <c r="D59" t="s">
        <v>820</v>
      </c>
      <c r="E59" t="s">
        <v>78</v>
      </c>
      <c r="F59" t="s">
        <v>196</v>
      </c>
      <c r="G59" t="s">
        <v>841</v>
      </c>
    </row>
    <row r="60" spans="2:7" x14ac:dyDescent="0.4">
      <c r="B60">
        <v>2304069</v>
      </c>
      <c r="C60" t="s">
        <v>198</v>
      </c>
      <c r="D60" t="s">
        <v>842</v>
      </c>
      <c r="E60" t="s">
        <v>128</v>
      </c>
      <c r="F60" t="s">
        <v>182</v>
      </c>
      <c r="G60" t="s">
        <v>249</v>
      </c>
    </row>
    <row r="61" spans="2:7" x14ac:dyDescent="0.4">
      <c r="B61">
        <v>2304070</v>
      </c>
      <c r="C61" t="s">
        <v>199</v>
      </c>
      <c r="D61" t="s">
        <v>843</v>
      </c>
      <c r="E61" t="s">
        <v>75</v>
      </c>
      <c r="F61" t="s">
        <v>235</v>
      </c>
      <c r="G61" t="s">
        <v>197</v>
      </c>
    </row>
    <row r="62" spans="2:7" x14ac:dyDescent="0.4">
      <c r="B62">
        <v>2304071</v>
      </c>
      <c r="C62" t="s">
        <v>201</v>
      </c>
      <c r="D62" t="s">
        <v>844</v>
      </c>
      <c r="E62" t="s">
        <v>121</v>
      </c>
      <c r="F62" t="s">
        <v>118</v>
      </c>
      <c r="G62" t="s">
        <v>88</v>
      </c>
    </row>
    <row r="63" spans="2:7" x14ac:dyDescent="0.4">
      <c r="B63">
        <v>2304072</v>
      </c>
      <c r="C63" t="s">
        <v>203</v>
      </c>
      <c r="D63" t="s">
        <v>845</v>
      </c>
      <c r="E63" t="s">
        <v>78</v>
      </c>
      <c r="F63" t="s">
        <v>95</v>
      </c>
      <c r="G63" t="s">
        <v>822</v>
      </c>
    </row>
    <row r="64" spans="2:7" x14ac:dyDescent="0.4">
      <c r="B64">
        <v>2304073</v>
      </c>
      <c r="C64" t="s">
        <v>206</v>
      </c>
      <c r="D64" t="s">
        <v>818</v>
      </c>
      <c r="E64" t="s">
        <v>121</v>
      </c>
      <c r="F64" t="s">
        <v>165</v>
      </c>
      <c r="G64" t="s">
        <v>366</v>
      </c>
    </row>
    <row r="65" spans="2:7" x14ac:dyDescent="0.4">
      <c r="B65">
        <v>2304074</v>
      </c>
      <c r="C65" t="s">
        <v>207</v>
      </c>
      <c r="D65" t="s">
        <v>846</v>
      </c>
      <c r="E65" t="s">
        <v>121</v>
      </c>
      <c r="F65" t="s">
        <v>256</v>
      </c>
      <c r="G65" t="s">
        <v>847</v>
      </c>
    </row>
    <row r="66" spans="2:7" x14ac:dyDescent="0.4">
      <c r="B66">
        <v>2304075</v>
      </c>
      <c r="C66" t="s">
        <v>209</v>
      </c>
      <c r="D66" t="s">
        <v>848</v>
      </c>
      <c r="E66" t="s">
        <v>78</v>
      </c>
      <c r="F66" t="s">
        <v>118</v>
      </c>
      <c r="G66" t="s">
        <v>88</v>
      </c>
    </row>
    <row r="67" spans="2:7" x14ac:dyDescent="0.4">
      <c r="B67">
        <v>2304078</v>
      </c>
      <c r="C67" t="s">
        <v>211</v>
      </c>
      <c r="D67" t="s">
        <v>213</v>
      </c>
      <c r="E67" t="s">
        <v>125</v>
      </c>
      <c r="F67" t="s">
        <v>849</v>
      </c>
      <c r="G67" t="s">
        <v>850</v>
      </c>
    </row>
    <row r="68" spans="2:7" x14ac:dyDescent="0.4">
      <c r="B68">
        <v>2304079</v>
      </c>
      <c r="C68" t="s">
        <v>212</v>
      </c>
      <c r="D68" t="s">
        <v>846</v>
      </c>
      <c r="E68" t="s">
        <v>118</v>
      </c>
      <c r="F68" t="s">
        <v>307</v>
      </c>
      <c r="G68" t="s">
        <v>851</v>
      </c>
    </row>
    <row r="69" spans="2:7" x14ac:dyDescent="0.4">
      <c r="B69">
        <v>2304080</v>
      </c>
      <c r="C69" t="s">
        <v>215</v>
      </c>
      <c r="D69" t="s">
        <v>845</v>
      </c>
      <c r="E69" t="s">
        <v>125</v>
      </c>
      <c r="F69" t="s">
        <v>204</v>
      </c>
      <c r="G69" t="s">
        <v>852</v>
      </c>
    </row>
    <row r="70" spans="2:7" x14ac:dyDescent="0.4">
      <c r="B70">
        <v>2304081</v>
      </c>
      <c r="C70" t="s">
        <v>217</v>
      </c>
      <c r="D70" t="s">
        <v>801</v>
      </c>
      <c r="E70" t="s">
        <v>157</v>
      </c>
      <c r="F70" t="s">
        <v>328</v>
      </c>
      <c r="G70" t="s">
        <v>138</v>
      </c>
    </row>
    <row r="71" spans="2:7" x14ac:dyDescent="0.4">
      <c r="B71">
        <v>2304082</v>
      </c>
      <c r="C71" t="s">
        <v>219</v>
      </c>
      <c r="D71" t="s">
        <v>816</v>
      </c>
      <c r="E71" t="s">
        <v>108</v>
      </c>
      <c r="F71" t="s">
        <v>84</v>
      </c>
      <c r="G71" t="s">
        <v>853</v>
      </c>
    </row>
    <row r="72" spans="2:7" x14ac:dyDescent="0.4">
      <c r="B72">
        <v>2304083</v>
      </c>
      <c r="C72" t="s">
        <v>220</v>
      </c>
      <c r="D72" t="s">
        <v>854</v>
      </c>
      <c r="E72" t="s">
        <v>128</v>
      </c>
      <c r="F72" t="s">
        <v>230</v>
      </c>
      <c r="G72" t="s">
        <v>268</v>
      </c>
    </row>
    <row r="73" spans="2:7" x14ac:dyDescent="0.4">
      <c r="B73">
        <v>2304084</v>
      </c>
      <c r="C73" t="s">
        <v>223</v>
      </c>
      <c r="D73" t="s">
        <v>310</v>
      </c>
      <c r="E73" t="s">
        <v>152</v>
      </c>
      <c r="F73" t="s">
        <v>855</v>
      </c>
      <c r="G73" t="s">
        <v>856</v>
      </c>
    </row>
    <row r="74" spans="2:7" x14ac:dyDescent="0.4">
      <c r="B74">
        <v>2304085</v>
      </c>
      <c r="C74" t="s">
        <v>226</v>
      </c>
      <c r="D74" t="s">
        <v>799</v>
      </c>
      <c r="E74" t="s">
        <v>75</v>
      </c>
      <c r="F74" t="s">
        <v>87</v>
      </c>
      <c r="G74" t="s">
        <v>507</v>
      </c>
    </row>
    <row r="75" spans="2:7" x14ac:dyDescent="0.4">
      <c r="B75">
        <v>2304086</v>
      </c>
      <c r="C75" t="s">
        <v>228</v>
      </c>
      <c r="D75" t="s">
        <v>130</v>
      </c>
      <c r="E75" t="s">
        <v>229</v>
      </c>
      <c r="F75" t="s">
        <v>493</v>
      </c>
      <c r="G75" t="s">
        <v>857</v>
      </c>
    </row>
    <row r="76" spans="2:7" x14ac:dyDescent="0.4">
      <c r="B76">
        <v>2304087</v>
      </c>
      <c r="C76" t="s">
        <v>231</v>
      </c>
      <c r="D76" t="s">
        <v>858</v>
      </c>
      <c r="E76" t="s">
        <v>128</v>
      </c>
      <c r="F76" t="s">
        <v>233</v>
      </c>
      <c r="G76" t="s">
        <v>859</v>
      </c>
    </row>
    <row r="77" spans="2:7" x14ac:dyDescent="0.4">
      <c r="B77">
        <v>2304088</v>
      </c>
      <c r="C77" t="s">
        <v>234</v>
      </c>
      <c r="D77" t="s">
        <v>202</v>
      </c>
      <c r="E77" t="s">
        <v>175</v>
      </c>
      <c r="F77" t="s">
        <v>442</v>
      </c>
      <c r="G77" t="s">
        <v>788</v>
      </c>
    </row>
    <row r="78" spans="2:7" x14ac:dyDescent="0.4">
      <c r="B78">
        <v>2304089</v>
      </c>
      <c r="C78" t="s">
        <v>236</v>
      </c>
      <c r="D78" t="s">
        <v>791</v>
      </c>
      <c r="E78" t="s">
        <v>161</v>
      </c>
      <c r="F78" t="s">
        <v>237</v>
      </c>
      <c r="G78" t="s">
        <v>860</v>
      </c>
    </row>
    <row r="79" spans="2:7" x14ac:dyDescent="0.4">
      <c r="B79">
        <v>2304090</v>
      </c>
      <c r="C79" t="s">
        <v>239</v>
      </c>
      <c r="D79" t="s">
        <v>861</v>
      </c>
      <c r="E79" t="s">
        <v>88</v>
      </c>
      <c r="F79" t="s">
        <v>157</v>
      </c>
      <c r="G79" t="s">
        <v>832</v>
      </c>
    </row>
    <row r="80" spans="2:7" x14ac:dyDescent="0.4">
      <c r="B80">
        <v>2304091</v>
      </c>
      <c r="C80" t="s">
        <v>240</v>
      </c>
      <c r="D80" t="s">
        <v>862</v>
      </c>
      <c r="E80" t="s">
        <v>78</v>
      </c>
      <c r="F80" t="s">
        <v>493</v>
      </c>
      <c r="G80" t="s">
        <v>863</v>
      </c>
    </row>
    <row r="81" spans="2:7" x14ac:dyDescent="0.4">
      <c r="B81">
        <v>2304092</v>
      </c>
      <c r="C81" t="s">
        <v>242</v>
      </c>
      <c r="D81" t="s">
        <v>151</v>
      </c>
      <c r="E81" t="s">
        <v>131</v>
      </c>
      <c r="F81" t="s">
        <v>314</v>
      </c>
      <c r="G81" t="s">
        <v>864</v>
      </c>
    </row>
    <row r="82" spans="2:7" x14ac:dyDescent="0.4">
      <c r="B82">
        <v>2304093</v>
      </c>
      <c r="C82" t="s">
        <v>243</v>
      </c>
      <c r="D82" t="s">
        <v>802</v>
      </c>
      <c r="E82" t="s">
        <v>128</v>
      </c>
      <c r="F82" t="s">
        <v>229</v>
      </c>
      <c r="G82" t="s">
        <v>399</v>
      </c>
    </row>
    <row r="83" spans="2:7" x14ac:dyDescent="0.4">
      <c r="B83">
        <v>2304094</v>
      </c>
      <c r="C83" t="s">
        <v>245</v>
      </c>
      <c r="D83" t="s">
        <v>111</v>
      </c>
      <c r="E83" t="s">
        <v>98</v>
      </c>
      <c r="F83" t="s">
        <v>865</v>
      </c>
      <c r="G83" t="s">
        <v>866</v>
      </c>
    </row>
    <row r="84" spans="2:7" x14ac:dyDescent="0.4">
      <c r="B84">
        <v>2304095</v>
      </c>
      <c r="C84" t="s">
        <v>247</v>
      </c>
      <c r="D84" t="s">
        <v>867</v>
      </c>
      <c r="E84" t="s">
        <v>112</v>
      </c>
      <c r="F84" t="s">
        <v>528</v>
      </c>
      <c r="G84" t="s">
        <v>868</v>
      </c>
    </row>
    <row r="85" spans="2:7" x14ac:dyDescent="0.4">
      <c r="B85">
        <v>2304096</v>
      </c>
      <c r="C85" t="s">
        <v>248</v>
      </c>
      <c r="D85" t="s">
        <v>802</v>
      </c>
      <c r="E85" t="s">
        <v>95</v>
      </c>
      <c r="F85" t="s">
        <v>95</v>
      </c>
      <c r="G85" t="s">
        <v>466</v>
      </c>
    </row>
    <row r="86" spans="2:7" x14ac:dyDescent="0.4">
      <c r="B86">
        <v>2304097</v>
      </c>
      <c r="C86" t="s">
        <v>250</v>
      </c>
      <c r="D86" t="s">
        <v>216</v>
      </c>
      <c r="E86" t="s">
        <v>75</v>
      </c>
      <c r="F86" t="s">
        <v>118</v>
      </c>
      <c r="G86" t="s">
        <v>88</v>
      </c>
    </row>
    <row r="87" spans="2:7" x14ac:dyDescent="0.4">
      <c r="B87">
        <v>2304098</v>
      </c>
      <c r="C87" t="s">
        <v>251</v>
      </c>
      <c r="D87" t="s">
        <v>869</v>
      </c>
      <c r="E87" t="s">
        <v>88</v>
      </c>
      <c r="F87" t="s">
        <v>118</v>
      </c>
      <c r="G87" t="s">
        <v>88</v>
      </c>
    </row>
    <row r="88" spans="2:7" x14ac:dyDescent="0.4">
      <c r="B88">
        <v>2304099</v>
      </c>
      <c r="C88" t="s">
        <v>252</v>
      </c>
      <c r="D88" t="s">
        <v>870</v>
      </c>
      <c r="E88" t="s">
        <v>87</v>
      </c>
      <c r="F88" t="s">
        <v>118</v>
      </c>
      <c r="G88" t="s">
        <v>88</v>
      </c>
    </row>
    <row r="89" spans="2:7" x14ac:dyDescent="0.4">
      <c r="B89">
        <v>2304100</v>
      </c>
      <c r="C89" t="s">
        <v>253</v>
      </c>
      <c r="D89" t="s">
        <v>786</v>
      </c>
      <c r="E89" t="s">
        <v>75</v>
      </c>
      <c r="F89" t="s">
        <v>152</v>
      </c>
      <c r="G89" t="s">
        <v>871</v>
      </c>
    </row>
    <row r="90" spans="2:7" x14ac:dyDescent="0.4">
      <c r="B90">
        <v>2304101</v>
      </c>
      <c r="C90" t="s">
        <v>254</v>
      </c>
      <c r="D90" t="s">
        <v>816</v>
      </c>
      <c r="E90" t="s">
        <v>87</v>
      </c>
      <c r="F90" t="s">
        <v>108</v>
      </c>
      <c r="G90" t="s">
        <v>691</v>
      </c>
    </row>
    <row r="91" spans="2:7" x14ac:dyDescent="0.4">
      <c r="B91">
        <v>2304102</v>
      </c>
      <c r="C91" t="s">
        <v>255</v>
      </c>
      <c r="D91" t="s">
        <v>792</v>
      </c>
      <c r="E91" t="s">
        <v>75</v>
      </c>
      <c r="F91" t="s">
        <v>256</v>
      </c>
      <c r="G91" t="s">
        <v>872</v>
      </c>
    </row>
    <row r="92" spans="2:7" x14ac:dyDescent="0.4">
      <c r="B92">
        <v>2304103</v>
      </c>
      <c r="C92" t="s">
        <v>257</v>
      </c>
      <c r="D92" t="s">
        <v>836</v>
      </c>
      <c r="E92" t="s">
        <v>152</v>
      </c>
      <c r="F92" t="s">
        <v>175</v>
      </c>
      <c r="G92" t="s">
        <v>873</v>
      </c>
    </row>
    <row r="93" spans="2:7" x14ac:dyDescent="0.4">
      <c r="B93">
        <v>2304104</v>
      </c>
      <c r="C93" t="s">
        <v>258</v>
      </c>
      <c r="D93" t="s">
        <v>263</v>
      </c>
      <c r="E93" t="s">
        <v>260</v>
      </c>
      <c r="F93" t="s">
        <v>224</v>
      </c>
      <c r="G93" t="s">
        <v>225</v>
      </c>
    </row>
    <row r="94" spans="2:7" x14ac:dyDescent="0.4">
      <c r="B94">
        <v>2304105</v>
      </c>
      <c r="C94" t="s">
        <v>262</v>
      </c>
      <c r="D94" t="s">
        <v>221</v>
      </c>
      <c r="E94" t="s">
        <v>83</v>
      </c>
      <c r="F94" t="s">
        <v>131</v>
      </c>
      <c r="G94" t="s">
        <v>354</v>
      </c>
    </row>
    <row r="95" spans="2:7" x14ac:dyDescent="0.4">
      <c r="B95">
        <v>2304106</v>
      </c>
      <c r="C95" t="s">
        <v>265</v>
      </c>
      <c r="D95" t="s">
        <v>874</v>
      </c>
      <c r="E95" t="s">
        <v>204</v>
      </c>
      <c r="F95" t="s">
        <v>875</v>
      </c>
      <c r="G95" t="s">
        <v>785</v>
      </c>
    </row>
    <row r="96" spans="2:7" x14ac:dyDescent="0.4">
      <c r="B96">
        <v>2304107</v>
      </c>
      <c r="C96" t="s">
        <v>269</v>
      </c>
      <c r="D96" t="s">
        <v>179</v>
      </c>
      <c r="E96" t="s">
        <v>83</v>
      </c>
      <c r="F96" t="s">
        <v>121</v>
      </c>
      <c r="G96" t="s">
        <v>122</v>
      </c>
    </row>
    <row r="97" spans="2:7" x14ac:dyDescent="0.4">
      <c r="B97">
        <v>2304108</v>
      </c>
      <c r="C97" t="s">
        <v>270</v>
      </c>
      <c r="D97" t="s">
        <v>82</v>
      </c>
      <c r="E97" t="s">
        <v>196</v>
      </c>
      <c r="F97" t="s">
        <v>165</v>
      </c>
      <c r="G97" t="s">
        <v>617</v>
      </c>
    </row>
    <row r="98" spans="2:7" x14ac:dyDescent="0.4">
      <c r="B98">
        <v>2304109</v>
      </c>
      <c r="C98" t="s">
        <v>271</v>
      </c>
      <c r="D98" t="s">
        <v>171</v>
      </c>
      <c r="E98" t="s">
        <v>75</v>
      </c>
      <c r="F98" t="s">
        <v>88</v>
      </c>
      <c r="G98" t="s">
        <v>89</v>
      </c>
    </row>
    <row r="99" spans="2:7" x14ac:dyDescent="0.4">
      <c r="B99">
        <v>2304110</v>
      </c>
      <c r="C99" t="s">
        <v>272</v>
      </c>
      <c r="D99" t="s">
        <v>140</v>
      </c>
      <c r="E99" t="s">
        <v>121</v>
      </c>
      <c r="F99" t="s">
        <v>118</v>
      </c>
      <c r="G99" t="s">
        <v>88</v>
      </c>
    </row>
    <row r="100" spans="2:7" x14ac:dyDescent="0.4">
      <c r="B100">
        <v>2304112</v>
      </c>
      <c r="C100" t="s">
        <v>273</v>
      </c>
      <c r="D100" t="s">
        <v>114</v>
      </c>
      <c r="E100" t="s">
        <v>125</v>
      </c>
      <c r="F100" t="s">
        <v>152</v>
      </c>
      <c r="G100" t="s">
        <v>388</v>
      </c>
    </row>
    <row r="101" spans="2:7" x14ac:dyDescent="0.4">
      <c r="B101">
        <v>2304113</v>
      </c>
      <c r="C101" t="s">
        <v>277</v>
      </c>
      <c r="D101" t="s">
        <v>124</v>
      </c>
      <c r="E101" t="s">
        <v>237</v>
      </c>
      <c r="F101" t="s">
        <v>147</v>
      </c>
      <c r="G101" t="s">
        <v>876</v>
      </c>
    </row>
    <row r="102" spans="2:7" x14ac:dyDescent="0.4">
      <c r="B102">
        <v>2304114</v>
      </c>
      <c r="C102" t="s">
        <v>278</v>
      </c>
      <c r="D102" t="s">
        <v>877</v>
      </c>
      <c r="E102" t="s">
        <v>88</v>
      </c>
      <c r="F102" t="s">
        <v>75</v>
      </c>
      <c r="G102" t="s">
        <v>475</v>
      </c>
    </row>
    <row r="103" spans="2:7" x14ac:dyDescent="0.4">
      <c r="B103">
        <v>2304115</v>
      </c>
      <c r="C103" t="s">
        <v>280</v>
      </c>
      <c r="D103" t="s">
        <v>877</v>
      </c>
      <c r="E103" t="s">
        <v>118</v>
      </c>
      <c r="F103" t="s">
        <v>78</v>
      </c>
      <c r="G103" t="s">
        <v>133</v>
      </c>
    </row>
    <row r="104" spans="2:7" x14ac:dyDescent="0.4">
      <c r="B104">
        <v>2304116</v>
      </c>
      <c r="C104" t="s">
        <v>281</v>
      </c>
      <c r="D104" t="s">
        <v>836</v>
      </c>
      <c r="E104" t="s">
        <v>131</v>
      </c>
      <c r="F104" t="s">
        <v>98</v>
      </c>
      <c r="G104" t="s">
        <v>530</v>
      </c>
    </row>
    <row r="105" spans="2:7" x14ac:dyDescent="0.4">
      <c r="B105">
        <v>2304117</v>
      </c>
      <c r="C105" t="s">
        <v>283</v>
      </c>
      <c r="D105" t="s">
        <v>878</v>
      </c>
      <c r="E105" t="s">
        <v>152</v>
      </c>
      <c r="F105" t="s">
        <v>131</v>
      </c>
      <c r="G105" t="s">
        <v>354</v>
      </c>
    </row>
    <row r="106" spans="2:7" x14ac:dyDescent="0.4">
      <c r="B106">
        <v>2304118</v>
      </c>
      <c r="C106" t="s">
        <v>284</v>
      </c>
      <c r="D106" t="s">
        <v>879</v>
      </c>
      <c r="E106" t="s">
        <v>75</v>
      </c>
      <c r="F106" t="s">
        <v>87</v>
      </c>
      <c r="G106" t="s">
        <v>811</v>
      </c>
    </row>
    <row r="107" spans="2:7" x14ac:dyDescent="0.4">
      <c r="B107">
        <v>2304119</v>
      </c>
      <c r="C107" t="s">
        <v>285</v>
      </c>
      <c r="D107" t="s">
        <v>880</v>
      </c>
      <c r="E107" t="s">
        <v>83</v>
      </c>
      <c r="F107" t="s">
        <v>98</v>
      </c>
      <c r="G107" t="s">
        <v>430</v>
      </c>
    </row>
    <row r="108" spans="2:7" x14ac:dyDescent="0.4">
      <c r="B108">
        <v>2304120</v>
      </c>
      <c r="C108" t="s">
        <v>287</v>
      </c>
      <c r="D108" t="s">
        <v>163</v>
      </c>
      <c r="E108" t="s">
        <v>88</v>
      </c>
      <c r="F108" t="s">
        <v>528</v>
      </c>
      <c r="G108" t="s">
        <v>872</v>
      </c>
    </row>
    <row r="109" spans="2:7" x14ac:dyDescent="0.4">
      <c r="B109">
        <v>2304121</v>
      </c>
      <c r="C109" t="s">
        <v>288</v>
      </c>
      <c r="D109" t="s">
        <v>200</v>
      </c>
      <c r="E109" t="s">
        <v>118</v>
      </c>
      <c r="F109" t="s">
        <v>118</v>
      </c>
      <c r="G109" t="s">
        <v>88</v>
      </c>
    </row>
    <row r="110" spans="2:7" x14ac:dyDescent="0.4">
      <c r="B110">
        <v>2304122</v>
      </c>
      <c r="C110" t="s">
        <v>289</v>
      </c>
      <c r="D110" t="s">
        <v>130</v>
      </c>
      <c r="E110" t="s">
        <v>128</v>
      </c>
      <c r="F110" t="s">
        <v>204</v>
      </c>
      <c r="G110" t="s">
        <v>719</v>
      </c>
    </row>
    <row r="111" spans="2:7" x14ac:dyDescent="0.4">
      <c r="B111">
        <v>2304123</v>
      </c>
      <c r="C111" t="s">
        <v>290</v>
      </c>
      <c r="D111" t="s">
        <v>241</v>
      </c>
      <c r="E111" t="s">
        <v>196</v>
      </c>
      <c r="F111" t="s">
        <v>83</v>
      </c>
      <c r="G111" t="s">
        <v>881</v>
      </c>
    </row>
    <row r="112" spans="2:7" x14ac:dyDescent="0.4">
      <c r="B112">
        <v>2304124</v>
      </c>
      <c r="C112" t="s">
        <v>291</v>
      </c>
      <c r="D112" t="s">
        <v>200</v>
      </c>
      <c r="E112" t="s">
        <v>88</v>
      </c>
      <c r="F112" t="s">
        <v>286</v>
      </c>
      <c r="G112" t="s">
        <v>882</v>
      </c>
    </row>
    <row r="113" spans="2:7" x14ac:dyDescent="0.4">
      <c r="B113">
        <v>2304125</v>
      </c>
      <c r="C113" t="s">
        <v>293</v>
      </c>
      <c r="D113" t="s">
        <v>103</v>
      </c>
      <c r="E113" t="s">
        <v>204</v>
      </c>
      <c r="F113" t="s">
        <v>175</v>
      </c>
      <c r="G113" t="s">
        <v>883</v>
      </c>
    </row>
    <row r="114" spans="2:7" x14ac:dyDescent="0.4">
      <c r="B114">
        <v>2304126</v>
      </c>
      <c r="C114" t="s">
        <v>294</v>
      </c>
      <c r="D114" t="s">
        <v>213</v>
      </c>
      <c r="E114" t="s">
        <v>118</v>
      </c>
      <c r="F114" t="s">
        <v>286</v>
      </c>
      <c r="G114" t="s">
        <v>882</v>
      </c>
    </row>
    <row r="115" spans="2:7" x14ac:dyDescent="0.4">
      <c r="B115">
        <v>2304127</v>
      </c>
      <c r="C115" t="s">
        <v>295</v>
      </c>
      <c r="D115" t="s">
        <v>124</v>
      </c>
      <c r="E115" t="s">
        <v>112</v>
      </c>
      <c r="F115" t="s">
        <v>214</v>
      </c>
      <c r="G115" t="s">
        <v>884</v>
      </c>
    </row>
    <row r="116" spans="2:7" x14ac:dyDescent="0.4">
      <c r="B116">
        <v>2304128</v>
      </c>
      <c r="C116" t="s">
        <v>296</v>
      </c>
      <c r="D116" t="s">
        <v>274</v>
      </c>
      <c r="E116" t="s">
        <v>275</v>
      </c>
      <c r="F116" t="s">
        <v>493</v>
      </c>
      <c r="G116" t="s">
        <v>885</v>
      </c>
    </row>
    <row r="117" spans="2:7" x14ac:dyDescent="0.4">
      <c r="B117">
        <v>2304129</v>
      </c>
      <c r="C117" t="s">
        <v>298</v>
      </c>
      <c r="D117" t="s">
        <v>142</v>
      </c>
      <c r="E117" t="s">
        <v>108</v>
      </c>
      <c r="F117" t="s">
        <v>87</v>
      </c>
      <c r="G117" t="s">
        <v>886</v>
      </c>
    </row>
    <row r="118" spans="2:7" x14ac:dyDescent="0.4">
      <c r="B118">
        <v>2304130</v>
      </c>
      <c r="C118" t="s">
        <v>300</v>
      </c>
      <c r="D118" t="s">
        <v>877</v>
      </c>
      <c r="E118" t="s">
        <v>78</v>
      </c>
      <c r="F118" t="s">
        <v>78</v>
      </c>
      <c r="G118" t="s">
        <v>133</v>
      </c>
    </row>
    <row r="119" spans="2:7" x14ac:dyDescent="0.4">
      <c r="B119">
        <v>2304131</v>
      </c>
      <c r="C119" t="s">
        <v>301</v>
      </c>
      <c r="D119" t="s">
        <v>140</v>
      </c>
      <c r="E119" t="s">
        <v>155</v>
      </c>
      <c r="F119" t="s">
        <v>235</v>
      </c>
      <c r="G119" t="s">
        <v>370</v>
      </c>
    </row>
    <row r="120" spans="2:7" x14ac:dyDescent="0.4">
      <c r="B120">
        <v>2304132</v>
      </c>
      <c r="C120" t="s">
        <v>302</v>
      </c>
      <c r="D120" t="s">
        <v>887</v>
      </c>
      <c r="E120" t="s">
        <v>88</v>
      </c>
      <c r="F120" t="s">
        <v>95</v>
      </c>
      <c r="G120" t="s">
        <v>823</v>
      </c>
    </row>
    <row r="121" spans="2:7" x14ac:dyDescent="0.4">
      <c r="B121">
        <v>2304133</v>
      </c>
      <c r="C121" t="s">
        <v>304</v>
      </c>
      <c r="D121" t="s">
        <v>888</v>
      </c>
      <c r="E121" t="s">
        <v>147</v>
      </c>
      <c r="F121" t="s">
        <v>889</v>
      </c>
      <c r="G121" t="s">
        <v>890</v>
      </c>
    </row>
    <row r="122" spans="2:7" x14ac:dyDescent="0.4">
      <c r="B122">
        <v>2304134</v>
      </c>
      <c r="C122" t="s">
        <v>305</v>
      </c>
      <c r="D122" t="s">
        <v>891</v>
      </c>
      <c r="E122" t="s">
        <v>75</v>
      </c>
      <c r="F122" t="s">
        <v>204</v>
      </c>
      <c r="G122" t="s">
        <v>852</v>
      </c>
    </row>
    <row r="123" spans="2:7" x14ac:dyDescent="0.4">
      <c r="B123">
        <v>2304135</v>
      </c>
      <c r="C123" t="s">
        <v>306</v>
      </c>
      <c r="D123" t="s">
        <v>86</v>
      </c>
      <c r="E123" t="s">
        <v>121</v>
      </c>
      <c r="F123" t="s">
        <v>222</v>
      </c>
      <c r="G123" t="s">
        <v>892</v>
      </c>
    </row>
    <row r="124" spans="2:7" x14ac:dyDescent="0.4">
      <c r="B124">
        <v>2304136</v>
      </c>
      <c r="C124" t="s">
        <v>308</v>
      </c>
      <c r="D124" t="s">
        <v>282</v>
      </c>
      <c r="E124" t="s">
        <v>118</v>
      </c>
      <c r="F124" t="s">
        <v>893</v>
      </c>
      <c r="G124" t="s">
        <v>894</v>
      </c>
    </row>
    <row r="125" spans="2:7" x14ac:dyDescent="0.4">
      <c r="B125">
        <v>2304137</v>
      </c>
      <c r="C125" t="s">
        <v>309</v>
      </c>
      <c r="D125" t="s">
        <v>895</v>
      </c>
      <c r="E125" t="s">
        <v>83</v>
      </c>
      <c r="F125" t="s">
        <v>896</v>
      </c>
      <c r="G125" t="s">
        <v>859</v>
      </c>
    </row>
    <row r="126" spans="2:7" x14ac:dyDescent="0.4">
      <c r="B126">
        <v>2304138</v>
      </c>
      <c r="C126" t="s">
        <v>312</v>
      </c>
      <c r="D126" t="s">
        <v>82</v>
      </c>
      <c r="E126" t="s">
        <v>125</v>
      </c>
      <c r="F126" t="s">
        <v>897</v>
      </c>
      <c r="G126" t="s">
        <v>898</v>
      </c>
    </row>
    <row r="127" spans="2:7" x14ac:dyDescent="0.4">
      <c r="B127">
        <v>2304139</v>
      </c>
      <c r="C127" t="s">
        <v>313</v>
      </c>
      <c r="D127" t="s">
        <v>891</v>
      </c>
      <c r="E127" t="s">
        <v>165</v>
      </c>
      <c r="F127" t="s">
        <v>899</v>
      </c>
      <c r="G127" t="s">
        <v>900</v>
      </c>
    </row>
    <row r="128" spans="2:7" x14ac:dyDescent="0.4">
      <c r="B128">
        <v>2304140</v>
      </c>
      <c r="C128" t="s">
        <v>315</v>
      </c>
      <c r="D128" t="s">
        <v>824</v>
      </c>
      <c r="E128" t="s">
        <v>121</v>
      </c>
      <c r="F128" t="s">
        <v>439</v>
      </c>
      <c r="G128" t="s">
        <v>901</v>
      </c>
    </row>
    <row r="129" spans="2:7" x14ac:dyDescent="0.4">
      <c r="B129">
        <v>2304141</v>
      </c>
      <c r="C129" t="s">
        <v>317</v>
      </c>
      <c r="D129" t="s">
        <v>117</v>
      </c>
      <c r="E129" t="s">
        <v>78</v>
      </c>
      <c r="F129" t="s">
        <v>161</v>
      </c>
      <c r="G129" t="s">
        <v>902</v>
      </c>
    </row>
    <row r="130" spans="2:7" x14ac:dyDescent="0.4">
      <c r="B130">
        <v>2307002</v>
      </c>
      <c r="C130" t="s">
        <v>319</v>
      </c>
      <c r="D130" t="s">
        <v>903</v>
      </c>
      <c r="E130" t="s">
        <v>118</v>
      </c>
      <c r="F130" t="s">
        <v>104</v>
      </c>
      <c r="G130" t="s">
        <v>884</v>
      </c>
    </row>
    <row r="131" spans="2:7" x14ac:dyDescent="0.4">
      <c r="B131">
        <v>2307003</v>
      </c>
      <c r="C131" t="s">
        <v>320</v>
      </c>
      <c r="D131" t="s">
        <v>904</v>
      </c>
      <c r="E131" t="s">
        <v>121</v>
      </c>
      <c r="F131" t="s">
        <v>875</v>
      </c>
      <c r="G131" t="s">
        <v>472</v>
      </c>
    </row>
    <row r="132" spans="2:7" x14ac:dyDescent="0.4">
      <c r="B132">
        <v>2307004</v>
      </c>
      <c r="C132" t="s">
        <v>321</v>
      </c>
      <c r="D132" t="s">
        <v>246</v>
      </c>
      <c r="E132" t="s">
        <v>78</v>
      </c>
      <c r="F132" t="s">
        <v>108</v>
      </c>
      <c r="G132" t="s">
        <v>905</v>
      </c>
    </row>
    <row r="133" spans="2:7" x14ac:dyDescent="0.4">
      <c r="B133">
        <v>2307006</v>
      </c>
      <c r="C133" t="s">
        <v>323</v>
      </c>
      <c r="D133" t="s">
        <v>394</v>
      </c>
      <c r="E133" t="s">
        <v>131</v>
      </c>
      <c r="F133" t="s">
        <v>906</v>
      </c>
      <c r="G133" t="s">
        <v>694</v>
      </c>
    </row>
    <row r="134" spans="2:7" x14ac:dyDescent="0.4">
      <c r="B134">
        <v>2307007</v>
      </c>
      <c r="C134" t="s">
        <v>324</v>
      </c>
      <c r="D134" t="s">
        <v>907</v>
      </c>
      <c r="E134" t="s">
        <v>78</v>
      </c>
      <c r="F134" t="s">
        <v>79</v>
      </c>
      <c r="G134" t="s">
        <v>908</v>
      </c>
    </row>
    <row r="135" spans="2:7" x14ac:dyDescent="0.4">
      <c r="B135">
        <v>2307008</v>
      </c>
      <c r="C135" t="s">
        <v>326</v>
      </c>
      <c r="D135" t="s">
        <v>909</v>
      </c>
      <c r="E135" t="s">
        <v>131</v>
      </c>
      <c r="F135" t="s">
        <v>328</v>
      </c>
      <c r="G135" t="s">
        <v>910</v>
      </c>
    </row>
    <row r="136" spans="2:7" x14ac:dyDescent="0.4">
      <c r="B136">
        <v>2307009</v>
      </c>
      <c r="C136" t="s">
        <v>329</v>
      </c>
      <c r="D136" t="s">
        <v>911</v>
      </c>
      <c r="E136" t="s">
        <v>161</v>
      </c>
      <c r="F136" t="s">
        <v>893</v>
      </c>
      <c r="G136" t="s">
        <v>912</v>
      </c>
    </row>
    <row r="137" spans="2:7" x14ac:dyDescent="0.4">
      <c r="B137">
        <v>2307010</v>
      </c>
      <c r="C137" t="s">
        <v>330</v>
      </c>
      <c r="D137" t="s">
        <v>913</v>
      </c>
      <c r="E137" t="s">
        <v>131</v>
      </c>
      <c r="F137" t="s">
        <v>128</v>
      </c>
      <c r="G137" t="s">
        <v>447</v>
      </c>
    </row>
    <row r="138" spans="2:7" x14ac:dyDescent="0.4">
      <c r="B138">
        <v>2307011</v>
      </c>
      <c r="C138" t="s">
        <v>332</v>
      </c>
      <c r="D138" t="s">
        <v>914</v>
      </c>
      <c r="E138" t="s">
        <v>95</v>
      </c>
      <c r="F138" t="s">
        <v>152</v>
      </c>
      <c r="G138" t="s">
        <v>703</v>
      </c>
    </row>
    <row r="139" spans="2:7" x14ac:dyDescent="0.4">
      <c r="B139">
        <v>2307012</v>
      </c>
      <c r="C139" t="s">
        <v>334</v>
      </c>
      <c r="D139" t="s">
        <v>915</v>
      </c>
      <c r="E139" t="s">
        <v>112</v>
      </c>
      <c r="F139" t="s">
        <v>804</v>
      </c>
      <c r="G139" t="s">
        <v>316</v>
      </c>
    </row>
    <row r="140" spans="2:7" x14ac:dyDescent="0.4">
      <c r="B140">
        <v>2307013</v>
      </c>
      <c r="C140" t="s">
        <v>335</v>
      </c>
      <c r="D140" t="s">
        <v>916</v>
      </c>
      <c r="E140" t="s">
        <v>157</v>
      </c>
      <c r="F140" t="s">
        <v>328</v>
      </c>
      <c r="G140" t="s">
        <v>910</v>
      </c>
    </row>
    <row r="141" spans="2:7" x14ac:dyDescent="0.4">
      <c r="B141">
        <v>2307014</v>
      </c>
      <c r="C141" t="s">
        <v>336</v>
      </c>
      <c r="D141" t="s">
        <v>917</v>
      </c>
      <c r="E141" t="s">
        <v>155</v>
      </c>
      <c r="F141" t="s">
        <v>256</v>
      </c>
      <c r="G141" t="s">
        <v>918</v>
      </c>
    </row>
    <row r="142" spans="2:7" x14ac:dyDescent="0.4">
      <c r="B142">
        <v>2307016</v>
      </c>
      <c r="C142" t="s">
        <v>338</v>
      </c>
      <c r="D142" t="s">
        <v>919</v>
      </c>
      <c r="E142" t="s">
        <v>118</v>
      </c>
      <c r="F142" t="s">
        <v>96</v>
      </c>
      <c r="G142" t="s">
        <v>795</v>
      </c>
    </row>
    <row r="143" spans="2:7" x14ac:dyDescent="0.4">
      <c r="B143">
        <v>2307018</v>
      </c>
      <c r="C143" t="s">
        <v>339</v>
      </c>
      <c r="D143" t="s">
        <v>297</v>
      </c>
      <c r="E143" t="s">
        <v>121</v>
      </c>
      <c r="F143" t="s">
        <v>78</v>
      </c>
      <c r="G143" t="s">
        <v>484</v>
      </c>
    </row>
    <row r="144" spans="2:7" x14ac:dyDescent="0.4">
      <c r="B144">
        <v>2307019</v>
      </c>
      <c r="C144" t="s">
        <v>341</v>
      </c>
      <c r="D144" t="s">
        <v>920</v>
      </c>
      <c r="E144" t="s">
        <v>121</v>
      </c>
      <c r="F144" t="s">
        <v>286</v>
      </c>
      <c r="G144" t="s">
        <v>218</v>
      </c>
    </row>
    <row r="145" spans="2:7" x14ac:dyDescent="0.4">
      <c r="B145">
        <v>2307020</v>
      </c>
      <c r="C145" t="s">
        <v>342</v>
      </c>
      <c r="D145" t="s">
        <v>921</v>
      </c>
      <c r="E145" t="s">
        <v>118</v>
      </c>
      <c r="F145" t="s">
        <v>196</v>
      </c>
      <c r="G145" t="s">
        <v>873</v>
      </c>
    </row>
    <row r="146" spans="2:7" x14ac:dyDescent="0.4">
      <c r="B146">
        <v>2307021</v>
      </c>
      <c r="C146" t="s">
        <v>343</v>
      </c>
      <c r="D146" t="s">
        <v>922</v>
      </c>
      <c r="E146" t="s">
        <v>121</v>
      </c>
      <c r="F146" t="s">
        <v>157</v>
      </c>
      <c r="G146" t="s">
        <v>811</v>
      </c>
    </row>
    <row r="147" spans="2:7" x14ac:dyDescent="0.4">
      <c r="B147">
        <v>2307022</v>
      </c>
      <c r="C147" t="s">
        <v>344</v>
      </c>
      <c r="D147" t="s">
        <v>107</v>
      </c>
      <c r="E147" t="s">
        <v>118</v>
      </c>
      <c r="F147" t="s">
        <v>118</v>
      </c>
      <c r="G147" t="s">
        <v>88</v>
      </c>
    </row>
    <row r="148" spans="2:7" x14ac:dyDescent="0.4">
      <c r="B148">
        <v>2307023</v>
      </c>
      <c r="C148" t="s">
        <v>345</v>
      </c>
      <c r="D148" t="s">
        <v>266</v>
      </c>
      <c r="E148" t="s">
        <v>118</v>
      </c>
      <c r="F148" t="s">
        <v>88</v>
      </c>
      <c r="G148" t="s">
        <v>347</v>
      </c>
    </row>
    <row r="149" spans="2:7" x14ac:dyDescent="0.4">
      <c r="B149">
        <v>2307024</v>
      </c>
      <c r="C149" t="s">
        <v>348</v>
      </c>
      <c r="D149" t="s">
        <v>923</v>
      </c>
      <c r="E149" t="s">
        <v>88</v>
      </c>
      <c r="F149" t="s">
        <v>78</v>
      </c>
      <c r="G149" t="s">
        <v>484</v>
      </c>
    </row>
    <row r="150" spans="2:7" x14ac:dyDescent="0.4">
      <c r="B150">
        <v>2307025</v>
      </c>
      <c r="C150" t="s">
        <v>350</v>
      </c>
      <c r="D150" t="s">
        <v>903</v>
      </c>
      <c r="E150" t="s">
        <v>78</v>
      </c>
      <c r="F150" t="s">
        <v>118</v>
      </c>
      <c r="G150" t="s">
        <v>88</v>
      </c>
    </row>
    <row r="151" spans="2:7" x14ac:dyDescent="0.4">
      <c r="B151">
        <v>2307026</v>
      </c>
      <c r="C151" t="s">
        <v>351</v>
      </c>
      <c r="D151" t="s">
        <v>924</v>
      </c>
      <c r="E151" t="s">
        <v>88</v>
      </c>
      <c r="F151" t="s">
        <v>152</v>
      </c>
      <c r="G151" t="s">
        <v>276</v>
      </c>
    </row>
    <row r="152" spans="2:7" x14ac:dyDescent="0.4">
      <c r="B152">
        <v>2307027</v>
      </c>
      <c r="C152" t="s">
        <v>352</v>
      </c>
      <c r="D152" t="s">
        <v>925</v>
      </c>
      <c r="E152" t="s">
        <v>131</v>
      </c>
      <c r="F152" t="s">
        <v>152</v>
      </c>
      <c r="G152" t="s">
        <v>719</v>
      </c>
    </row>
    <row r="153" spans="2:7" x14ac:dyDescent="0.4">
      <c r="B153">
        <v>2307028</v>
      </c>
      <c r="C153" t="s">
        <v>353</v>
      </c>
      <c r="D153" t="s">
        <v>904</v>
      </c>
      <c r="E153" t="s">
        <v>118</v>
      </c>
      <c r="F153" t="s">
        <v>128</v>
      </c>
      <c r="G153" t="s">
        <v>489</v>
      </c>
    </row>
    <row r="154" spans="2:7" x14ac:dyDescent="0.4">
      <c r="B154">
        <v>2307029</v>
      </c>
      <c r="C154" t="s">
        <v>355</v>
      </c>
      <c r="D154" t="s">
        <v>926</v>
      </c>
      <c r="E154" t="s">
        <v>75</v>
      </c>
      <c r="F154" t="s">
        <v>165</v>
      </c>
      <c r="G154" t="s">
        <v>663</v>
      </c>
    </row>
    <row r="155" spans="2:7" x14ac:dyDescent="0.4">
      <c r="B155">
        <v>2307030</v>
      </c>
      <c r="C155" t="s">
        <v>358</v>
      </c>
      <c r="D155" t="s">
        <v>927</v>
      </c>
      <c r="E155" t="s">
        <v>118</v>
      </c>
      <c r="F155" t="s">
        <v>118</v>
      </c>
      <c r="G155" t="s">
        <v>88</v>
      </c>
    </row>
    <row r="156" spans="2:7" x14ac:dyDescent="0.4">
      <c r="B156">
        <v>2307031</v>
      </c>
      <c r="C156" t="s">
        <v>359</v>
      </c>
      <c r="D156" t="s">
        <v>921</v>
      </c>
      <c r="E156" t="s">
        <v>121</v>
      </c>
      <c r="F156" t="s">
        <v>121</v>
      </c>
      <c r="G156" t="s">
        <v>633</v>
      </c>
    </row>
    <row r="157" spans="2:7" x14ac:dyDescent="0.4">
      <c r="B157">
        <v>2307032</v>
      </c>
      <c r="C157" t="s">
        <v>360</v>
      </c>
      <c r="D157" t="s">
        <v>928</v>
      </c>
      <c r="E157" t="s">
        <v>118</v>
      </c>
      <c r="F157" t="s">
        <v>118</v>
      </c>
      <c r="G157" t="s">
        <v>88</v>
      </c>
    </row>
    <row r="158" spans="2:7" x14ac:dyDescent="0.4">
      <c r="B158">
        <v>2307033</v>
      </c>
      <c r="C158" t="s">
        <v>361</v>
      </c>
      <c r="D158" t="s">
        <v>929</v>
      </c>
      <c r="E158" t="s">
        <v>128</v>
      </c>
      <c r="F158" t="s">
        <v>152</v>
      </c>
      <c r="G158" t="s">
        <v>930</v>
      </c>
    </row>
    <row r="159" spans="2:7" x14ac:dyDescent="0.4">
      <c r="B159">
        <v>2307034</v>
      </c>
      <c r="C159" t="s">
        <v>362</v>
      </c>
      <c r="D159" t="s">
        <v>931</v>
      </c>
      <c r="E159" t="s">
        <v>118</v>
      </c>
      <c r="F159" t="s">
        <v>118</v>
      </c>
      <c r="G159" t="s">
        <v>88</v>
      </c>
    </row>
    <row r="160" spans="2:7" x14ac:dyDescent="0.4">
      <c r="B160">
        <v>2307035</v>
      </c>
      <c r="C160" t="s">
        <v>363</v>
      </c>
      <c r="D160" t="s">
        <v>932</v>
      </c>
      <c r="E160" t="s">
        <v>121</v>
      </c>
      <c r="F160" t="s">
        <v>125</v>
      </c>
      <c r="G160" t="s">
        <v>575</v>
      </c>
    </row>
    <row r="161" spans="2:7" x14ac:dyDescent="0.4">
      <c r="B161">
        <v>2307036</v>
      </c>
      <c r="C161" t="s">
        <v>365</v>
      </c>
      <c r="D161" t="s">
        <v>259</v>
      </c>
      <c r="E161" t="s">
        <v>161</v>
      </c>
      <c r="F161" t="s">
        <v>155</v>
      </c>
      <c r="G161" t="s">
        <v>357</v>
      </c>
    </row>
    <row r="162" spans="2:7" x14ac:dyDescent="0.4">
      <c r="B162">
        <v>2307037</v>
      </c>
      <c r="C162" t="s">
        <v>367</v>
      </c>
      <c r="D162" t="s">
        <v>933</v>
      </c>
      <c r="E162" t="s">
        <v>75</v>
      </c>
      <c r="F162" t="s">
        <v>118</v>
      </c>
      <c r="G162" t="s">
        <v>88</v>
      </c>
    </row>
    <row r="163" spans="2:7" x14ac:dyDescent="0.4">
      <c r="B163">
        <v>2307038</v>
      </c>
      <c r="C163" t="s">
        <v>368</v>
      </c>
      <c r="D163" t="s">
        <v>929</v>
      </c>
      <c r="E163" t="s">
        <v>112</v>
      </c>
      <c r="F163" t="s">
        <v>108</v>
      </c>
      <c r="G163" t="s">
        <v>811</v>
      </c>
    </row>
    <row r="164" spans="2:7" x14ac:dyDescent="0.4">
      <c r="B164">
        <v>2307039</v>
      </c>
      <c r="C164" t="s">
        <v>369</v>
      </c>
      <c r="D164" t="s">
        <v>921</v>
      </c>
      <c r="E164" t="s">
        <v>75</v>
      </c>
      <c r="F164" t="s">
        <v>182</v>
      </c>
      <c r="G164" t="s">
        <v>934</v>
      </c>
    </row>
    <row r="165" spans="2:7" x14ac:dyDescent="0.4">
      <c r="B165">
        <v>2307040</v>
      </c>
      <c r="C165" t="s">
        <v>371</v>
      </c>
      <c r="D165" t="s">
        <v>107</v>
      </c>
      <c r="E165" t="s">
        <v>118</v>
      </c>
      <c r="F165" t="s">
        <v>118</v>
      </c>
      <c r="G165" t="s">
        <v>88</v>
      </c>
    </row>
    <row r="166" spans="2:7" x14ac:dyDescent="0.4">
      <c r="B166">
        <v>2307041</v>
      </c>
      <c r="C166" t="s">
        <v>372</v>
      </c>
      <c r="D166" t="s">
        <v>935</v>
      </c>
      <c r="E166" t="s">
        <v>88</v>
      </c>
      <c r="F166" t="s">
        <v>118</v>
      </c>
      <c r="G166" t="s">
        <v>88</v>
      </c>
    </row>
    <row r="167" spans="2:7" x14ac:dyDescent="0.4">
      <c r="B167">
        <v>2307042</v>
      </c>
      <c r="C167" t="s">
        <v>373</v>
      </c>
      <c r="D167" t="s">
        <v>346</v>
      </c>
      <c r="E167" t="s">
        <v>118</v>
      </c>
      <c r="F167" t="s">
        <v>496</v>
      </c>
      <c r="G167" t="s">
        <v>936</v>
      </c>
    </row>
    <row r="168" spans="2:7" x14ac:dyDescent="0.4">
      <c r="B168">
        <v>2307043</v>
      </c>
      <c r="C168" t="s">
        <v>374</v>
      </c>
      <c r="D168" t="s">
        <v>259</v>
      </c>
      <c r="E168" t="s">
        <v>88</v>
      </c>
      <c r="F168" t="s">
        <v>137</v>
      </c>
      <c r="G168" t="s">
        <v>105</v>
      </c>
    </row>
    <row r="169" spans="2:7" x14ac:dyDescent="0.4">
      <c r="B169">
        <v>2307044</v>
      </c>
      <c r="C169" t="s">
        <v>375</v>
      </c>
      <c r="D169" t="s">
        <v>259</v>
      </c>
      <c r="E169" t="s">
        <v>121</v>
      </c>
      <c r="F169" t="s">
        <v>118</v>
      </c>
      <c r="G169" t="s">
        <v>88</v>
      </c>
    </row>
    <row r="170" spans="2:7" x14ac:dyDescent="0.4">
      <c r="B170">
        <v>2307045</v>
      </c>
      <c r="C170" t="s">
        <v>376</v>
      </c>
      <c r="D170" t="s">
        <v>915</v>
      </c>
      <c r="E170" t="s">
        <v>88</v>
      </c>
      <c r="F170" t="s">
        <v>112</v>
      </c>
      <c r="G170" t="s">
        <v>937</v>
      </c>
    </row>
    <row r="171" spans="2:7" x14ac:dyDescent="0.4">
      <c r="B171">
        <v>2307046</v>
      </c>
      <c r="C171" t="s">
        <v>377</v>
      </c>
      <c r="D171" t="s">
        <v>925</v>
      </c>
      <c r="E171" t="s">
        <v>121</v>
      </c>
      <c r="F171" t="s">
        <v>118</v>
      </c>
      <c r="G171" t="s">
        <v>88</v>
      </c>
    </row>
    <row r="172" spans="2:7" x14ac:dyDescent="0.4">
      <c r="B172">
        <v>2307047</v>
      </c>
      <c r="C172" t="s">
        <v>378</v>
      </c>
      <c r="D172" t="s">
        <v>340</v>
      </c>
      <c r="E172" t="s">
        <v>131</v>
      </c>
      <c r="F172" t="s">
        <v>165</v>
      </c>
      <c r="G172" t="s">
        <v>938</v>
      </c>
    </row>
    <row r="173" spans="2:7" x14ac:dyDescent="0.4">
      <c r="B173">
        <v>2307048</v>
      </c>
      <c r="C173" t="s">
        <v>380</v>
      </c>
      <c r="D173" t="s">
        <v>939</v>
      </c>
      <c r="E173" t="s">
        <v>88</v>
      </c>
      <c r="F173" t="s">
        <v>157</v>
      </c>
      <c r="G173" t="s">
        <v>651</v>
      </c>
    </row>
    <row r="174" spans="2:7" x14ac:dyDescent="0.4">
      <c r="B174">
        <v>2307049</v>
      </c>
      <c r="C174" t="s">
        <v>381</v>
      </c>
      <c r="D174" t="s">
        <v>920</v>
      </c>
      <c r="E174" t="s">
        <v>88</v>
      </c>
      <c r="F174" t="s">
        <v>118</v>
      </c>
      <c r="G174" t="s">
        <v>88</v>
      </c>
    </row>
    <row r="175" spans="2:7" x14ac:dyDescent="0.4">
      <c r="B175">
        <v>2307050</v>
      </c>
      <c r="C175" t="s">
        <v>382</v>
      </c>
      <c r="D175" t="s">
        <v>940</v>
      </c>
      <c r="E175" t="s">
        <v>88</v>
      </c>
      <c r="F175" t="s">
        <v>157</v>
      </c>
      <c r="G175" t="s">
        <v>886</v>
      </c>
    </row>
    <row r="176" spans="2:7" x14ac:dyDescent="0.4">
      <c r="B176">
        <v>2307051</v>
      </c>
      <c r="C176" t="s">
        <v>383</v>
      </c>
      <c r="D176" t="s">
        <v>941</v>
      </c>
      <c r="E176" t="s">
        <v>75</v>
      </c>
      <c r="F176" t="s">
        <v>125</v>
      </c>
      <c r="G176" t="s">
        <v>183</v>
      </c>
    </row>
    <row r="177" spans="2:7" x14ac:dyDescent="0.4">
      <c r="B177">
        <v>2307052</v>
      </c>
      <c r="C177" t="s">
        <v>385</v>
      </c>
      <c r="D177" t="s">
        <v>942</v>
      </c>
      <c r="E177" t="s">
        <v>118</v>
      </c>
      <c r="F177" t="s">
        <v>118</v>
      </c>
      <c r="G177" t="s">
        <v>88</v>
      </c>
    </row>
    <row r="178" spans="2:7" x14ac:dyDescent="0.4">
      <c r="B178">
        <v>2307053</v>
      </c>
      <c r="C178" t="s">
        <v>386</v>
      </c>
      <c r="D178" t="s">
        <v>919</v>
      </c>
      <c r="E178" t="s">
        <v>75</v>
      </c>
      <c r="F178" t="s">
        <v>121</v>
      </c>
      <c r="G178" t="s">
        <v>633</v>
      </c>
    </row>
    <row r="179" spans="2:7" x14ac:dyDescent="0.4">
      <c r="B179">
        <v>2307054</v>
      </c>
      <c r="C179" t="s">
        <v>387</v>
      </c>
      <c r="D179" t="s">
        <v>943</v>
      </c>
      <c r="E179" t="s">
        <v>88</v>
      </c>
      <c r="F179" t="s">
        <v>83</v>
      </c>
      <c r="G179" t="s">
        <v>944</v>
      </c>
    </row>
    <row r="180" spans="2:7" x14ac:dyDescent="0.4">
      <c r="B180">
        <v>2307055</v>
      </c>
      <c r="C180" t="s">
        <v>389</v>
      </c>
      <c r="D180" t="s">
        <v>945</v>
      </c>
      <c r="E180" t="s">
        <v>108</v>
      </c>
      <c r="F180" t="s">
        <v>98</v>
      </c>
      <c r="G180" t="s">
        <v>946</v>
      </c>
    </row>
    <row r="181" spans="2:7" x14ac:dyDescent="0.4">
      <c r="B181">
        <v>2307056</v>
      </c>
      <c r="C181" t="s">
        <v>390</v>
      </c>
      <c r="D181" t="s">
        <v>947</v>
      </c>
      <c r="E181" t="s">
        <v>275</v>
      </c>
      <c r="F181" t="s">
        <v>78</v>
      </c>
      <c r="G181" t="s">
        <v>489</v>
      </c>
    </row>
    <row r="182" spans="2:7" x14ac:dyDescent="0.4">
      <c r="B182">
        <v>2307058</v>
      </c>
      <c r="C182" t="s">
        <v>391</v>
      </c>
      <c r="D182" t="s">
        <v>948</v>
      </c>
      <c r="E182" t="s">
        <v>108</v>
      </c>
      <c r="F182" t="s">
        <v>95</v>
      </c>
      <c r="G182" t="s">
        <v>949</v>
      </c>
    </row>
    <row r="183" spans="2:7" x14ac:dyDescent="0.4">
      <c r="B183">
        <v>2307059</v>
      </c>
      <c r="C183" t="s">
        <v>392</v>
      </c>
      <c r="D183" t="s">
        <v>933</v>
      </c>
      <c r="E183" t="s">
        <v>75</v>
      </c>
      <c r="F183" t="s">
        <v>157</v>
      </c>
      <c r="G183" t="s">
        <v>115</v>
      </c>
    </row>
    <row r="184" spans="2:7" x14ac:dyDescent="0.4">
      <c r="B184">
        <v>2307060</v>
      </c>
      <c r="C184" t="s">
        <v>393</v>
      </c>
      <c r="D184" t="s">
        <v>950</v>
      </c>
      <c r="E184" t="s">
        <v>165</v>
      </c>
      <c r="F184" t="s">
        <v>275</v>
      </c>
      <c r="G184" t="s">
        <v>951</v>
      </c>
    </row>
    <row r="185" spans="2:7" x14ac:dyDescent="0.4">
      <c r="B185">
        <v>2307061</v>
      </c>
      <c r="C185" t="s">
        <v>395</v>
      </c>
      <c r="D185" t="s">
        <v>952</v>
      </c>
      <c r="E185" t="s">
        <v>131</v>
      </c>
      <c r="F185" t="s">
        <v>157</v>
      </c>
      <c r="G185" t="s">
        <v>115</v>
      </c>
    </row>
    <row r="186" spans="2:7" x14ac:dyDescent="0.4">
      <c r="B186">
        <v>2307063</v>
      </c>
      <c r="C186" t="s">
        <v>396</v>
      </c>
      <c r="D186" t="s">
        <v>356</v>
      </c>
      <c r="E186" t="s">
        <v>328</v>
      </c>
      <c r="F186" t="s">
        <v>137</v>
      </c>
      <c r="G186" t="s">
        <v>953</v>
      </c>
    </row>
    <row r="187" spans="2:7" x14ac:dyDescent="0.4">
      <c r="B187">
        <v>2307064</v>
      </c>
      <c r="C187" t="s">
        <v>397</v>
      </c>
      <c r="D187" t="s">
        <v>349</v>
      </c>
      <c r="E187" t="s">
        <v>125</v>
      </c>
      <c r="F187" t="s">
        <v>235</v>
      </c>
      <c r="G187" t="s">
        <v>817</v>
      </c>
    </row>
    <row r="188" spans="2:7" x14ac:dyDescent="0.4">
      <c r="B188">
        <v>2307065</v>
      </c>
      <c r="C188" t="s">
        <v>398</v>
      </c>
      <c r="D188" t="s">
        <v>364</v>
      </c>
      <c r="E188" t="s">
        <v>112</v>
      </c>
      <c r="F188" t="s">
        <v>98</v>
      </c>
      <c r="G188" t="s">
        <v>410</v>
      </c>
    </row>
    <row r="189" spans="2:7" x14ac:dyDescent="0.4">
      <c r="B189">
        <v>2307066</v>
      </c>
      <c r="C189" t="s">
        <v>400</v>
      </c>
      <c r="D189" t="s">
        <v>954</v>
      </c>
      <c r="E189" t="s">
        <v>165</v>
      </c>
      <c r="F189" t="s">
        <v>256</v>
      </c>
      <c r="G189" t="s">
        <v>955</v>
      </c>
    </row>
    <row r="190" spans="2:7" x14ac:dyDescent="0.4">
      <c r="B190">
        <v>2307067</v>
      </c>
      <c r="C190" t="s">
        <v>401</v>
      </c>
      <c r="D190" t="s">
        <v>919</v>
      </c>
      <c r="E190" t="s">
        <v>83</v>
      </c>
      <c r="F190" t="s">
        <v>95</v>
      </c>
      <c r="G190" t="s">
        <v>126</v>
      </c>
    </row>
    <row r="191" spans="2:7" x14ac:dyDescent="0.4">
      <c r="B191">
        <v>2307068</v>
      </c>
      <c r="C191" t="s">
        <v>402</v>
      </c>
      <c r="D191" t="s">
        <v>956</v>
      </c>
      <c r="E191" t="s">
        <v>78</v>
      </c>
      <c r="F191" t="s">
        <v>182</v>
      </c>
      <c r="G191" t="s">
        <v>876</v>
      </c>
    </row>
    <row r="192" spans="2:7" x14ac:dyDescent="0.4">
      <c r="B192">
        <v>2307069</v>
      </c>
      <c r="C192" t="s">
        <v>403</v>
      </c>
      <c r="D192" t="s">
        <v>349</v>
      </c>
      <c r="E192" t="s">
        <v>88</v>
      </c>
      <c r="F192" t="s">
        <v>125</v>
      </c>
      <c r="G192" t="s">
        <v>292</v>
      </c>
    </row>
    <row r="193" spans="2:7" x14ac:dyDescent="0.4">
      <c r="B193">
        <v>2307070</v>
      </c>
      <c r="C193" t="s">
        <v>404</v>
      </c>
      <c r="D193" t="s">
        <v>931</v>
      </c>
      <c r="E193" t="s">
        <v>118</v>
      </c>
      <c r="F193" t="s">
        <v>118</v>
      </c>
      <c r="G193" t="s">
        <v>88</v>
      </c>
    </row>
    <row r="194" spans="2:7" x14ac:dyDescent="0.4">
      <c r="B194">
        <v>2307071</v>
      </c>
      <c r="C194" t="s">
        <v>405</v>
      </c>
      <c r="D194" t="s">
        <v>957</v>
      </c>
      <c r="E194" t="s">
        <v>204</v>
      </c>
      <c r="F194" t="s">
        <v>95</v>
      </c>
      <c r="G194" t="s">
        <v>238</v>
      </c>
    </row>
    <row r="195" spans="2:7" x14ac:dyDescent="0.4">
      <c r="B195">
        <v>2307073</v>
      </c>
      <c r="C195" t="s">
        <v>408</v>
      </c>
      <c r="D195" t="s">
        <v>907</v>
      </c>
      <c r="E195" t="s">
        <v>121</v>
      </c>
      <c r="F195" t="s">
        <v>157</v>
      </c>
      <c r="G195" t="s">
        <v>115</v>
      </c>
    </row>
    <row r="196" spans="2:7" x14ac:dyDescent="0.4">
      <c r="B196">
        <v>2307074</v>
      </c>
      <c r="C196" t="s">
        <v>409</v>
      </c>
      <c r="D196" t="s">
        <v>333</v>
      </c>
      <c r="E196" t="s">
        <v>307</v>
      </c>
      <c r="F196" t="s">
        <v>175</v>
      </c>
      <c r="G196" t="s">
        <v>958</v>
      </c>
    </row>
    <row r="197" spans="2:7" x14ac:dyDescent="0.4">
      <c r="B197">
        <v>2307075</v>
      </c>
      <c r="C197" t="s">
        <v>411</v>
      </c>
      <c r="D197" t="s">
        <v>945</v>
      </c>
      <c r="E197" t="s">
        <v>131</v>
      </c>
      <c r="F197" t="s">
        <v>128</v>
      </c>
      <c r="G197" t="s">
        <v>813</v>
      </c>
    </row>
    <row r="198" spans="2:7" x14ac:dyDescent="0.4">
      <c r="B198">
        <v>2307076</v>
      </c>
      <c r="C198" t="s">
        <v>412</v>
      </c>
      <c r="D198" t="s">
        <v>959</v>
      </c>
      <c r="E198" t="s">
        <v>121</v>
      </c>
      <c r="F198" t="s">
        <v>147</v>
      </c>
      <c r="G198" t="s">
        <v>208</v>
      </c>
    </row>
    <row r="199" spans="2:7" x14ac:dyDescent="0.4">
      <c r="B199">
        <v>2307078</v>
      </c>
      <c r="C199" t="s">
        <v>414</v>
      </c>
      <c r="D199" t="s">
        <v>960</v>
      </c>
      <c r="E199" t="s">
        <v>75</v>
      </c>
      <c r="F199" t="s">
        <v>78</v>
      </c>
      <c r="G199" t="s">
        <v>331</v>
      </c>
    </row>
    <row r="200" spans="2:7" x14ac:dyDescent="0.4">
      <c r="B200">
        <v>2307079</v>
      </c>
      <c r="C200" t="s">
        <v>415</v>
      </c>
      <c r="D200" t="s">
        <v>924</v>
      </c>
      <c r="E200" t="s">
        <v>118</v>
      </c>
      <c r="F200" t="s">
        <v>88</v>
      </c>
      <c r="G200" t="s">
        <v>347</v>
      </c>
    </row>
    <row r="201" spans="2:7" x14ac:dyDescent="0.4">
      <c r="B201">
        <v>2307080</v>
      </c>
      <c r="C201" t="s">
        <v>416</v>
      </c>
      <c r="D201" t="s">
        <v>960</v>
      </c>
      <c r="E201" t="s">
        <v>131</v>
      </c>
      <c r="F201" t="s">
        <v>161</v>
      </c>
      <c r="G201" t="s">
        <v>303</v>
      </c>
    </row>
    <row r="202" spans="2:7" x14ac:dyDescent="0.4">
      <c r="B202">
        <v>2307081</v>
      </c>
      <c r="C202" t="s">
        <v>418</v>
      </c>
      <c r="D202" t="s">
        <v>921</v>
      </c>
      <c r="E202" t="s">
        <v>121</v>
      </c>
      <c r="F202" t="s">
        <v>121</v>
      </c>
      <c r="G202" t="s">
        <v>633</v>
      </c>
    </row>
    <row r="203" spans="2:7" x14ac:dyDescent="0.4">
      <c r="B203">
        <v>2307082</v>
      </c>
      <c r="C203" t="s">
        <v>419</v>
      </c>
      <c r="D203" t="s">
        <v>950</v>
      </c>
      <c r="E203" t="s">
        <v>88</v>
      </c>
      <c r="F203" t="s">
        <v>175</v>
      </c>
      <c r="G203" t="s">
        <v>399</v>
      </c>
    </row>
    <row r="204" spans="2:7" x14ac:dyDescent="0.4">
      <c r="B204">
        <v>2307083</v>
      </c>
      <c r="C204" t="s">
        <v>420</v>
      </c>
      <c r="D204" t="s">
        <v>406</v>
      </c>
      <c r="E204" t="s">
        <v>128</v>
      </c>
      <c r="F204" t="s">
        <v>855</v>
      </c>
      <c r="G204" t="s">
        <v>961</v>
      </c>
    </row>
    <row r="205" spans="2:7" x14ac:dyDescent="0.4">
      <c r="B205">
        <v>2307084</v>
      </c>
      <c r="C205" t="s">
        <v>422</v>
      </c>
      <c r="D205" t="s">
        <v>903</v>
      </c>
      <c r="E205" t="s">
        <v>88</v>
      </c>
      <c r="F205" t="s">
        <v>75</v>
      </c>
      <c r="G205" t="s">
        <v>322</v>
      </c>
    </row>
    <row r="206" spans="2:7" x14ac:dyDescent="0.4">
      <c r="B206">
        <v>2307085</v>
      </c>
      <c r="C206" t="s">
        <v>423</v>
      </c>
      <c r="D206" t="s">
        <v>959</v>
      </c>
      <c r="E206" t="s">
        <v>75</v>
      </c>
      <c r="F206" t="s">
        <v>204</v>
      </c>
      <c r="G206" t="s">
        <v>417</v>
      </c>
    </row>
    <row r="207" spans="2:7" x14ac:dyDescent="0.4">
      <c r="B207">
        <v>2307086</v>
      </c>
      <c r="C207" t="s">
        <v>424</v>
      </c>
      <c r="D207" t="s">
        <v>962</v>
      </c>
      <c r="E207" t="s">
        <v>155</v>
      </c>
      <c r="F207" t="s">
        <v>896</v>
      </c>
      <c r="G207" t="s">
        <v>963</v>
      </c>
    </row>
    <row r="208" spans="2:7" x14ac:dyDescent="0.4">
      <c r="B208">
        <v>2307087</v>
      </c>
      <c r="C208" t="s">
        <v>426</v>
      </c>
      <c r="D208" t="s">
        <v>924</v>
      </c>
      <c r="E208" t="s">
        <v>118</v>
      </c>
      <c r="F208" t="s">
        <v>87</v>
      </c>
      <c r="G208" t="s">
        <v>143</v>
      </c>
    </row>
    <row r="209" spans="2:7" x14ac:dyDescent="0.4">
      <c r="B209">
        <v>2307088</v>
      </c>
      <c r="C209" t="s">
        <v>427</v>
      </c>
      <c r="D209" t="s">
        <v>327</v>
      </c>
      <c r="E209" t="s">
        <v>128</v>
      </c>
      <c r="F209" t="s">
        <v>261</v>
      </c>
      <c r="G209" t="s">
        <v>964</v>
      </c>
    </row>
    <row r="210" spans="2:7" x14ac:dyDescent="0.4">
      <c r="B210">
        <v>2307089</v>
      </c>
      <c r="C210" t="s">
        <v>429</v>
      </c>
      <c r="D210" t="s">
        <v>945</v>
      </c>
      <c r="E210" t="s">
        <v>128</v>
      </c>
      <c r="F210" t="s">
        <v>328</v>
      </c>
      <c r="G210" t="s">
        <v>910</v>
      </c>
    </row>
    <row r="211" spans="2:7" x14ac:dyDescent="0.4">
      <c r="B211">
        <v>2307090</v>
      </c>
      <c r="C211" t="s">
        <v>431</v>
      </c>
      <c r="D211" t="s">
        <v>915</v>
      </c>
      <c r="E211" t="s">
        <v>118</v>
      </c>
      <c r="F211" t="s">
        <v>267</v>
      </c>
      <c r="G211" t="s">
        <v>965</v>
      </c>
    </row>
    <row r="212" spans="2:7" x14ac:dyDescent="0.4">
      <c r="B212">
        <v>2307091</v>
      </c>
      <c r="C212" t="s">
        <v>433</v>
      </c>
      <c r="D212" t="s">
        <v>966</v>
      </c>
      <c r="E212" t="s">
        <v>88</v>
      </c>
      <c r="F212" t="s">
        <v>157</v>
      </c>
      <c r="G212" t="s">
        <v>811</v>
      </c>
    </row>
    <row r="213" spans="2:7" x14ac:dyDescent="0.4">
      <c r="B213">
        <v>2310001</v>
      </c>
      <c r="C213" t="s">
        <v>434</v>
      </c>
      <c r="D213" t="s">
        <v>967</v>
      </c>
      <c r="E213" t="s">
        <v>78</v>
      </c>
      <c r="F213" t="s">
        <v>267</v>
      </c>
      <c r="G213" t="s">
        <v>968</v>
      </c>
    </row>
    <row r="214" spans="2:7" x14ac:dyDescent="0.4">
      <c r="B214">
        <v>2310002</v>
      </c>
      <c r="C214" t="s">
        <v>435</v>
      </c>
      <c r="D214" t="s">
        <v>969</v>
      </c>
      <c r="E214" t="s">
        <v>108</v>
      </c>
      <c r="F214" t="s">
        <v>96</v>
      </c>
      <c r="G214" t="s">
        <v>970</v>
      </c>
    </row>
    <row r="215" spans="2:7" x14ac:dyDescent="0.4">
      <c r="B215">
        <v>2310004</v>
      </c>
      <c r="C215" t="s">
        <v>436</v>
      </c>
      <c r="D215" t="s">
        <v>971</v>
      </c>
      <c r="E215" t="s">
        <v>157</v>
      </c>
      <c r="F215" t="s">
        <v>772</v>
      </c>
      <c r="G215" t="s">
        <v>972</v>
      </c>
    </row>
    <row r="216" spans="2:7" x14ac:dyDescent="0.4">
      <c r="B216">
        <v>2310005</v>
      </c>
      <c r="C216" t="s">
        <v>437</v>
      </c>
      <c r="D216" t="s">
        <v>438</v>
      </c>
      <c r="E216" t="s">
        <v>75</v>
      </c>
      <c r="F216" t="s">
        <v>439</v>
      </c>
      <c r="G216" t="s">
        <v>440</v>
      </c>
    </row>
    <row r="217" spans="2:7" x14ac:dyDescent="0.4">
      <c r="B217">
        <v>2310007</v>
      </c>
      <c r="C217" t="s">
        <v>441</v>
      </c>
      <c r="D217" t="s">
        <v>973</v>
      </c>
      <c r="E217" t="s">
        <v>75</v>
      </c>
      <c r="F217" t="s">
        <v>439</v>
      </c>
      <c r="G217" t="s">
        <v>974</v>
      </c>
    </row>
    <row r="218" spans="2:7" x14ac:dyDescent="0.4">
      <c r="B218">
        <v>2310008</v>
      </c>
      <c r="C218" t="s">
        <v>443</v>
      </c>
      <c r="D218" t="s">
        <v>975</v>
      </c>
      <c r="E218" t="s">
        <v>118</v>
      </c>
      <c r="F218" t="s">
        <v>118</v>
      </c>
      <c r="G218" t="s">
        <v>88</v>
      </c>
    </row>
    <row r="219" spans="2:7" x14ac:dyDescent="0.4">
      <c r="B219">
        <v>2310010</v>
      </c>
      <c r="C219" t="s">
        <v>445</v>
      </c>
      <c r="D219" t="s">
        <v>975</v>
      </c>
      <c r="E219" t="s">
        <v>118</v>
      </c>
      <c r="F219" t="s">
        <v>118</v>
      </c>
      <c r="G219" t="s">
        <v>88</v>
      </c>
    </row>
    <row r="220" spans="2:7" x14ac:dyDescent="0.4">
      <c r="B220">
        <v>2310011</v>
      </c>
      <c r="C220" t="s">
        <v>446</v>
      </c>
      <c r="D220" t="s">
        <v>976</v>
      </c>
      <c r="E220" t="s">
        <v>88</v>
      </c>
      <c r="F220" t="s">
        <v>78</v>
      </c>
      <c r="G220" t="s">
        <v>977</v>
      </c>
    </row>
    <row r="221" spans="2:7" x14ac:dyDescent="0.4">
      <c r="B221">
        <v>2310012</v>
      </c>
      <c r="C221" t="s">
        <v>448</v>
      </c>
      <c r="D221" t="s">
        <v>978</v>
      </c>
      <c r="E221" t="s">
        <v>88</v>
      </c>
      <c r="F221" t="s">
        <v>118</v>
      </c>
      <c r="G221" t="s">
        <v>88</v>
      </c>
    </row>
    <row r="222" spans="2:7" x14ac:dyDescent="0.4">
      <c r="B222">
        <v>2310013</v>
      </c>
      <c r="C222" t="s">
        <v>449</v>
      </c>
      <c r="D222" t="s">
        <v>406</v>
      </c>
      <c r="E222" t="s">
        <v>118</v>
      </c>
      <c r="F222" t="s">
        <v>118</v>
      </c>
      <c r="G222" t="s">
        <v>88</v>
      </c>
    </row>
    <row r="223" spans="2:7" x14ac:dyDescent="0.4">
      <c r="B223">
        <v>2310014</v>
      </c>
      <c r="C223" t="s">
        <v>450</v>
      </c>
      <c r="D223" t="s">
        <v>975</v>
      </c>
      <c r="E223" t="s">
        <v>118</v>
      </c>
      <c r="F223" t="s">
        <v>118</v>
      </c>
      <c r="G223" t="s">
        <v>88</v>
      </c>
    </row>
    <row r="224" spans="2:7" x14ac:dyDescent="0.4">
      <c r="B224">
        <v>2310015</v>
      </c>
      <c r="C224" t="s">
        <v>451</v>
      </c>
      <c r="D224" t="s">
        <v>979</v>
      </c>
      <c r="E224" t="s">
        <v>260</v>
      </c>
      <c r="F224" t="s">
        <v>260</v>
      </c>
      <c r="G224" t="s">
        <v>158</v>
      </c>
    </row>
    <row r="225" spans="2:7" x14ac:dyDescent="0.4">
      <c r="B225">
        <v>2310016</v>
      </c>
      <c r="C225" t="s">
        <v>453</v>
      </c>
      <c r="D225" t="s">
        <v>976</v>
      </c>
      <c r="E225" t="s">
        <v>128</v>
      </c>
      <c r="F225" t="s">
        <v>118</v>
      </c>
      <c r="G225" t="s">
        <v>88</v>
      </c>
    </row>
    <row r="226" spans="2:7" x14ac:dyDescent="0.4">
      <c r="B226">
        <v>2310017</v>
      </c>
      <c r="C226" t="s">
        <v>454</v>
      </c>
      <c r="D226" t="s">
        <v>428</v>
      </c>
      <c r="E226" t="s">
        <v>118</v>
      </c>
      <c r="F226" t="s">
        <v>165</v>
      </c>
      <c r="G226" t="s">
        <v>249</v>
      </c>
    </row>
    <row r="227" spans="2:7" x14ac:dyDescent="0.4">
      <c r="B227">
        <v>2310018</v>
      </c>
      <c r="C227" t="s">
        <v>456</v>
      </c>
      <c r="D227" t="s">
        <v>980</v>
      </c>
      <c r="E227" t="s">
        <v>112</v>
      </c>
      <c r="F227" t="s">
        <v>457</v>
      </c>
      <c r="G227" t="s">
        <v>981</v>
      </c>
    </row>
    <row r="228" spans="2:7" x14ac:dyDescent="0.4">
      <c r="B228">
        <v>2310019</v>
      </c>
      <c r="C228" t="s">
        <v>458</v>
      </c>
      <c r="D228" t="s">
        <v>975</v>
      </c>
      <c r="E228" t="s">
        <v>118</v>
      </c>
      <c r="F228" t="s">
        <v>118</v>
      </c>
      <c r="G228" t="s">
        <v>88</v>
      </c>
    </row>
    <row r="229" spans="2:7" x14ac:dyDescent="0.4">
      <c r="B229">
        <v>2310020</v>
      </c>
      <c r="C229" t="s">
        <v>459</v>
      </c>
      <c r="D229" t="s">
        <v>982</v>
      </c>
      <c r="E229" t="s">
        <v>131</v>
      </c>
      <c r="F229" t="s">
        <v>78</v>
      </c>
      <c r="G229" t="s">
        <v>977</v>
      </c>
    </row>
    <row r="230" spans="2:7" x14ac:dyDescent="0.4">
      <c r="B230">
        <v>2310021</v>
      </c>
      <c r="C230" t="s">
        <v>461</v>
      </c>
      <c r="D230" t="s">
        <v>983</v>
      </c>
      <c r="E230" t="s">
        <v>131</v>
      </c>
      <c r="F230" t="s">
        <v>84</v>
      </c>
      <c r="G230" t="s">
        <v>890</v>
      </c>
    </row>
    <row r="231" spans="2:7" x14ac:dyDescent="0.4">
      <c r="B231">
        <v>2310022</v>
      </c>
      <c r="C231" t="s">
        <v>462</v>
      </c>
      <c r="D231" t="s">
        <v>984</v>
      </c>
      <c r="E231" t="s">
        <v>121</v>
      </c>
      <c r="F231" t="s">
        <v>152</v>
      </c>
      <c r="G231" t="s">
        <v>366</v>
      </c>
    </row>
    <row r="232" spans="2:7" x14ac:dyDescent="0.4">
      <c r="B232">
        <v>2310024</v>
      </c>
      <c r="C232" t="s">
        <v>463</v>
      </c>
      <c r="D232" t="s">
        <v>985</v>
      </c>
      <c r="E232" t="s">
        <v>118</v>
      </c>
      <c r="F232" t="s">
        <v>125</v>
      </c>
      <c r="G232" t="s">
        <v>986</v>
      </c>
    </row>
    <row r="233" spans="2:7" x14ac:dyDescent="0.4">
      <c r="B233">
        <v>2310025</v>
      </c>
      <c r="C233" t="s">
        <v>465</v>
      </c>
      <c r="D233" t="s">
        <v>987</v>
      </c>
      <c r="E233" t="s">
        <v>128</v>
      </c>
      <c r="F233" t="s">
        <v>161</v>
      </c>
      <c r="G233" t="s">
        <v>988</v>
      </c>
    </row>
    <row r="234" spans="2:7" x14ac:dyDescent="0.4">
      <c r="B234">
        <v>2310026</v>
      </c>
      <c r="C234" t="s">
        <v>467</v>
      </c>
      <c r="D234" t="s">
        <v>989</v>
      </c>
      <c r="E234" t="s">
        <v>118</v>
      </c>
      <c r="F234" t="s">
        <v>157</v>
      </c>
      <c r="G234" t="s">
        <v>990</v>
      </c>
    </row>
    <row r="235" spans="2:7" x14ac:dyDescent="0.4">
      <c r="B235">
        <v>2310027</v>
      </c>
      <c r="C235" t="s">
        <v>468</v>
      </c>
      <c r="D235" t="s">
        <v>991</v>
      </c>
      <c r="E235" t="s">
        <v>75</v>
      </c>
      <c r="F235" t="s">
        <v>75</v>
      </c>
      <c r="G235" t="s">
        <v>133</v>
      </c>
    </row>
    <row r="236" spans="2:7" x14ac:dyDescent="0.4">
      <c r="B236">
        <v>2310028</v>
      </c>
      <c r="C236" t="s">
        <v>469</v>
      </c>
      <c r="D236" t="s">
        <v>991</v>
      </c>
      <c r="E236" t="s">
        <v>121</v>
      </c>
      <c r="F236" t="s">
        <v>78</v>
      </c>
      <c r="G236" t="s">
        <v>977</v>
      </c>
    </row>
    <row r="237" spans="2:7" x14ac:dyDescent="0.4">
      <c r="B237">
        <v>2310029</v>
      </c>
      <c r="C237" t="s">
        <v>470</v>
      </c>
      <c r="D237" t="s">
        <v>992</v>
      </c>
      <c r="E237" t="s">
        <v>152</v>
      </c>
      <c r="F237" t="s">
        <v>235</v>
      </c>
      <c r="G237" t="s">
        <v>993</v>
      </c>
    </row>
    <row r="238" spans="2:7" x14ac:dyDescent="0.4">
      <c r="B238">
        <v>2310030</v>
      </c>
      <c r="C238" t="s">
        <v>471</v>
      </c>
      <c r="D238" t="s">
        <v>994</v>
      </c>
      <c r="E238" t="s">
        <v>165</v>
      </c>
      <c r="F238" t="s">
        <v>137</v>
      </c>
      <c r="G238" t="s">
        <v>80</v>
      </c>
    </row>
    <row r="239" spans="2:7" x14ac:dyDescent="0.4">
      <c r="B239">
        <v>2310031</v>
      </c>
      <c r="C239" t="s">
        <v>473</v>
      </c>
      <c r="D239" t="s">
        <v>992</v>
      </c>
      <c r="E239" t="s">
        <v>88</v>
      </c>
      <c r="F239" t="s">
        <v>118</v>
      </c>
      <c r="G239" t="s">
        <v>88</v>
      </c>
    </row>
    <row r="240" spans="2:7" x14ac:dyDescent="0.4">
      <c r="B240">
        <v>2310032</v>
      </c>
      <c r="C240" t="s">
        <v>474</v>
      </c>
      <c r="D240" t="s">
        <v>967</v>
      </c>
      <c r="E240" t="s">
        <v>88</v>
      </c>
      <c r="F240" t="s">
        <v>121</v>
      </c>
      <c r="G240" t="s">
        <v>995</v>
      </c>
    </row>
    <row r="241" spans="2:7" x14ac:dyDescent="0.4">
      <c r="B241">
        <v>2310033</v>
      </c>
      <c r="C241" t="s">
        <v>476</v>
      </c>
      <c r="D241" t="s">
        <v>460</v>
      </c>
      <c r="E241" t="s">
        <v>147</v>
      </c>
      <c r="F241" t="s">
        <v>182</v>
      </c>
      <c r="G241" t="s">
        <v>996</v>
      </c>
    </row>
    <row r="242" spans="2:7" x14ac:dyDescent="0.4">
      <c r="B242">
        <v>2310034</v>
      </c>
      <c r="C242" t="s">
        <v>477</v>
      </c>
      <c r="D242" t="s">
        <v>997</v>
      </c>
      <c r="E242" t="s">
        <v>118</v>
      </c>
      <c r="F242" t="s">
        <v>88</v>
      </c>
      <c r="G242" t="s">
        <v>998</v>
      </c>
    </row>
    <row r="243" spans="2:7" x14ac:dyDescent="0.4">
      <c r="B243">
        <v>2310036</v>
      </c>
      <c r="C243" t="s">
        <v>478</v>
      </c>
      <c r="D243" t="s">
        <v>985</v>
      </c>
      <c r="E243" t="s">
        <v>118</v>
      </c>
      <c r="F243" t="s">
        <v>118</v>
      </c>
      <c r="G243" t="s">
        <v>88</v>
      </c>
    </row>
    <row r="244" spans="2:7" x14ac:dyDescent="0.4">
      <c r="B244">
        <v>2310037</v>
      </c>
      <c r="C244" t="s">
        <v>479</v>
      </c>
      <c r="D244" t="s">
        <v>460</v>
      </c>
      <c r="E244" t="s">
        <v>152</v>
      </c>
      <c r="F244" t="s">
        <v>125</v>
      </c>
      <c r="G244" t="s">
        <v>176</v>
      </c>
    </row>
    <row r="245" spans="2:7" x14ac:dyDescent="0.4">
      <c r="B245">
        <v>2310038</v>
      </c>
      <c r="C245" t="s">
        <v>480</v>
      </c>
      <c r="D245" t="s">
        <v>985</v>
      </c>
      <c r="E245" t="s">
        <v>118</v>
      </c>
      <c r="F245" t="s">
        <v>118</v>
      </c>
      <c r="G245" t="s">
        <v>88</v>
      </c>
    </row>
    <row r="246" spans="2:7" x14ac:dyDescent="0.4">
      <c r="B246">
        <v>2310039</v>
      </c>
      <c r="C246" t="s">
        <v>481</v>
      </c>
      <c r="D246" t="s">
        <v>999</v>
      </c>
      <c r="E246" t="s">
        <v>157</v>
      </c>
      <c r="F246" t="s">
        <v>233</v>
      </c>
      <c r="G246" t="s">
        <v>1000</v>
      </c>
    </row>
    <row r="247" spans="2:7" x14ac:dyDescent="0.4">
      <c r="B247">
        <v>2310040</v>
      </c>
      <c r="C247" t="s">
        <v>482</v>
      </c>
      <c r="D247" t="s">
        <v>1001</v>
      </c>
      <c r="E247" t="s">
        <v>88</v>
      </c>
      <c r="F247" t="s">
        <v>88</v>
      </c>
      <c r="G247" t="s">
        <v>998</v>
      </c>
    </row>
    <row r="248" spans="2:7" x14ac:dyDescent="0.4">
      <c r="B248">
        <v>2310041</v>
      </c>
      <c r="C248" t="s">
        <v>483</v>
      </c>
      <c r="D248" t="s">
        <v>452</v>
      </c>
      <c r="E248" t="s">
        <v>88</v>
      </c>
      <c r="F248" t="s">
        <v>75</v>
      </c>
      <c r="G248" t="s">
        <v>187</v>
      </c>
    </row>
    <row r="249" spans="2:7" x14ac:dyDescent="0.4">
      <c r="B249">
        <v>2310042</v>
      </c>
      <c r="C249" t="s">
        <v>485</v>
      </c>
      <c r="D249" t="s">
        <v>455</v>
      </c>
      <c r="E249" t="s">
        <v>131</v>
      </c>
      <c r="F249" t="s">
        <v>131</v>
      </c>
      <c r="G249" t="s">
        <v>173</v>
      </c>
    </row>
    <row r="250" spans="2:7" x14ac:dyDescent="0.4">
      <c r="B250">
        <v>2310043</v>
      </c>
      <c r="C250" t="s">
        <v>486</v>
      </c>
      <c r="D250" t="s">
        <v>421</v>
      </c>
      <c r="E250" t="s">
        <v>118</v>
      </c>
      <c r="F250" t="s">
        <v>118</v>
      </c>
      <c r="G250" t="s">
        <v>88</v>
      </c>
    </row>
    <row r="251" spans="2:7" x14ac:dyDescent="0.4">
      <c r="B251">
        <v>2310045</v>
      </c>
      <c r="C251" t="s">
        <v>487</v>
      </c>
      <c r="D251" t="s">
        <v>444</v>
      </c>
      <c r="E251" t="s">
        <v>108</v>
      </c>
      <c r="F251" t="s">
        <v>128</v>
      </c>
      <c r="G251" t="s">
        <v>691</v>
      </c>
    </row>
    <row r="252" spans="2:7" x14ac:dyDescent="0.4">
      <c r="B252">
        <v>2310046</v>
      </c>
      <c r="C252" t="s">
        <v>488</v>
      </c>
      <c r="D252" t="s">
        <v>1002</v>
      </c>
      <c r="E252" t="s">
        <v>88</v>
      </c>
      <c r="F252" t="s">
        <v>78</v>
      </c>
      <c r="G252" t="s">
        <v>318</v>
      </c>
    </row>
    <row r="253" spans="2:7" x14ac:dyDescent="0.4">
      <c r="B253">
        <v>2310047</v>
      </c>
      <c r="C253" t="s">
        <v>490</v>
      </c>
      <c r="D253" t="s">
        <v>464</v>
      </c>
      <c r="E253" t="s">
        <v>78</v>
      </c>
      <c r="F253" t="s">
        <v>78</v>
      </c>
      <c r="G253" t="s">
        <v>447</v>
      </c>
    </row>
    <row r="254" spans="2:7" x14ac:dyDescent="0.4">
      <c r="B254">
        <v>2404002</v>
      </c>
      <c r="C254" t="s">
        <v>491</v>
      </c>
      <c r="D254" t="s">
        <v>492</v>
      </c>
      <c r="E254" t="s">
        <v>88</v>
      </c>
      <c r="F254" t="s">
        <v>493</v>
      </c>
      <c r="G254" t="s">
        <v>494</v>
      </c>
    </row>
    <row r="255" spans="2:7" x14ac:dyDescent="0.4">
      <c r="B255">
        <v>2404004</v>
      </c>
      <c r="C255" t="s">
        <v>495</v>
      </c>
      <c r="D255" t="s">
        <v>1003</v>
      </c>
      <c r="E255" t="s">
        <v>118</v>
      </c>
      <c r="F255" t="s">
        <v>496</v>
      </c>
      <c r="G255" t="s">
        <v>1004</v>
      </c>
    </row>
    <row r="256" spans="2:7" x14ac:dyDescent="0.4">
      <c r="B256">
        <v>2404005</v>
      </c>
      <c r="C256" t="s">
        <v>497</v>
      </c>
      <c r="D256" t="s">
        <v>1005</v>
      </c>
      <c r="E256" t="s">
        <v>152</v>
      </c>
      <c r="F256" t="s">
        <v>214</v>
      </c>
      <c r="G256" t="s">
        <v>1006</v>
      </c>
    </row>
    <row r="257" spans="2:7" x14ac:dyDescent="0.4">
      <c r="B257">
        <v>2404006</v>
      </c>
      <c r="C257" t="s">
        <v>498</v>
      </c>
      <c r="D257" t="s">
        <v>1007</v>
      </c>
      <c r="E257" t="s">
        <v>88</v>
      </c>
      <c r="F257" t="s">
        <v>307</v>
      </c>
      <c r="G257" t="s">
        <v>1008</v>
      </c>
    </row>
    <row r="258" spans="2:7" x14ac:dyDescent="0.4">
      <c r="B258">
        <v>2404007</v>
      </c>
      <c r="C258" t="s">
        <v>499</v>
      </c>
      <c r="D258" t="s">
        <v>1009</v>
      </c>
      <c r="E258" t="s">
        <v>118</v>
      </c>
      <c r="F258" t="s">
        <v>325</v>
      </c>
      <c r="G258" t="s">
        <v>1010</v>
      </c>
    </row>
    <row r="259" spans="2:7" x14ac:dyDescent="0.4">
      <c r="B259">
        <v>2404008</v>
      </c>
      <c r="C259" t="s">
        <v>501</v>
      </c>
      <c r="D259" t="s">
        <v>1011</v>
      </c>
      <c r="E259" t="s">
        <v>118</v>
      </c>
      <c r="F259" t="s">
        <v>152</v>
      </c>
      <c r="G259" t="s">
        <v>721</v>
      </c>
    </row>
    <row r="260" spans="2:7" x14ac:dyDescent="0.4">
      <c r="B260">
        <v>2404009</v>
      </c>
      <c r="C260" t="s">
        <v>503</v>
      </c>
      <c r="D260" t="s">
        <v>1012</v>
      </c>
      <c r="E260" t="s">
        <v>165</v>
      </c>
      <c r="F260" t="s">
        <v>152</v>
      </c>
      <c r="G260" t="s">
        <v>1013</v>
      </c>
    </row>
    <row r="261" spans="2:7" x14ac:dyDescent="0.4">
      <c r="B261">
        <v>2404010</v>
      </c>
      <c r="C261" t="s">
        <v>505</v>
      </c>
      <c r="D261" t="s">
        <v>1014</v>
      </c>
      <c r="E261" t="s">
        <v>118</v>
      </c>
      <c r="F261" t="s">
        <v>78</v>
      </c>
      <c r="G261" t="s">
        <v>832</v>
      </c>
    </row>
    <row r="262" spans="2:7" x14ac:dyDescent="0.4">
      <c r="B262">
        <v>2404011</v>
      </c>
      <c r="C262" t="s">
        <v>508</v>
      </c>
      <c r="D262" t="s">
        <v>1015</v>
      </c>
      <c r="E262" t="s">
        <v>78</v>
      </c>
      <c r="F262" t="s">
        <v>83</v>
      </c>
      <c r="G262" t="s">
        <v>1016</v>
      </c>
    </row>
    <row r="263" spans="2:7" x14ac:dyDescent="0.4">
      <c r="B263">
        <v>2404012</v>
      </c>
      <c r="C263" t="s">
        <v>509</v>
      </c>
      <c r="D263" t="s">
        <v>1017</v>
      </c>
      <c r="E263" t="s">
        <v>88</v>
      </c>
      <c r="F263" t="s">
        <v>325</v>
      </c>
      <c r="G263" t="s">
        <v>1010</v>
      </c>
    </row>
    <row r="264" spans="2:7" x14ac:dyDescent="0.4">
      <c r="B264">
        <v>2404013</v>
      </c>
      <c r="C264" t="s">
        <v>511</v>
      </c>
      <c r="D264" t="s">
        <v>1018</v>
      </c>
      <c r="E264" t="s">
        <v>128</v>
      </c>
      <c r="F264" t="s">
        <v>152</v>
      </c>
      <c r="G264" t="s">
        <v>292</v>
      </c>
    </row>
    <row r="265" spans="2:7" x14ac:dyDescent="0.4">
      <c r="B265">
        <v>2404014</v>
      </c>
      <c r="C265" t="s">
        <v>513</v>
      </c>
      <c r="D265" t="s">
        <v>539</v>
      </c>
      <c r="E265" t="s">
        <v>112</v>
      </c>
      <c r="F265" t="s">
        <v>1019</v>
      </c>
      <c r="G265" t="s">
        <v>1020</v>
      </c>
    </row>
    <row r="266" spans="2:7" x14ac:dyDescent="0.4">
      <c r="B266">
        <v>2404015</v>
      </c>
      <c r="C266" t="s">
        <v>514</v>
      </c>
      <c r="D266" t="s">
        <v>1021</v>
      </c>
      <c r="E266" t="s">
        <v>121</v>
      </c>
      <c r="F266" t="s">
        <v>88</v>
      </c>
      <c r="G266" t="s">
        <v>790</v>
      </c>
    </row>
    <row r="267" spans="2:7" x14ac:dyDescent="0.4">
      <c r="B267">
        <v>2404016</v>
      </c>
      <c r="C267" t="s">
        <v>515</v>
      </c>
      <c r="D267" t="s">
        <v>1022</v>
      </c>
      <c r="E267" t="s">
        <v>108</v>
      </c>
      <c r="F267" t="s">
        <v>155</v>
      </c>
      <c r="G267" t="s">
        <v>993</v>
      </c>
    </row>
    <row r="268" spans="2:7" x14ac:dyDescent="0.4">
      <c r="B268">
        <v>2404017</v>
      </c>
      <c r="C268" t="s">
        <v>516</v>
      </c>
      <c r="D268" t="s">
        <v>1023</v>
      </c>
      <c r="E268" t="s">
        <v>121</v>
      </c>
      <c r="F268" t="s">
        <v>78</v>
      </c>
      <c r="G268" t="s">
        <v>832</v>
      </c>
    </row>
    <row r="269" spans="2:7" x14ac:dyDescent="0.4">
      <c r="B269">
        <v>2404018</v>
      </c>
      <c r="C269" t="s">
        <v>518</v>
      </c>
      <c r="D269" t="s">
        <v>1024</v>
      </c>
      <c r="E269" t="s">
        <v>75</v>
      </c>
      <c r="F269" t="s">
        <v>98</v>
      </c>
      <c r="G269" t="s">
        <v>1025</v>
      </c>
    </row>
    <row r="270" spans="2:7" x14ac:dyDescent="0.4">
      <c r="B270">
        <v>2404019</v>
      </c>
      <c r="C270" t="s">
        <v>519</v>
      </c>
      <c r="D270" t="s">
        <v>1026</v>
      </c>
      <c r="E270" t="s">
        <v>121</v>
      </c>
      <c r="F270" t="s">
        <v>275</v>
      </c>
      <c r="G270" t="s">
        <v>1027</v>
      </c>
    </row>
    <row r="271" spans="2:7" x14ac:dyDescent="0.4">
      <c r="B271">
        <v>2404020</v>
      </c>
      <c r="C271" t="s">
        <v>521</v>
      </c>
      <c r="D271" t="s">
        <v>1028</v>
      </c>
      <c r="E271" t="s">
        <v>88</v>
      </c>
      <c r="F271" t="s">
        <v>118</v>
      </c>
      <c r="G271" t="s">
        <v>88</v>
      </c>
    </row>
    <row r="272" spans="2:7" x14ac:dyDescent="0.4">
      <c r="B272">
        <v>2404021</v>
      </c>
      <c r="C272" t="s">
        <v>522</v>
      </c>
      <c r="D272" t="s">
        <v>1014</v>
      </c>
      <c r="E272" t="s">
        <v>118</v>
      </c>
      <c r="F272" t="s">
        <v>78</v>
      </c>
      <c r="G272" t="s">
        <v>832</v>
      </c>
    </row>
    <row r="273" spans="2:7" x14ac:dyDescent="0.4">
      <c r="B273">
        <v>2404022</v>
      </c>
      <c r="C273" t="s">
        <v>523</v>
      </c>
      <c r="D273" t="s">
        <v>1029</v>
      </c>
      <c r="E273" t="s">
        <v>121</v>
      </c>
      <c r="F273" t="s">
        <v>128</v>
      </c>
      <c r="G273" t="s">
        <v>299</v>
      </c>
    </row>
    <row r="274" spans="2:7" x14ac:dyDescent="0.4">
      <c r="B274">
        <v>2404023</v>
      </c>
      <c r="C274" t="s">
        <v>524</v>
      </c>
      <c r="D274" t="s">
        <v>1030</v>
      </c>
      <c r="E274" t="s">
        <v>118</v>
      </c>
      <c r="F274" t="s">
        <v>118</v>
      </c>
      <c r="G274" t="s">
        <v>88</v>
      </c>
    </row>
    <row r="275" spans="2:7" x14ac:dyDescent="0.4">
      <c r="B275">
        <v>2404024</v>
      </c>
      <c r="C275" t="s">
        <v>525</v>
      </c>
      <c r="D275" t="s">
        <v>1028</v>
      </c>
      <c r="E275" t="s">
        <v>88</v>
      </c>
      <c r="F275" t="s">
        <v>118</v>
      </c>
      <c r="G275" t="s">
        <v>88</v>
      </c>
    </row>
    <row r="276" spans="2:7" x14ac:dyDescent="0.4">
      <c r="B276">
        <v>2404025</v>
      </c>
      <c r="C276" t="s">
        <v>519</v>
      </c>
      <c r="D276" t="s">
        <v>1031</v>
      </c>
      <c r="E276" t="s">
        <v>78</v>
      </c>
      <c r="F276" t="s">
        <v>131</v>
      </c>
      <c r="G276" t="s">
        <v>1032</v>
      </c>
    </row>
    <row r="277" spans="2:7" x14ac:dyDescent="0.4">
      <c r="B277">
        <v>2404026</v>
      </c>
      <c r="C277" t="s">
        <v>526</v>
      </c>
      <c r="D277" t="s">
        <v>1033</v>
      </c>
      <c r="E277" t="s">
        <v>88</v>
      </c>
      <c r="F277" t="s">
        <v>528</v>
      </c>
      <c r="G277" t="s">
        <v>1034</v>
      </c>
    </row>
    <row r="278" spans="2:7" x14ac:dyDescent="0.4">
      <c r="B278">
        <v>2404027</v>
      </c>
      <c r="C278" t="s">
        <v>529</v>
      </c>
      <c r="D278" t="s">
        <v>1035</v>
      </c>
      <c r="E278" t="s">
        <v>121</v>
      </c>
      <c r="F278" t="s">
        <v>204</v>
      </c>
      <c r="G278" t="s">
        <v>882</v>
      </c>
    </row>
    <row r="279" spans="2:7" x14ac:dyDescent="0.4">
      <c r="B279">
        <v>2404028</v>
      </c>
      <c r="C279" t="s">
        <v>531</v>
      </c>
      <c r="D279" t="s">
        <v>1005</v>
      </c>
      <c r="E279" t="s">
        <v>165</v>
      </c>
      <c r="F279" t="s">
        <v>229</v>
      </c>
      <c r="G279" t="s">
        <v>1036</v>
      </c>
    </row>
    <row r="280" spans="2:7" x14ac:dyDescent="0.4">
      <c r="B280">
        <v>2404029</v>
      </c>
      <c r="C280" t="s">
        <v>532</v>
      </c>
      <c r="D280" t="s">
        <v>1030</v>
      </c>
      <c r="E280" t="s">
        <v>118</v>
      </c>
      <c r="F280" t="s">
        <v>118</v>
      </c>
      <c r="G280" t="s">
        <v>88</v>
      </c>
    </row>
    <row r="281" spans="2:7" x14ac:dyDescent="0.4">
      <c r="B281">
        <v>2404030</v>
      </c>
      <c r="C281" t="s">
        <v>533</v>
      </c>
      <c r="D281" t="s">
        <v>1037</v>
      </c>
      <c r="E281" t="s">
        <v>118</v>
      </c>
      <c r="F281" t="s">
        <v>121</v>
      </c>
      <c r="G281" t="s">
        <v>133</v>
      </c>
    </row>
    <row r="282" spans="2:7" x14ac:dyDescent="0.4">
      <c r="B282">
        <v>2404031</v>
      </c>
      <c r="C282" t="s">
        <v>534</v>
      </c>
      <c r="D282" t="s">
        <v>1030</v>
      </c>
      <c r="E282" t="s">
        <v>118</v>
      </c>
      <c r="F282" t="s">
        <v>118</v>
      </c>
      <c r="G282" t="s">
        <v>88</v>
      </c>
    </row>
    <row r="283" spans="2:7" x14ac:dyDescent="0.4">
      <c r="B283">
        <v>2404032</v>
      </c>
      <c r="C283" t="s">
        <v>535</v>
      </c>
      <c r="D283" t="s">
        <v>1018</v>
      </c>
      <c r="E283" t="s">
        <v>87</v>
      </c>
      <c r="F283" t="s">
        <v>157</v>
      </c>
      <c r="G283" t="s">
        <v>617</v>
      </c>
    </row>
    <row r="284" spans="2:7" x14ac:dyDescent="0.4">
      <c r="B284">
        <v>2404033</v>
      </c>
      <c r="C284" t="s">
        <v>537</v>
      </c>
      <c r="D284" t="s">
        <v>1031</v>
      </c>
      <c r="E284" t="s">
        <v>131</v>
      </c>
      <c r="F284" t="s">
        <v>78</v>
      </c>
      <c r="G284" t="s">
        <v>832</v>
      </c>
    </row>
    <row r="285" spans="2:7" x14ac:dyDescent="0.4">
      <c r="B285">
        <v>2404034</v>
      </c>
      <c r="C285" t="s">
        <v>538</v>
      </c>
      <c r="D285" t="s">
        <v>1038</v>
      </c>
      <c r="E285" t="s">
        <v>108</v>
      </c>
      <c r="F285" t="s">
        <v>88</v>
      </c>
      <c r="G285" t="s">
        <v>133</v>
      </c>
    </row>
    <row r="286" spans="2:7" x14ac:dyDescent="0.4">
      <c r="B286">
        <v>2404035</v>
      </c>
      <c r="C286" t="s">
        <v>540</v>
      </c>
      <c r="D286" t="s">
        <v>1024</v>
      </c>
      <c r="E286" t="s">
        <v>75</v>
      </c>
      <c r="F286" t="s">
        <v>98</v>
      </c>
      <c r="G286" t="s">
        <v>1025</v>
      </c>
    </row>
    <row r="287" spans="2:7" x14ac:dyDescent="0.4">
      <c r="B287">
        <v>2404036</v>
      </c>
      <c r="C287" t="s">
        <v>542</v>
      </c>
      <c r="D287" t="s">
        <v>1039</v>
      </c>
      <c r="E287" t="s">
        <v>128</v>
      </c>
      <c r="F287" t="s">
        <v>235</v>
      </c>
      <c r="G287" t="s">
        <v>109</v>
      </c>
    </row>
    <row r="288" spans="2:7" x14ac:dyDescent="0.4">
      <c r="B288">
        <v>2404037</v>
      </c>
      <c r="C288" t="s">
        <v>544</v>
      </c>
      <c r="D288" t="s">
        <v>1018</v>
      </c>
      <c r="E288" t="s">
        <v>87</v>
      </c>
      <c r="F288" t="s">
        <v>157</v>
      </c>
      <c r="G288" t="s">
        <v>166</v>
      </c>
    </row>
    <row r="289" spans="2:7" x14ac:dyDescent="0.4">
      <c r="B289">
        <v>2404038</v>
      </c>
      <c r="C289" t="s">
        <v>545</v>
      </c>
      <c r="D289" t="s">
        <v>1040</v>
      </c>
      <c r="E289" t="s">
        <v>88</v>
      </c>
      <c r="F289" t="s">
        <v>196</v>
      </c>
      <c r="G289" t="s">
        <v>1041</v>
      </c>
    </row>
    <row r="290" spans="2:7" x14ac:dyDescent="0.4">
      <c r="B290">
        <v>2404039</v>
      </c>
      <c r="C290" t="s">
        <v>546</v>
      </c>
      <c r="D290" t="s">
        <v>1037</v>
      </c>
      <c r="E290" t="s">
        <v>121</v>
      </c>
      <c r="F290" t="s">
        <v>118</v>
      </c>
      <c r="G290" t="s">
        <v>88</v>
      </c>
    </row>
    <row r="291" spans="2:7" x14ac:dyDescent="0.4">
      <c r="B291">
        <v>2404040</v>
      </c>
      <c r="C291" t="s">
        <v>547</v>
      </c>
      <c r="D291" t="s">
        <v>1031</v>
      </c>
      <c r="E291" t="s">
        <v>118</v>
      </c>
      <c r="F291" t="s">
        <v>112</v>
      </c>
      <c r="G291" t="s">
        <v>617</v>
      </c>
    </row>
    <row r="292" spans="2:7" x14ac:dyDescent="0.4">
      <c r="B292">
        <v>2404041</v>
      </c>
      <c r="C292" t="s">
        <v>548</v>
      </c>
      <c r="D292" t="s">
        <v>1039</v>
      </c>
      <c r="E292" t="s">
        <v>121</v>
      </c>
      <c r="F292" t="s">
        <v>98</v>
      </c>
      <c r="G292" t="s">
        <v>1025</v>
      </c>
    </row>
    <row r="293" spans="2:7" x14ac:dyDescent="0.4">
      <c r="B293">
        <v>2404042</v>
      </c>
      <c r="C293" t="s">
        <v>549</v>
      </c>
      <c r="D293" t="s">
        <v>1028</v>
      </c>
      <c r="E293" t="s">
        <v>88</v>
      </c>
      <c r="F293" t="s">
        <v>118</v>
      </c>
      <c r="G293" t="s">
        <v>88</v>
      </c>
    </row>
    <row r="294" spans="2:7" x14ac:dyDescent="0.4">
      <c r="B294">
        <v>2404043</v>
      </c>
      <c r="C294" t="s">
        <v>550</v>
      </c>
      <c r="D294" t="s">
        <v>1042</v>
      </c>
      <c r="E294" t="s">
        <v>88</v>
      </c>
      <c r="F294" t="s">
        <v>157</v>
      </c>
      <c r="G294" t="s">
        <v>366</v>
      </c>
    </row>
    <row r="295" spans="2:7" x14ac:dyDescent="0.4">
      <c r="B295">
        <v>2404044</v>
      </c>
      <c r="C295" t="s">
        <v>552</v>
      </c>
      <c r="D295" t="s">
        <v>1021</v>
      </c>
      <c r="E295" t="s">
        <v>75</v>
      </c>
      <c r="F295" t="s">
        <v>118</v>
      </c>
      <c r="G295" t="s">
        <v>88</v>
      </c>
    </row>
    <row r="296" spans="2:7" x14ac:dyDescent="0.4">
      <c r="B296">
        <v>2404045</v>
      </c>
      <c r="C296" t="s">
        <v>553</v>
      </c>
      <c r="D296" t="s">
        <v>1043</v>
      </c>
      <c r="E296" t="s">
        <v>121</v>
      </c>
      <c r="F296" t="s">
        <v>155</v>
      </c>
      <c r="G296" t="s">
        <v>1044</v>
      </c>
    </row>
    <row r="297" spans="2:7" x14ac:dyDescent="0.4">
      <c r="B297">
        <v>2404046</v>
      </c>
      <c r="C297" t="s">
        <v>555</v>
      </c>
      <c r="D297" t="s">
        <v>1030</v>
      </c>
      <c r="E297" t="s">
        <v>118</v>
      </c>
      <c r="F297" t="s">
        <v>118</v>
      </c>
      <c r="G297" t="s">
        <v>88</v>
      </c>
    </row>
    <row r="298" spans="2:7" x14ac:dyDescent="0.4">
      <c r="B298">
        <v>2404047</v>
      </c>
      <c r="C298" t="s">
        <v>556</v>
      </c>
      <c r="D298" t="s">
        <v>1021</v>
      </c>
      <c r="E298" t="s">
        <v>121</v>
      </c>
      <c r="F298" t="s">
        <v>88</v>
      </c>
      <c r="G298" t="s">
        <v>790</v>
      </c>
    </row>
    <row r="299" spans="2:7" x14ac:dyDescent="0.4">
      <c r="B299">
        <v>2404048</v>
      </c>
      <c r="C299" t="s">
        <v>557</v>
      </c>
      <c r="D299" t="s">
        <v>1045</v>
      </c>
      <c r="E299" t="s">
        <v>121</v>
      </c>
      <c r="F299" t="s">
        <v>155</v>
      </c>
      <c r="G299" t="s">
        <v>1046</v>
      </c>
    </row>
    <row r="300" spans="2:7" x14ac:dyDescent="0.4">
      <c r="B300">
        <v>2404049</v>
      </c>
      <c r="C300" t="s">
        <v>558</v>
      </c>
      <c r="D300" t="s">
        <v>1047</v>
      </c>
      <c r="E300" t="s">
        <v>78</v>
      </c>
      <c r="F300" t="s">
        <v>108</v>
      </c>
      <c r="G300" t="s">
        <v>276</v>
      </c>
    </row>
    <row r="301" spans="2:7" x14ac:dyDescent="0.4">
      <c r="B301">
        <v>2404050</v>
      </c>
      <c r="C301" t="s">
        <v>560</v>
      </c>
      <c r="D301" t="s">
        <v>1030</v>
      </c>
      <c r="E301" t="s">
        <v>118</v>
      </c>
      <c r="F301" t="s">
        <v>118</v>
      </c>
      <c r="G301" t="s">
        <v>88</v>
      </c>
    </row>
    <row r="302" spans="2:7" x14ac:dyDescent="0.4">
      <c r="B302">
        <v>2404051</v>
      </c>
      <c r="C302" t="s">
        <v>561</v>
      </c>
      <c r="D302" t="s">
        <v>1030</v>
      </c>
      <c r="E302" t="s">
        <v>118</v>
      </c>
      <c r="F302" t="s">
        <v>118</v>
      </c>
      <c r="G302" t="s">
        <v>88</v>
      </c>
    </row>
    <row r="303" spans="2:7" x14ac:dyDescent="0.4">
      <c r="B303">
        <v>2404052</v>
      </c>
      <c r="C303" t="s">
        <v>562</v>
      </c>
      <c r="D303" t="s">
        <v>1048</v>
      </c>
      <c r="E303" t="s">
        <v>128</v>
      </c>
      <c r="F303" t="s">
        <v>157</v>
      </c>
      <c r="G303" t="s">
        <v>366</v>
      </c>
    </row>
    <row r="304" spans="2:7" x14ac:dyDescent="0.4">
      <c r="B304">
        <v>2404053</v>
      </c>
      <c r="C304" t="s">
        <v>564</v>
      </c>
      <c r="D304" t="s">
        <v>1030</v>
      </c>
      <c r="E304" t="s">
        <v>118</v>
      </c>
      <c r="F304" t="s">
        <v>118</v>
      </c>
      <c r="G304" t="s">
        <v>88</v>
      </c>
    </row>
    <row r="305" spans="2:7" x14ac:dyDescent="0.4">
      <c r="B305">
        <v>2404055</v>
      </c>
      <c r="C305" t="s">
        <v>565</v>
      </c>
      <c r="D305" t="s">
        <v>1049</v>
      </c>
      <c r="E305" t="s">
        <v>204</v>
      </c>
      <c r="F305" t="s">
        <v>307</v>
      </c>
      <c r="G305" t="s">
        <v>425</v>
      </c>
    </row>
    <row r="306" spans="2:7" x14ac:dyDescent="0.4">
      <c r="B306">
        <v>2404056</v>
      </c>
      <c r="C306" t="s">
        <v>566</v>
      </c>
      <c r="D306" t="s">
        <v>1050</v>
      </c>
      <c r="E306" t="s">
        <v>75</v>
      </c>
      <c r="F306" t="s">
        <v>83</v>
      </c>
      <c r="G306" t="s">
        <v>1016</v>
      </c>
    </row>
    <row r="307" spans="2:7" x14ac:dyDescent="0.4">
      <c r="B307">
        <v>2404057</v>
      </c>
      <c r="C307" t="s">
        <v>567</v>
      </c>
      <c r="D307" t="s">
        <v>1050</v>
      </c>
      <c r="E307" t="s">
        <v>121</v>
      </c>
      <c r="F307" t="s">
        <v>157</v>
      </c>
      <c r="G307" t="s">
        <v>502</v>
      </c>
    </row>
    <row r="308" spans="2:7" x14ac:dyDescent="0.4">
      <c r="B308">
        <v>2404058</v>
      </c>
      <c r="C308" t="s">
        <v>568</v>
      </c>
      <c r="D308" t="s">
        <v>1030</v>
      </c>
      <c r="E308" t="s">
        <v>118</v>
      </c>
      <c r="F308" t="s">
        <v>118</v>
      </c>
      <c r="G308" t="s">
        <v>88</v>
      </c>
    </row>
    <row r="309" spans="2:7" x14ac:dyDescent="0.4">
      <c r="B309">
        <v>2404061</v>
      </c>
      <c r="C309" t="s">
        <v>569</v>
      </c>
      <c r="D309" t="s">
        <v>551</v>
      </c>
      <c r="E309" t="s">
        <v>118</v>
      </c>
      <c r="F309" t="s">
        <v>88</v>
      </c>
      <c r="G309" t="s">
        <v>149</v>
      </c>
    </row>
    <row r="310" spans="2:7" x14ac:dyDescent="0.4">
      <c r="B310">
        <v>2404062</v>
      </c>
      <c r="C310" t="s">
        <v>570</v>
      </c>
      <c r="D310" t="s">
        <v>1049</v>
      </c>
      <c r="E310" t="s">
        <v>121</v>
      </c>
      <c r="F310" t="s">
        <v>157</v>
      </c>
      <c r="G310" t="s">
        <v>829</v>
      </c>
    </row>
    <row r="311" spans="2:7" x14ac:dyDescent="0.4">
      <c r="B311">
        <v>2404063</v>
      </c>
      <c r="C311" t="s">
        <v>571</v>
      </c>
      <c r="D311" t="s">
        <v>1051</v>
      </c>
      <c r="E311" t="s">
        <v>118</v>
      </c>
      <c r="F311" t="s">
        <v>118</v>
      </c>
      <c r="G311" t="s">
        <v>88</v>
      </c>
    </row>
    <row r="312" spans="2:7" x14ac:dyDescent="0.4">
      <c r="B312">
        <v>2404064</v>
      </c>
      <c r="C312" t="s">
        <v>572</v>
      </c>
      <c r="D312" t="s">
        <v>666</v>
      </c>
      <c r="E312" t="s">
        <v>118</v>
      </c>
      <c r="F312" t="s">
        <v>118</v>
      </c>
      <c r="G312" t="s">
        <v>88</v>
      </c>
    </row>
    <row r="313" spans="2:7" x14ac:dyDescent="0.4">
      <c r="B313">
        <v>2404065</v>
      </c>
      <c r="C313" t="s">
        <v>573</v>
      </c>
      <c r="D313" t="s">
        <v>675</v>
      </c>
      <c r="E313" t="s">
        <v>118</v>
      </c>
      <c r="F313" t="s">
        <v>118</v>
      </c>
      <c r="G313" t="s">
        <v>88</v>
      </c>
    </row>
    <row r="314" spans="2:7" x14ac:dyDescent="0.4">
      <c r="B314">
        <v>2404066</v>
      </c>
      <c r="C314" t="s">
        <v>574</v>
      </c>
      <c r="D314" t="s">
        <v>527</v>
      </c>
      <c r="E314" t="s">
        <v>128</v>
      </c>
      <c r="F314" t="s">
        <v>87</v>
      </c>
      <c r="G314" t="s">
        <v>238</v>
      </c>
    </row>
    <row r="315" spans="2:7" x14ac:dyDescent="0.4">
      <c r="B315">
        <v>2404070</v>
      </c>
      <c r="C315" t="s">
        <v>576</v>
      </c>
      <c r="D315" t="s">
        <v>1052</v>
      </c>
      <c r="E315" t="s">
        <v>88</v>
      </c>
      <c r="F315" t="s">
        <v>118</v>
      </c>
      <c r="G315" t="s">
        <v>88</v>
      </c>
    </row>
    <row r="316" spans="2:7" x14ac:dyDescent="0.4">
      <c r="B316">
        <v>2404071</v>
      </c>
      <c r="C316" t="s">
        <v>577</v>
      </c>
      <c r="D316" t="s">
        <v>1053</v>
      </c>
      <c r="E316" t="s">
        <v>87</v>
      </c>
      <c r="F316" t="s">
        <v>121</v>
      </c>
      <c r="G316" t="s">
        <v>682</v>
      </c>
    </row>
    <row r="317" spans="2:7" x14ac:dyDescent="0.4">
      <c r="B317">
        <v>2404072</v>
      </c>
      <c r="C317" t="s">
        <v>578</v>
      </c>
      <c r="D317" t="s">
        <v>539</v>
      </c>
      <c r="E317" t="s">
        <v>118</v>
      </c>
      <c r="F317" t="s">
        <v>118</v>
      </c>
      <c r="G317" t="s">
        <v>88</v>
      </c>
    </row>
    <row r="318" spans="2:7" x14ac:dyDescent="0.4">
      <c r="B318">
        <v>2404073</v>
      </c>
      <c r="C318" t="s">
        <v>579</v>
      </c>
      <c r="D318" t="s">
        <v>1054</v>
      </c>
      <c r="E318" t="s">
        <v>157</v>
      </c>
      <c r="F318" t="s">
        <v>118</v>
      </c>
      <c r="G318" t="s">
        <v>88</v>
      </c>
    </row>
    <row r="319" spans="2:7" x14ac:dyDescent="0.4">
      <c r="B319">
        <v>2404074</v>
      </c>
      <c r="C319" t="s">
        <v>580</v>
      </c>
      <c r="D319" t="s">
        <v>1007</v>
      </c>
      <c r="E319" t="s">
        <v>88</v>
      </c>
      <c r="F319" t="s">
        <v>118</v>
      </c>
      <c r="G319" t="s">
        <v>88</v>
      </c>
    </row>
    <row r="320" spans="2:7" x14ac:dyDescent="0.4">
      <c r="B320">
        <v>2404075</v>
      </c>
      <c r="C320" t="s">
        <v>582</v>
      </c>
      <c r="D320" t="s">
        <v>563</v>
      </c>
      <c r="E320" t="s">
        <v>88</v>
      </c>
      <c r="F320" t="s">
        <v>78</v>
      </c>
      <c r="G320" t="s">
        <v>1055</v>
      </c>
    </row>
    <row r="321" spans="2:7" x14ac:dyDescent="0.4">
      <c r="B321">
        <v>2404076</v>
      </c>
      <c r="C321" t="s">
        <v>583</v>
      </c>
      <c r="D321" t="s">
        <v>1056</v>
      </c>
      <c r="E321" t="s">
        <v>118</v>
      </c>
      <c r="F321" t="s">
        <v>118</v>
      </c>
      <c r="G321" t="s">
        <v>88</v>
      </c>
    </row>
    <row r="322" spans="2:7" x14ac:dyDescent="0.4">
      <c r="B322">
        <v>2404077</v>
      </c>
      <c r="C322" t="s">
        <v>584</v>
      </c>
      <c r="D322" t="s">
        <v>1056</v>
      </c>
      <c r="E322" t="s">
        <v>118</v>
      </c>
      <c r="F322" t="s">
        <v>118</v>
      </c>
      <c r="G322" t="s">
        <v>88</v>
      </c>
    </row>
    <row r="323" spans="2:7" x14ac:dyDescent="0.4">
      <c r="B323">
        <v>2404078</v>
      </c>
      <c r="C323" t="s">
        <v>585</v>
      </c>
      <c r="D323" t="s">
        <v>675</v>
      </c>
      <c r="E323" t="s">
        <v>75</v>
      </c>
      <c r="F323" t="s">
        <v>88</v>
      </c>
      <c r="G323" t="s">
        <v>149</v>
      </c>
    </row>
    <row r="324" spans="2:7" x14ac:dyDescent="0.4">
      <c r="B324">
        <v>2404079</v>
      </c>
      <c r="C324" t="s">
        <v>586</v>
      </c>
      <c r="D324" t="s">
        <v>563</v>
      </c>
      <c r="E324" t="s">
        <v>88</v>
      </c>
      <c r="F324" t="s">
        <v>118</v>
      </c>
      <c r="G324" t="s">
        <v>88</v>
      </c>
    </row>
    <row r="325" spans="2:7" x14ac:dyDescent="0.4">
      <c r="B325">
        <v>2404080</v>
      </c>
      <c r="C325" t="s">
        <v>587</v>
      </c>
      <c r="D325" t="s">
        <v>1057</v>
      </c>
      <c r="E325" t="s">
        <v>118</v>
      </c>
      <c r="F325" t="s">
        <v>118</v>
      </c>
      <c r="G325" t="s">
        <v>88</v>
      </c>
    </row>
    <row r="326" spans="2:7" x14ac:dyDescent="0.4">
      <c r="B326">
        <v>2404081</v>
      </c>
      <c r="C326" t="s">
        <v>588</v>
      </c>
      <c r="D326" t="s">
        <v>1058</v>
      </c>
      <c r="E326" t="s">
        <v>78</v>
      </c>
      <c r="F326" t="s">
        <v>237</v>
      </c>
      <c r="G326" t="s">
        <v>1059</v>
      </c>
    </row>
    <row r="327" spans="2:7" x14ac:dyDescent="0.4">
      <c r="B327">
        <v>2404082</v>
      </c>
      <c r="C327" t="s">
        <v>589</v>
      </c>
      <c r="D327" t="s">
        <v>1056</v>
      </c>
      <c r="E327" t="s">
        <v>118</v>
      </c>
      <c r="F327" t="s">
        <v>118</v>
      </c>
      <c r="G327" t="s">
        <v>88</v>
      </c>
    </row>
    <row r="328" spans="2:7" x14ac:dyDescent="0.4">
      <c r="B328">
        <v>2404083</v>
      </c>
      <c r="C328" t="s">
        <v>590</v>
      </c>
      <c r="D328" t="s">
        <v>1056</v>
      </c>
      <c r="E328" t="s">
        <v>118</v>
      </c>
      <c r="F328" t="s">
        <v>118</v>
      </c>
      <c r="G328" t="s">
        <v>88</v>
      </c>
    </row>
    <row r="329" spans="2:7" x14ac:dyDescent="0.4">
      <c r="B329">
        <v>2404084</v>
      </c>
      <c r="C329" t="s">
        <v>591</v>
      </c>
      <c r="D329" t="s">
        <v>1060</v>
      </c>
      <c r="E329" t="s">
        <v>121</v>
      </c>
      <c r="F329" t="s">
        <v>118</v>
      </c>
      <c r="G329" t="s">
        <v>88</v>
      </c>
    </row>
    <row r="330" spans="2:7" x14ac:dyDescent="0.4">
      <c r="B330">
        <v>2404086</v>
      </c>
      <c r="C330" t="s">
        <v>592</v>
      </c>
      <c r="D330" t="s">
        <v>1061</v>
      </c>
      <c r="E330" t="s">
        <v>75</v>
      </c>
      <c r="F330" t="s">
        <v>152</v>
      </c>
      <c r="G330" t="s">
        <v>1062</v>
      </c>
    </row>
    <row r="331" spans="2:7" x14ac:dyDescent="0.4">
      <c r="B331">
        <v>2404087</v>
      </c>
      <c r="C331" t="s">
        <v>593</v>
      </c>
      <c r="D331" t="s">
        <v>1051</v>
      </c>
      <c r="E331" t="s">
        <v>157</v>
      </c>
      <c r="F331" t="s">
        <v>196</v>
      </c>
      <c r="G331" t="s">
        <v>1025</v>
      </c>
    </row>
    <row r="332" spans="2:7" x14ac:dyDescent="0.4">
      <c r="B332">
        <v>2404088</v>
      </c>
      <c r="C332" t="s">
        <v>594</v>
      </c>
      <c r="D332" t="s">
        <v>675</v>
      </c>
      <c r="E332" t="s">
        <v>78</v>
      </c>
      <c r="F332" t="s">
        <v>118</v>
      </c>
      <c r="G332" t="s">
        <v>88</v>
      </c>
    </row>
    <row r="333" spans="2:7" x14ac:dyDescent="0.4">
      <c r="B333">
        <v>2404089</v>
      </c>
      <c r="C333" t="s">
        <v>595</v>
      </c>
      <c r="D333" t="s">
        <v>1056</v>
      </c>
      <c r="E333" t="s">
        <v>118</v>
      </c>
      <c r="F333" t="s">
        <v>118</v>
      </c>
      <c r="G333" t="s">
        <v>88</v>
      </c>
    </row>
    <row r="334" spans="2:7" x14ac:dyDescent="0.4">
      <c r="B334">
        <v>2404090</v>
      </c>
      <c r="C334" t="s">
        <v>596</v>
      </c>
      <c r="D334" t="s">
        <v>504</v>
      </c>
      <c r="E334" t="s">
        <v>88</v>
      </c>
      <c r="F334" t="s">
        <v>121</v>
      </c>
      <c r="G334" t="s">
        <v>682</v>
      </c>
    </row>
    <row r="335" spans="2:7" x14ac:dyDescent="0.4">
      <c r="B335">
        <v>2404091</v>
      </c>
      <c r="C335" t="s">
        <v>597</v>
      </c>
      <c r="D335" t="s">
        <v>1051</v>
      </c>
      <c r="E335" t="s">
        <v>118</v>
      </c>
      <c r="F335" t="s">
        <v>118</v>
      </c>
      <c r="G335" t="s">
        <v>88</v>
      </c>
    </row>
    <row r="336" spans="2:7" x14ac:dyDescent="0.4">
      <c r="B336">
        <v>2404092</v>
      </c>
      <c r="C336" t="s">
        <v>598</v>
      </c>
      <c r="D336" t="s">
        <v>541</v>
      </c>
      <c r="E336" t="s">
        <v>131</v>
      </c>
      <c r="F336" t="s">
        <v>87</v>
      </c>
      <c r="G336" t="s">
        <v>1063</v>
      </c>
    </row>
    <row r="337" spans="2:7" x14ac:dyDescent="0.4">
      <c r="B337">
        <v>2404093</v>
      </c>
      <c r="C337" t="s">
        <v>599</v>
      </c>
      <c r="D337" t="s">
        <v>500</v>
      </c>
      <c r="E337" t="s">
        <v>118</v>
      </c>
      <c r="F337" t="s">
        <v>88</v>
      </c>
      <c r="G337" t="s">
        <v>633</v>
      </c>
    </row>
    <row r="338" spans="2:7" x14ac:dyDescent="0.4">
      <c r="B338">
        <v>2404095</v>
      </c>
      <c r="C338" t="s">
        <v>600</v>
      </c>
      <c r="D338" t="s">
        <v>520</v>
      </c>
      <c r="E338" t="s">
        <v>88</v>
      </c>
      <c r="F338" t="s">
        <v>157</v>
      </c>
      <c r="G338" t="s">
        <v>166</v>
      </c>
    </row>
    <row r="339" spans="2:7" x14ac:dyDescent="0.4">
      <c r="B339">
        <v>2404096</v>
      </c>
      <c r="C339" t="s">
        <v>601</v>
      </c>
      <c r="D339" t="s">
        <v>1064</v>
      </c>
      <c r="E339" t="s">
        <v>118</v>
      </c>
      <c r="F339" t="s">
        <v>118</v>
      </c>
      <c r="G339" t="s">
        <v>88</v>
      </c>
    </row>
    <row r="340" spans="2:7" x14ac:dyDescent="0.4">
      <c r="B340">
        <v>2404097</v>
      </c>
      <c r="C340" t="s">
        <v>602</v>
      </c>
      <c r="D340" t="s">
        <v>1011</v>
      </c>
      <c r="E340" t="s">
        <v>128</v>
      </c>
      <c r="F340" t="s">
        <v>108</v>
      </c>
      <c r="G340" t="s">
        <v>1065</v>
      </c>
    </row>
    <row r="341" spans="2:7" x14ac:dyDescent="0.4">
      <c r="B341">
        <v>2404098</v>
      </c>
      <c r="C341" t="s">
        <v>604</v>
      </c>
      <c r="D341" t="s">
        <v>675</v>
      </c>
      <c r="E341" t="s">
        <v>118</v>
      </c>
      <c r="F341" t="s">
        <v>118</v>
      </c>
      <c r="G341" t="s">
        <v>88</v>
      </c>
    </row>
    <row r="342" spans="2:7" x14ac:dyDescent="0.4">
      <c r="B342">
        <v>2404099</v>
      </c>
      <c r="C342" t="s">
        <v>605</v>
      </c>
      <c r="D342" t="s">
        <v>675</v>
      </c>
      <c r="E342" t="s">
        <v>118</v>
      </c>
      <c r="F342" t="s">
        <v>118</v>
      </c>
      <c r="G342" t="s">
        <v>88</v>
      </c>
    </row>
    <row r="343" spans="2:7" x14ac:dyDescent="0.4">
      <c r="B343">
        <v>2404100</v>
      </c>
      <c r="C343" t="s">
        <v>606</v>
      </c>
      <c r="D343" t="s">
        <v>512</v>
      </c>
      <c r="E343" t="s">
        <v>118</v>
      </c>
      <c r="F343" t="s">
        <v>118</v>
      </c>
      <c r="G343" t="s">
        <v>88</v>
      </c>
    </row>
    <row r="344" spans="2:7" x14ac:dyDescent="0.4">
      <c r="B344">
        <v>2404101</v>
      </c>
      <c r="C344" t="s">
        <v>607</v>
      </c>
      <c r="D344" t="s">
        <v>517</v>
      </c>
      <c r="E344" t="s">
        <v>121</v>
      </c>
      <c r="F344" t="s">
        <v>118</v>
      </c>
      <c r="G344" t="s">
        <v>88</v>
      </c>
    </row>
    <row r="345" spans="2:7" x14ac:dyDescent="0.4">
      <c r="B345">
        <v>2404102</v>
      </c>
      <c r="C345" t="s">
        <v>608</v>
      </c>
      <c r="D345" t="s">
        <v>536</v>
      </c>
      <c r="E345" t="s">
        <v>118</v>
      </c>
      <c r="F345" t="s">
        <v>88</v>
      </c>
      <c r="G345" t="s">
        <v>149</v>
      </c>
    </row>
    <row r="346" spans="2:7" x14ac:dyDescent="0.4">
      <c r="B346">
        <v>2404103</v>
      </c>
      <c r="C346" t="s">
        <v>609</v>
      </c>
      <c r="D346" t="s">
        <v>1054</v>
      </c>
      <c r="E346" t="s">
        <v>118</v>
      </c>
      <c r="F346" t="s">
        <v>118</v>
      </c>
      <c r="G346" t="s">
        <v>88</v>
      </c>
    </row>
    <row r="347" spans="2:7" x14ac:dyDescent="0.4">
      <c r="B347">
        <v>2404105</v>
      </c>
      <c r="C347" t="s">
        <v>610</v>
      </c>
      <c r="D347" t="s">
        <v>581</v>
      </c>
      <c r="E347" t="s">
        <v>128</v>
      </c>
      <c r="F347" t="s">
        <v>118</v>
      </c>
      <c r="G347" t="s">
        <v>88</v>
      </c>
    </row>
    <row r="348" spans="2:7" x14ac:dyDescent="0.4">
      <c r="B348">
        <v>2404108</v>
      </c>
      <c r="C348" t="s">
        <v>611</v>
      </c>
      <c r="D348" t="s">
        <v>559</v>
      </c>
      <c r="E348" t="s">
        <v>88</v>
      </c>
      <c r="F348" t="s">
        <v>121</v>
      </c>
      <c r="G348" t="s">
        <v>682</v>
      </c>
    </row>
    <row r="349" spans="2:7" x14ac:dyDescent="0.4">
      <c r="B349">
        <v>2404109</v>
      </c>
      <c r="C349" t="s">
        <v>612</v>
      </c>
      <c r="D349" t="s">
        <v>1066</v>
      </c>
      <c r="E349" t="s">
        <v>118</v>
      </c>
      <c r="F349" t="s">
        <v>118</v>
      </c>
      <c r="G349" t="s">
        <v>88</v>
      </c>
    </row>
    <row r="350" spans="2:7" x14ac:dyDescent="0.4">
      <c r="B350">
        <v>2404110</v>
      </c>
      <c r="C350" t="s">
        <v>613</v>
      </c>
      <c r="D350" t="s">
        <v>637</v>
      </c>
      <c r="E350" t="s">
        <v>118</v>
      </c>
      <c r="F350" t="s">
        <v>118</v>
      </c>
      <c r="G350" t="s">
        <v>88</v>
      </c>
    </row>
    <row r="351" spans="2:7" x14ac:dyDescent="0.4">
      <c r="B351">
        <v>2404111</v>
      </c>
      <c r="C351" t="s">
        <v>614</v>
      </c>
      <c r="D351" t="s">
        <v>1067</v>
      </c>
      <c r="E351" t="s">
        <v>128</v>
      </c>
      <c r="F351" t="s">
        <v>121</v>
      </c>
      <c r="G351" t="s">
        <v>331</v>
      </c>
    </row>
    <row r="352" spans="2:7" x14ac:dyDescent="0.4">
      <c r="B352">
        <v>2404112</v>
      </c>
      <c r="C352" t="s">
        <v>615</v>
      </c>
      <c r="D352" t="s">
        <v>1051</v>
      </c>
      <c r="E352" t="s">
        <v>118</v>
      </c>
      <c r="F352" t="s">
        <v>118</v>
      </c>
      <c r="G352" t="s">
        <v>88</v>
      </c>
    </row>
    <row r="353" spans="2:7" x14ac:dyDescent="0.4">
      <c r="B353">
        <v>2404113</v>
      </c>
      <c r="C353" t="s">
        <v>616</v>
      </c>
      <c r="D353" t="s">
        <v>536</v>
      </c>
      <c r="E353" t="s">
        <v>88</v>
      </c>
      <c r="F353" t="s">
        <v>157</v>
      </c>
      <c r="G353" t="s">
        <v>822</v>
      </c>
    </row>
    <row r="354" spans="2:7" x14ac:dyDescent="0.4">
      <c r="B354">
        <v>2404115</v>
      </c>
      <c r="C354" t="s">
        <v>618</v>
      </c>
      <c r="D354" t="s">
        <v>1052</v>
      </c>
      <c r="E354" t="s">
        <v>88</v>
      </c>
      <c r="F354" t="s">
        <v>118</v>
      </c>
      <c r="G354" t="s">
        <v>88</v>
      </c>
    </row>
    <row r="355" spans="2:7" x14ac:dyDescent="0.4">
      <c r="B355">
        <v>2404116</v>
      </c>
      <c r="C355" t="s">
        <v>619</v>
      </c>
      <c r="D355" t="s">
        <v>520</v>
      </c>
      <c r="E355" t="s">
        <v>88</v>
      </c>
      <c r="F355" t="s">
        <v>118</v>
      </c>
      <c r="G355" t="s">
        <v>88</v>
      </c>
    </row>
    <row r="356" spans="2:7" x14ac:dyDescent="0.4">
      <c r="B356">
        <v>2404117</v>
      </c>
      <c r="C356" t="s">
        <v>620</v>
      </c>
      <c r="D356" t="s">
        <v>1007</v>
      </c>
      <c r="E356" t="s">
        <v>88</v>
      </c>
      <c r="F356" t="s">
        <v>118</v>
      </c>
      <c r="G356" t="s">
        <v>88</v>
      </c>
    </row>
    <row r="357" spans="2:7" x14ac:dyDescent="0.4">
      <c r="B357">
        <v>2404118</v>
      </c>
      <c r="C357" t="s">
        <v>621</v>
      </c>
      <c r="D357" t="s">
        <v>1021</v>
      </c>
      <c r="E357" t="s">
        <v>121</v>
      </c>
      <c r="F357" t="s">
        <v>88</v>
      </c>
      <c r="G357" t="s">
        <v>790</v>
      </c>
    </row>
    <row r="358" spans="2:7" x14ac:dyDescent="0.4">
      <c r="B358">
        <v>2404119</v>
      </c>
      <c r="C358" t="s">
        <v>622</v>
      </c>
      <c r="D358" t="s">
        <v>510</v>
      </c>
      <c r="E358" t="s">
        <v>121</v>
      </c>
      <c r="F358" t="s">
        <v>75</v>
      </c>
      <c r="G358" t="s">
        <v>1068</v>
      </c>
    </row>
    <row r="359" spans="2:7" x14ac:dyDescent="0.4">
      <c r="B359">
        <v>2404120</v>
      </c>
      <c r="C359" t="s">
        <v>623</v>
      </c>
      <c r="D359" t="s">
        <v>1057</v>
      </c>
      <c r="E359" t="s">
        <v>118</v>
      </c>
      <c r="F359" t="s">
        <v>118</v>
      </c>
      <c r="G359" t="s">
        <v>88</v>
      </c>
    </row>
    <row r="360" spans="2:7" x14ac:dyDescent="0.4">
      <c r="B360">
        <v>2404121</v>
      </c>
      <c r="C360" t="s">
        <v>624</v>
      </c>
      <c r="D360" t="s">
        <v>1056</v>
      </c>
      <c r="E360" t="s">
        <v>118</v>
      </c>
      <c r="F360" t="s">
        <v>118</v>
      </c>
      <c r="G360" t="s">
        <v>88</v>
      </c>
    </row>
    <row r="361" spans="2:7" x14ac:dyDescent="0.4">
      <c r="B361">
        <v>2404122</v>
      </c>
      <c r="C361" t="s">
        <v>625</v>
      </c>
      <c r="D361" t="s">
        <v>1057</v>
      </c>
      <c r="E361" t="s">
        <v>118</v>
      </c>
      <c r="F361" t="s">
        <v>118</v>
      </c>
      <c r="G361" t="s">
        <v>88</v>
      </c>
    </row>
    <row r="362" spans="2:7" x14ac:dyDescent="0.4">
      <c r="B362">
        <v>2404123</v>
      </c>
      <c r="C362" t="s">
        <v>626</v>
      </c>
      <c r="D362" t="s">
        <v>1069</v>
      </c>
      <c r="E362" t="s">
        <v>88</v>
      </c>
      <c r="F362" t="s">
        <v>118</v>
      </c>
      <c r="G362" t="s">
        <v>88</v>
      </c>
    </row>
    <row r="363" spans="2:7" x14ac:dyDescent="0.4">
      <c r="B363">
        <v>2404124</v>
      </c>
      <c r="C363" t="s">
        <v>627</v>
      </c>
      <c r="D363" t="s">
        <v>1070</v>
      </c>
      <c r="E363" t="s">
        <v>118</v>
      </c>
      <c r="F363" t="s">
        <v>118</v>
      </c>
      <c r="G363" t="s">
        <v>88</v>
      </c>
    </row>
    <row r="364" spans="2:7" x14ac:dyDescent="0.4">
      <c r="B364">
        <v>2404125</v>
      </c>
      <c r="C364" t="s">
        <v>629</v>
      </c>
      <c r="D364" t="s">
        <v>1071</v>
      </c>
      <c r="E364" t="s">
        <v>121</v>
      </c>
      <c r="F364" t="s">
        <v>118</v>
      </c>
      <c r="G364" t="s">
        <v>88</v>
      </c>
    </row>
    <row r="365" spans="2:7" x14ac:dyDescent="0.4">
      <c r="B365">
        <v>2404127</v>
      </c>
      <c r="C365" t="s">
        <v>630</v>
      </c>
      <c r="D365" t="s">
        <v>1072</v>
      </c>
      <c r="E365" t="s">
        <v>128</v>
      </c>
      <c r="F365" t="s">
        <v>118</v>
      </c>
      <c r="G365" t="s">
        <v>88</v>
      </c>
    </row>
    <row r="366" spans="2:7" x14ac:dyDescent="0.4">
      <c r="B366">
        <v>2404128</v>
      </c>
      <c r="C366" t="s">
        <v>631</v>
      </c>
      <c r="D366" t="s">
        <v>1054</v>
      </c>
      <c r="E366" t="s">
        <v>121</v>
      </c>
      <c r="F366" t="s">
        <v>131</v>
      </c>
      <c r="G366" t="s">
        <v>881</v>
      </c>
    </row>
    <row r="367" spans="2:7" x14ac:dyDescent="0.4">
      <c r="B367">
        <v>2404129</v>
      </c>
      <c r="C367" t="s">
        <v>632</v>
      </c>
      <c r="D367" t="s">
        <v>506</v>
      </c>
      <c r="E367" t="s">
        <v>75</v>
      </c>
      <c r="F367" t="s">
        <v>88</v>
      </c>
      <c r="G367" t="s">
        <v>149</v>
      </c>
    </row>
    <row r="368" spans="2:7" x14ac:dyDescent="0.4">
      <c r="B368">
        <v>2404131</v>
      </c>
      <c r="C368" t="s">
        <v>634</v>
      </c>
      <c r="D368" t="s">
        <v>1069</v>
      </c>
      <c r="E368" t="s">
        <v>88</v>
      </c>
      <c r="F368" t="s">
        <v>118</v>
      </c>
      <c r="G368" t="s">
        <v>88</v>
      </c>
    </row>
    <row r="369" spans="2:7" x14ac:dyDescent="0.4">
      <c r="B369">
        <v>2404132</v>
      </c>
      <c r="C369" t="s">
        <v>635</v>
      </c>
      <c r="D369" t="s">
        <v>1070</v>
      </c>
      <c r="E369" t="s">
        <v>118</v>
      </c>
      <c r="F369" t="s">
        <v>118</v>
      </c>
      <c r="G369" t="s">
        <v>88</v>
      </c>
    </row>
    <row r="370" spans="2:7" x14ac:dyDescent="0.4">
      <c r="B370">
        <v>2404133</v>
      </c>
      <c r="C370" t="s">
        <v>636</v>
      </c>
      <c r="D370" t="s">
        <v>1073</v>
      </c>
      <c r="E370" t="s">
        <v>118</v>
      </c>
      <c r="F370" t="s">
        <v>118</v>
      </c>
      <c r="G370" t="s">
        <v>88</v>
      </c>
    </row>
    <row r="371" spans="2:7" x14ac:dyDescent="0.4">
      <c r="B371">
        <v>2404134</v>
      </c>
      <c r="C371" t="s">
        <v>638</v>
      </c>
      <c r="D371" t="s">
        <v>1073</v>
      </c>
      <c r="E371" t="s">
        <v>118</v>
      </c>
      <c r="F371" t="s">
        <v>118</v>
      </c>
      <c r="G371" t="s">
        <v>88</v>
      </c>
    </row>
    <row r="372" spans="2:7" x14ac:dyDescent="0.4">
      <c r="B372">
        <v>2404135</v>
      </c>
      <c r="C372" t="s">
        <v>639</v>
      </c>
      <c r="D372" t="s">
        <v>1073</v>
      </c>
      <c r="E372" t="s">
        <v>118</v>
      </c>
      <c r="F372" t="s">
        <v>118</v>
      </c>
      <c r="G372" t="s">
        <v>88</v>
      </c>
    </row>
    <row r="373" spans="2:7" x14ac:dyDescent="0.4">
      <c r="B373">
        <v>2404136</v>
      </c>
      <c r="C373" t="s">
        <v>640</v>
      </c>
      <c r="D373" t="s">
        <v>1074</v>
      </c>
      <c r="E373" t="s">
        <v>75</v>
      </c>
      <c r="F373" t="s">
        <v>108</v>
      </c>
      <c r="G373" t="s">
        <v>205</v>
      </c>
    </row>
    <row r="374" spans="2:7" x14ac:dyDescent="0.4">
      <c r="B374">
        <v>2404137</v>
      </c>
      <c r="C374" t="s">
        <v>641</v>
      </c>
      <c r="D374" t="s">
        <v>1030</v>
      </c>
      <c r="E374" t="s">
        <v>118</v>
      </c>
      <c r="F374" t="s">
        <v>118</v>
      </c>
      <c r="G374" t="s">
        <v>88</v>
      </c>
    </row>
    <row r="375" spans="2:7" x14ac:dyDescent="0.4">
      <c r="B375">
        <v>2404138</v>
      </c>
      <c r="C375" t="s">
        <v>642</v>
      </c>
      <c r="D375" t="s">
        <v>1030</v>
      </c>
      <c r="E375" t="s">
        <v>118</v>
      </c>
      <c r="F375" t="s">
        <v>118</v>
      </c>
      <c r="G375" t="s">
        <v>88</v>
      </c>
    </row>
    <row r="376" spans="2:7" x14ac:dyDescent="0.4">
      <c r="B376">
        <v>2404139</v>
      </c>
      <c r="C376" t="s">
        <v>643</v>
      </c>
      <c r="D376" t="s">
        <v>1057</v>
      </c>
      <c r="E376" t="s">
        <v>118</v>
      </c>
      <c r="F376" t="s">
        <v>118</v>
      </c>
      <c r="G376" t="s">
        <v>88</v>
      </c>
    </row>
    <row r="377" spans="2:7" x14ac:dyDescent="0.4">
      <c r="B377">
        <v>2404140</v>
      </c>
      <c r="C377" t="s">
        <v>644</v>
      </c>
      <c r="D377" t="s">
        <v>1035</v>
      </c>
      <c r="E377" t="s">
        <v>118</v>
      </c>
      <c r="F377" t="s">
        <v>118</v>
      </c>
      <c r="G377" t="s">
        <v>88</v>
      </c>
    </row>
    <row r="378" spans="2:7" x14ac:dyDescent="0.4">
      <c r="B378">
        <v>2404141</v>
      </c>
      <c r="C378" t="s">
        <v>645</v>
      </c>
      <c r="D378" t="s">
        <v>1048</v>
      </c>
      <c r="E378" t="s">
        <v>88</v>
      </c>
      <c r="F378" t="s">
        <v>118</v>
      </c>
      <c r="G378" t="s">
        <v>88</v>
      </c>
    </row>
    <row r="379" spans="2:7" x14ac:dyDescent="0.4">
      <c r="B379">
        <v>2404142</v>
      </c>
      <c r="C379" t="s">
        <v>646</v>
      </c>
      <c r="D379" t="s">
        <v>1073</v>
      </c>
      <c r="E379" t="s">
        <v>118</v>
      </c>
      <c r="F379" t="s">
        <v>118</v>
      </c>
      <c r="G379" t="s">
        <v>88</v>
      </c>
    </row>
    <row r="380" spans="2:7" x14ac:dyDescent="0.4">
      <c r="B380">
        <v>2404143</v>
      </c>
      <c r="C380" t="s">
        <v>647</v>
      </c>
      <c r="D380" t="s">
        <v>1009</v>
      </c>
      <c r="E380" t="s">
        <v>88</v>
      </c>
      <c r="F380" t="s">
        <v>78</v>
      </c>
      <c r="G380" t="s">
        <v>173</v>
      </c>
    </row>
    <row r="381" spans="2:7" x14ac:dyDescent="0.4">
      <c r="B381">
        <v>2404144</v>
      </c>
      <c r="C381" t="s">
        <v>648</v>
      </c>
      <c r="D381" t="s">
        <v>551</v>
      </c>
      <c r="E381" t="s">
        <v>88</v>
      </c>
      <c r="F381" t="s">
        <v>118</v>
      </c>
      <c r="G381" t="s">
        <v>88</v>
      </c>
    </row>
    <row r="382" spans="2:7" x14ac:dyDescent="0.4">
      <c r="B382">
        <v>2404145</v>
      </c>
      <c r="C382" t="s">
        <v>649</v>
      </c>
      <c r="D382" t="s">
        <v>1056</v>
      </c>
      <c r="E382" t="s">
        <v>118</v>
      </c>
      <c r="F382" t="s">
        <v>118</v>
      </c>
      <c r="G382" t="s">
        <v>88</v>
      </c>
    </row>
    <row r="383" spans="2:7" x14ac:dyDescent="0.4">
      <c r="B383">
        <v>2404146</v>
      </c>
      <c r="C383" t="s">
        <v>650</v>
      </c>
      <c r="D383" t="s">
        <v>1070</v>
      </c>
      <c r="E383" t="s">
        <v>118</v>
      </c>
      <c r="F383" t="s">
        <v>78</v>
      </c>
      <c r="G383" t="s">
        <v>1075</v>
      </c>
    </row>
    <row r="384" spans="2:7" x14ac:dyDescent="0.4">
      <c r="B384">
        <v>2404147</v>
      </c>
      <c r="C384" t="s">
        <v>652</v>
      </c>
      <c r="D384" t="s">
        <v>1076</v>
      </c>
      <c r="E384" t="s">
        <v>118</v>
      </c>
      <c r="F384" t="s">
        <v>78</v>
      </c>
      <c r="G384" t="s">
        <v>173</v>
      </c>
    </row>
    <row r="385" spans="2:7" x14ac:dyDescent="0.4">
      <c r="B385">
        <v>2404148</v>
      </c>
      <c r="C385" t="s">
        <v>653</v>
      </c>
      <c r="D385" t="s">
        <v>1073</v>
      </c>
      <c r="E385" t="s">
        <v>118</v>
      </c>
      <c r="F385" t="s">
        <v>118</v>
      </c>
      <c r="G385" t="s">
        <v>88</v>
      </c>
    </row>
    <row r="386" spans="2:7" x14ac:dyDescent="0.4">
      <c r="B386">
        <v>2404149</v>
      </c>
      <c r="C386" t="s">
        <v>654</v>
      </c>
      <c r="D386" t="s">
        <v>1073</v>
      </c>
      <c r="E386" t="s">
        <v>118</v>
      </c>
      <c r="F386" t="s">
        <v>118</v>
      </c>
      <c r="G386" t="s">
        <v>88</v>
      </c>
    </row>
    <row r="387" spans="2:7" x14ac:dyDescent="0.4">
      <c r="B387">
        <v>2404150</v>
      </c>
      <c r="C387" t="s">
        <v>655</v>
      </c>
      <c r="D387" t="s">
        <v>1057</v>
      </c>
      <c r="E387" t="s">
        <v>118</v>
      </c>
      <c r="F387" t="s">
        <v>118</v>
      </c>
      <c r="G387" t="s">
        <v>88</v>
      </c>
    </row>
    <row r="388" spans="2:7" x14ac:dyDescent="0.4">
      <c r="B388">
        <v>2404151</v>
      </c>
      <c r="C388" t="s">
        <v>656</v>
      </c>
      <c r="D388" t="s">
        <v>1057</v>
      </c>
      <c r="E388" t="s">
        <v>118</v>
      </c>
      <c r="F388" t="s">
        <v>118</v>
      </c>
      <c r="G388" t="s">
        <v>88</v>
      </c>
    </row>
    <row r="389" spans="2:7" x14ac:dyDescent="0.4">
      <c r="B389">
        <v>2404152</v>
      </c>
      <c r="C389" t="s">
        <v>657</v>
      </c>
      <c r="D389" t="s">
        <v>1057</v>
      </c>
      <c r="E389" t="s">
        <v>118</v>
      </c>
      <c r="F389" t="s">
        <v>118</v>
      </c>
      <c r="G389" t="s">
        <v>88</v>
      </c>
    </row>
    <row r="390" spans="2:7" x14ac:dyDescent="0.4">
      <c r="B390">
        <v>2404153</v>
      </c>
      <c r="C390" t="s">
        <v>658</v>
      </c>
      <c r="D390" t="s">
        <v>1023</v>
      </c>
      <c r="E390" t="s">
        <v>118</v>
      </c>
      <c r="F390" t="s">
        <v>131</v>
      </c>
      <c r="G390" t="s">
        <v>1032</v>
      </c>
    </row>
    <row r="391" spans="2:7" x14ac:dyDescent="0.4">
      <c r="B391">
        <v>2404154</v>
      </c>
      <c r="C391" t="s">
        <v>659</v>
      </c>
      <c r="D391" t="s">
        <v>1069</v>
      </c>
      <c r="E391" t="s">
        <v>88</v>
      </c>
      <c r="F391" t="s">
        <v>78</v>
      </c>
      <c r="G391" t="s">
        <v>1075</v>
      </c>
    </row>
    <row r="392" spans="2:7" x14ac:dyDescent="0.4">
      <c r="B392">
        <v>2404155</v>
      </c>
      <c r="C392" t="s">
        <v>660</v>
      </c>
      <c r="D392" t="s">
        <v>1060</v>
      </c>
      <c r="E392" t="s">
        <v>121</v>
      </c>
      <c r="F392" t="s">
        <v>157</v>
      </c>
      <c r="G392" t="s">
        <v>166</v>
      </c>
    </row>
    <row r="393" spans="2:7" x14ac:dyDescent="0.4">
      <c r="B393">
        <v>2404156</v>
      </c>
      <c r="C393" t="s">
        <v>661</v>
      </c>
      <c r="D393" t="s">
        <v>1073</v>
      </c>
      <c r="E393" t="s">
        <v>118</v>
      </c>
      <c r="F393" t="s">
        <v>118</v>
      </c>
      <c r="G393" t="s">
        <v>88</v>
      </c>
    </row>
    <row r="394" spans="2:7" x14ac:dyDescent="0.4">
      <c r="B394">
        <v>2404157</v>
      </c>
      <c r="C394" t="s">
        <v>662</v>
      </c>
      <c r="D394" t="s">
        <v>1003</v>
      </c>
      <c r="E394" t="s">
        <v>88</v>
      </c>
      <c r="F394" t="s">
        <v>157</v>
      </c>
      <c r="G394" t="s">
        <v>1077</v>
      </c>
    </row>
    <row r="395" spans="2:7" x14ac:dyDescent="0.4">
      <c r="B395">
        <v>2404158</v>
      </c>
      <c r="C395" t="s">
        <v>664</v>
      </c>
      <c r="D395" t="s">
        <v>1073</v>
      </c>
      <c r="E395" t="s">
        <v>118</v>
      </c>
      <c r="F395" t="s">
        <v>118</v>
      </c>
      <c r="G395" t="s">
        <v>88</v>
      </c>
    </row>
    <row r="396" spans="2:7" x14ac:dyDescent="0.4">
      <c r="B396">
        <v>2404159</v>
      </c>
      <c r="C396" t="s">
        <v>665</v>
      </c>
      <c r="D396" t="s">
        <v>1078</v>
      </c>
      <c r="E396" t="s">
        <v>118</v>
      </c>
      <c r="F396" t="s">
        <v>118</v>
      </c>
      <c r="G396" t="s">
        <v>88</v>
      </c>
    </row>
    <row r="397" spans="2:7" x14ac:dyDescent="0.4">
      <c r="B397">
        <v>2404160</v>
      </c>
      <c r="C397" t="s">
        <v>667</v>
      </c>
      <c r="D397" t="s">
        <v>1071</v>
      </c>
      <c r="E397" t="s">
        <v>121</v>
      </c>
      <c r="F397" t="s">
        <v>118</v>
      </c>
      <c r="G397" t="s">
        <v>88</v>
      </c>
    </row>
    <row r="398" spans="2:7" x14ac:dyDescent="0.4">
      <c r="B398">
        <v>2404161</v>
      </c>
      <c r="C398" t="s">
        <v>668</v>
      </c>
      <c r="D398" t="s">
        <v>1014</v>
      </c>
      <c r="E398" t="s">
        <v>118</v>
      </c>
      <c r="F398" t="s">
        <v>78</v>
      </c>
      <c r="G398" t="s">
        <v>832</v>
      </c>
    </row>
    <row r="399" spans="2:7" x14ac:dyDescent="0.4">
      <c r="B399">
        <v>2404162</v>
      </c>
      <c r="C399" t="s">
        <v>669</v>
      </c>
      <c r="D399" t="s">
        <v>1035</v>
      </c>
      <c r="E399" t="s">
        <v>118</v>
      </c>
      <c r="F399" t="s">
        <v>118</v>
      </c>
      <c r="G399" t="s">
        <v>88</v>
      </c>
    </row>
    <row r="400" spans="2:7" x14ac:dyDescent="0.4">
      <c r="B400">
        <v>2404163</v>
      </c>
      <c r="C400" t="s">
        <v>670</v>
      </c>
      <c r="D400" t="s">
        <v>628</v>
      </c>
      <c r="E400" t="s">
        <v>78</v>
      </c>
      <c r="F400" t="s">
        <v>432</v>
      </c>
      <c r="G400" t="s">
        <v>974</v>
      </c>
    </row>
    <row r="401" spans="2:7" x14ac:dyDescent="0.4">
      <c r="B401">
        <v>2404164</v>
      </c>
      <c r="C401" t="s">
        <v>671</v>
      </c>
      <c r="D401" t="s">
        <v>1030</v>
      </c>
      <c r="E401" t="s">
        <v>118</v>
      </c>
      <c r="F401" t="s">
        <v>118</v>
      </c>
      <c r="G401" t="s">
        <v>88</v>
      </c>
    </row>
    <row r="402" spans="2:7" x14ac:dyDescent="0.4">
      <c r="B402">
        <v>2404165</v>
      </c>
      <c r="C402" t="s">
        <v>672</v>
      </c>
      <c r="D402" t="s">
        <v>1037</v>
      </c>
      <c r="E402" t="s">
        <v>121</v>
      </c>
      <c r="F402" t="s">
        <v>118</v>
      </c>
      <c r="G402" t="s">
        <v>88</v>
      </c>
    </row>
    <row r="403" spans="2:7" x14ac:dyDescent="0.4">
      <c r="B403">
        <v>2404166</v>
      </c>
      <c r="C403" t="s">
        <v>673</v>
      </c>
      <c r="D403" t="s">
        <v>1056</v>
      </c>
      <c r="E403" t="s">
        <v>118</v>
      </c>
      <c r="F403" t="s">
        <v>118</v>
      </c>
      <c r="G403" t="s">
        <v>88</v>
      </c>
    </row>
    <row r="404" spans="2:7" x14ac:dyDescent="0.4">
      <c r="B404">
        <v>2404167</v>
      </c>
      <c r="C404" t="s">
        <v>674</v>
      </c>
      <c r="D404" t="s">
        <v>1079</v>
      </c>
      <c r="E404" t="s">
        <v>118</v>
      </c>
      <c r="F404" t="s">
        <v>118</v>
      </c>
      <c r="G404" t="s">
        <v>88</v>
      </c>
    </row>
    <row r="405" spans="2:7" x14ac:dyDescent="0.4">
      <c r="B405">
        <v>2404168</v>
      </c>
      <c r="C405" t="s">
        <v>676</v>
      </c>
      <c r="D405" t="s">
        <v>1073</v>
      </c>
      <c r="E405" t="s">
        <v>118</v>
      </c>
      <c r="F405" t="s">
        <v>118</v>
      </c>
      <c r="G405" t="s">
        <v>88</v>
      </c>
    </row>
    <row r="406" spans="2:7" x14ac:dyDescent="0.4">
      <c r="B406">
        <v>2404169</v>
      </c>
      <c r="C406" t="s">
        <v>677</v>
      </c>
      <c r="D406" t="s">
        <v>1057</v>
      </c>
      <c r="E406" t="s">
        <v>118</v>
      </c>
      <c r="F406" t="s">
        <v>118</v>
      </c>
      <c r="G406" t="s">
        <v>88</v>
      </c>
    </row>
    <row r="407" spans="2:7" x14ac:dyDescent="0.4">
      <c r="B407">
        <v>2404171</v>
      </c>
      <c r="C407" t="s">
        <v>678</v>
      </c>
      <c r="D407" t="s">
        <v>504</v>
      </c>
      <c r="E407" t="s">
        <v>88</v>
      </c>
      <c r="F407" t="s">
        <v>121</v>
      </c>
      <c r="G407" t="s">
        <v>682</v>
      </c>
    </row>
    <row r="408" spans="2:7" x14ac:dyDescent="0.4">
      <c r="B408">
        <v>2404172</v>
      </c>
      <c r="C408" t="s">
        <v>679</v>
      </c>
      <c r="D408" t="s">
        <v>543</v>
      </c>
      <c r="E408" t="s">
        <v>88</v>
      </c>
      <c r="F408" t="s">
        <v>78</v>
      </c>
      <c r="G408" t="s">
        <v>811</v>
      </c>
    </row>
    <row r="409" spans="2:7" x14ac:dyDescent="0.4">
      <c r="B409">
        <v>2404173</v>
      </c>
      <c r="C409" t="s">
        <v>680</v>
      </c>
      <c r="D409" t="s">
        <v>1079</v>
      </c>
      <c r="E409" t="s">
        <v>118</v>
      </c>
      <c r="F409" t="s">
        <v>118</v>
      </c>
      <c r="G409" t="s">
        <v>88</v>
      </c>
    </row>
    <row r="410" spans="2:7" x14ac:dyDescent="0.4">
      <c r="B410">
        <v>2404174</v>
      </c>
      <c r="C410" t="s">
        <v>681</v>
      </c>
      <c r="D410" t="s">
        <v>1050</v>
      </c>
      <c r="E410" t="s">
        <v>118</v>
      </c>
      <c r="F410" t="s">
        <v>121</v>
      </c>
      <c r="G410" t="s">
        <v>133</v>
      </c>
    </row>
    <row r="411" spans="2:7" x14ac:dyDescent="0.4">
      <c r="B411">
        <v>2404175</v>
      </c>
      <c r="C411" t="s">
        <v>683</v>
      </c>
      <c r="D411" t="s">
        <v>1030</v>
      </c>
      <c r="E411" t="s">
        <v>118</v>
      </c>
      <c r="F411" t="s">
        <v>118</v>
      </c>
      <c r="G411" t="s">
        <v>88</v>
      </c>
    </row>
    <row r="412" spans="2:7" x14ac:dyDescent="0.4">
      <c r="B412">
        <v>2404176</v>
      </c>
      <c r="C412" t="s">
        <v>684</v>
      </c>
      <c r="D412" t="s">
        <v>1056</v>
      </c>
      <c r="E412" t="s">
        <v>118</v>
      </c>
      <c r="F412" t="s">
        <v>118</v>
      </c>
      <c r="G412" t="s">
        <v>88</v>
      </c>
    </row>
    <row r="413" spans="2:7" x14ac:dyDescent="0.4">
      <c r="B413">
        <v>2404177</v>
      </c>
      <c r="C413" t="s">
        <v>685</v>
      </c>
      <c r="D413" t="s">
        <v>1038</v>
      </c>
      <c r="E413" t="s">
        <v>78</v>
      </c>
      <c r="F413" t="s">
        <v>78</v>
      </c>
      <c r="G413" t="s">
        <v>299</v>
      </c>
    </row>
    <row r="414" spans="2:7" x14ac:dyDescent="0.4">
      <c r="B414">
        <v>2404178</v>
      </c>
      <c r="C414" t="s">
        <v>686</v>
      </c>
      <c r="D414" t="s">
        <v>1073</v>
      </c>
      <c r="E414" t="s">
        <v>118</v>
      </c>
      <c r="F414" t="s">
        <v>118</v>
      </c>
      <c r="G414" t="s">
        <v>88</v>
      </c>
    </row>
    <row r="415" spans="2:7" x14ac:dyDescent="0.4">
      <c r="B415">
        <v>2404179</v>
      </c>
      <c r="C415" t="s">
        <v>687</v>
      </c>
      <c r="D415" t="s">
        <v>1073</v>
      </c>
      <c r="E415" t="s">
        <v>118</v>
      </c>
      <c r="F415" t="s">
        <v>118</v>
      </c>
      <c r="G415" t="s">
        <v>88</v>
      </c>
    </row>
    <row r="416" spans="2:7" x14ac:dyDescent="0.4">
      <c r="B416">
        <v>2404180</v>
      </c>
      <c r="C416" t="s">
        <v>688</v>
      </c>
      <c r="D416" t="s">
        <v>1045</v>
      </c>
      <c r="E416" t="s">
        <v>121</v>
      </c>
      <c r="F416" t="s">
        <v>88</v>
      </c>
      <c r="G416" t="s">
        <v>122</v>
      </c>
    </row>
    <row r="417" spans="2:7" x14ac:dyDescent="0.4">
      <c r="B417">
        <v>2404181</v>
      </c>
      <c r="C417" t="s">
        <v>689</v>
      </c>
      <c r="D417" t="s">
        <v>1073</v>
      </c>
      <c r="E417" t="s">
        <v>118</v>
      </c>
      <c r="F417" t="s">
        <v>118</v>
      </c>
      <c r="G417" t="s">
        <v>88</v>
      </c>
    </row>
    <row r="418" spans="2:7" x14ac:dyDescent="0.4">
      <c r="B418">
        <v>2404182</v>
      </c>
      <c r="C418" t="s">
        <v>690</v>
      </c>
      <c r="D418" t="s">
        <v>1080</v>
      </c>
      <c r="E418" t="s">
        <v>87</v>
      </c>
      <c r="F418" t="s">
        <v>75</v>
      </c>
      <c r="G418" t="s">
        <v>1081</v>
      </c>
    </row>
    <row r="419" spans="2:7" x14ac:dyDescent="0.4">
      <c r="B419">
        <v>2407001</v>
      </c>
      <c r="C419" t="s">
        <v>692</v>
      </c>
      <c r="D419" t="s">
        <v>1082</v>
      </c>
      <c r="E419" t="s">
        <v>75</v>
      </c>
      <c r="F419" t="s">
        <v>78</v>
      </c>
      <c r="G419" t="s">
        <v>937</v>
      </c>
    </row>
    <row r="420" spans="2:7" x14ac:dyDescent="0.4">
      <c r="B420">
        <v>2407002</v>
      </c>
      <c r="C420" t="s">
        <v>693</v>
      </c>
      <c r="D420" t="s">
        <v>1083</v>
      </c>
      <c r="E420" t="s">
        <v>112</v>
      </c>
      <c r="F420" t="s">
        <v>98</v>
      </c>
      <c r="G420" t="s">
        <v>1084</v>
      </c>
    </row>
    <row r="421" spans="2:7" x14ac:dyDescent="0.4">
      <c r="B421">
        <v>2407003</v>
      </c>
      <c r="C421" t="s">
        <v>695</v>
      </c>
      <c r="D421" t="s">
        <v>1085</v>
      </c>
      <c r="E421" t="s">
        <v>118</v>
      </c>
      <c r="F421" t="s">
        <v>157</v>
      </c>
      <c r="G421" t="s">
        <v>413</v>
      </c>
    </row>
    <row r="422" spans="2:7" x14ac:dyDescent="0.4">
      <c r="B422">
        <v>2407004</v>
      </c>
      <c r="C422" t="s">
        <v>697</v>
      </c>
      <c r="D422" t="s">
        <v>1086</v>
      </c>
      <c r="E422" t="s">
        <v>78</v>
      </c>
      <c r="F422" t="s">
        <v>125</v>
      </c>
      <c r="G422" t="s">
        <v>554</v>
      </c>
    </row>
    <row r="423" spans="2:7" x14ac:dyDescent="0.4">
      <c r="B423">
        <v>2407005</v>
      </c>
      <c r="C423" t="s">
        <v>698</v>
      </c>
      <c r="D423" t="s">
        <v>696</v>
      </c>
      <c r="E423" t="s">
        <v>78</v>
      </c>
      <c r="F423" t="s">
        <v>493</v>
      </c>
      <c r="G423" t="s">
        <v>1087</v>
      </c>
    </row>
    <row r="424" spans="2:7" x14ac:dyDescent="0.4">
      <c r="B424">
        <v>2407006</v>
      </c>
      <c r="C424" t="s">
        <v>699</v>
      </c>
      <c r="D424" t="s">
        <v>1088</v>
      </c>
      <c r="E424" t="s">
        <v>118</v>
      </c>
      <c r="F424" t="s">
        <v>118</v>
      </c>
      <c r="G424" t="s">
        <v>88</v>
      </c>
    </row>
    <row r="425" spans="2:7" x14ac:dyDescent="0.4">
      <c r="B425">
        <v>2407008</v>
      </c>
      <c r="C425" t="s">
        <v>700</v>
      </c>
      <c r="D425" t="s">
        <v>1089</v>
      </c>
      <c r="E425" t="s">
        <v>118</v>
      </c>
      <c r="F425" t="s">
        <v>118</v>
      </c>
      <c r="G425" t="s">
        <v>88</v>
      </c>
    </row>
    <row r="426" spans="2:7" x14ac:dyDescent="0.4">
      <c r="B426">
        <v>2407009</v>
      </c>
      <c r="C426" t="s">
        <v>702</v>
      </c>
      <c r="D426" t="s">
        <v>1090</v>
      </c>
      <c r="E426" t="s">
        <v>78</v>
      </c>
      <c r="F426" t="s">
        <v>128</v>
      </c>
      <c r="G426" t="s">
        <v>852</v>
      </c>
    </row>
    <row r="427" spans="2:7" x14ac:dyDescent="0.4">
      <c r="B427">
        <v>2407010</v>
      </c>
      <c r="C427" t="s">
        <v>704</v>
      </c>
      <c r="D427" t="s">
        <v>1091</v>
      </c>
      <c r="E427" t="s">
        <v>88</v>
      </c>
      <c r="F427" t="s">
        <v>161</v>
      </c>
      <c r="G427" t="s">
        <v>1092</v>
      </c>
    </row>
    <row r="428" spans="2:7" x14ac:dyDescent="0.4">
      <c r="B428">
        <v>2407011</v>
      </c>
      <c r="C428" t="s">
        <v>705</v>
      </c>
      <c r="D428" t="s">
        <v>1093</v>
      </c>
      <c r="E428" t="s">
        <v>88</v>
      </c>
      <c r="F428" t="s">
        <v>78</v>
      </c>
      <c r="G428" t="s">
        <v>937</v>
      </c>
    </row>
    <row r="429" spans="2:7" x14ac:dyDescent="0.4">
      <c r="B429">
        <v>2407012</v>
      </c>
      <c r="C429" t="s">
        <v>706</v>
      </c>
      <c r="D429" t="s">
        <v>1089</v>
      </c>
      <c r="E429" t="s">
        <v>118</v>
      </c>
      <c r="F429" t="s">
        <v>118</v>
      </c>
      <c r="G429" t="s">
        <v>88</v>
      </c>
    </row>
    <row r="430" spans="2:7" x14ac:dyDescent="0.4">
      <c r="B430">
        <v>2407013</v>
      </c>
      <c r="C430" t="s">
        <v>707</v>
      </c>
      <c r="D430" t="s">
        <v>1094</v>
      </c>
      <c r="E430" t="s">
        <v>108</v>
      </c>
      <c r="F430" t="s">
        <v>87</v>
      </c>
      <c r="G430" t="s">
        <v>1095</v>
      </c>
    </row>
    <row r="431" spans="2:7" x14ac:dyDescent="0.4">
      <c r="B431">
        <v>2407014</v>
      </c>
      <c r="C431" t="s">
        <v>708</v>
      </c>
      <c r="D431" t="s">
        <v>1089</v>
      </c>
      <c r="E431" t="s">
        <v>118</v>
      </c>
      <c r="F431" t="s">
        <v>118</v>
      </c>
      <c r="G431" t="s">
        <v>88</v>
      </c>
    </row>
    <row r="432" spans="2:7" x14ac:dyDescent="0.4">
      <c r="B432">
        <v>2407015</v>
      </c>
      <c r="C432" t="s">
        <v>709</v>
      </c>
      <c r="D432" t="s">
        <v>1096</v>
      </c>
      <c r="E432" t="s">
        <v>121</v>
      </c>
      <c r="F432" t="s">
        <v>155</v>
      </c>
      <c r="G432" t="s">
        <v>109</v>
      </c>
    </row>
    <row r="433" spans="2:7" x14ac:dyDescent="0.4">
      <c r="B433">
        <v>2407016</v>
      </c>
      <c r="C433" t="s">
        <v>710</v>
      </c>
      <c r="D433" t="s">
        <v>1097</v>
      </c>
      <c r="E433" t="s">
        <v>121</v>
      </c>
      <c r="F433" t="s">
        <v>182</v>
      </c>
      <c r="G433" t="s">
        <v>1098</v>
      </c>
    </row>
    <row r="434" spans="2:7" x14ac:dyDescent="0.4">
      <c r="B434">
        <v>2407017</v>
      </c>
      <c r="C434" t="s">
        <v>711</v>
      </c>
      <c r="D434" t="s">
        <v>1099</v>
      </c>
      <c r="E434" t="s">
        <v>121</v>
      </c>
      <c r="F434" t="s">
        <v>118</v>
      </c>
      <c r="G434" t="s">
        <v>88</v>
      </c>
    </row>
    <row r="435" spans="2:7" x14ac:dyDescent="0.4">
      <c r="B435">
        <v>2407018</v>
      </c>
      <c r="C435" t="s">
        <v>712</v>
      </c>
      <c r="D435" t="s">
        <v>1100</v>
      </c>
      <c r="E435" t="s">
        <v>88</v>
      </c>
      <c r="F435" t="s">
        <v>118</v>
      </c>
      <c r="G435" t="s">
        <v>88</v>
      </c>
    </row>
    <row r="436" spans="2:7" x14ac:dyDescent="0.4">
      <c r="B436">
        <v>2407019</v>
      </c>
      <c r="C436" t="s">
        <v>713</v>
      </c>
      <c r="D436" t="s">
        <v>1101</v>
      </c>
      <c r="E436" t="s">
        <v>121</v>
      </c>
      <c r="F436" t="s">
        <v>88</v>
      </c>
      <c r="G436" t="s">
        <v>475</v>
      </c>
    </row>
    <row r="437" spans="2:7" x14ac:dyDescent="0.4">
      <c r="B437">
        <v>2407020</v>
      </c>
      <c r="C437" t="s">
        <v>714</v>
      </c>
      <c r="D437" t="s">
        <v>1100</v>
      </c>
      <c r="E437" t="s">
        <v>88</v>
      </c>
      <c r="F437" t="s">
        <v>118</v>
      </c>
      <c r="G437" t="s">
        <v>88</v>
      </c>
    </row>
    <row r="438" spans="2:7" x14ac:dyDescent="0.4">
      <c r="B438">
        <v>2407021</v>
      </c>
      <c r="C438" t="s">
        <v>715</v>
      </c>
      <c r="D438" t="s">
        <v>1093</v>
      </c>
      <c r="E438" t="s">
        <v>88</v>
      </c>
      <c r="F438" t="s">
        <v>78</v>
      </c>
      <c r="G438" t="s">
        <v>937</v>
      </c>
    </row>
    <row r="439" spans="2:7" x14ac:dyDescent="0.4">
      <c r="B439">
        <v>2407022</v>
      </c>
      <c r="C439" t="s">
        <v>716</v>
      </c>
      <c r="D439" t="s">
        <v>1089</v>
      </c>
      <c r="E439" t="s">
        <v>118</v>
      </c>
      <c r="F439" t="s">
        <v>118</v>
      </c>
      <c r="G439" t="s">
        <v>88</v>
      </c>
    </row>
    <row r="440" spans="2:7" x14ac:dyDescent="0.4">
      <c r="B440">
        <v>2407023</v>
      </c>
      <c r="C440" t="s">
        <v>717</v>
      </c>
      <c r="D440" t="s">
        <v>1088</v>
      </c>
      <c r="E440" t="s">
        <v>118</v>
      </c>
      <c r="F440" t="s">
        <v>118</v>
      </c>
      <c r="G440" t="s">
        <v>88</v>
      </c>
    </row>
    <row r="441" spans="2:7" x14ac:dyDescent="0.4">
      <c r="B441">
        <v>2407024</v>
      </c>
      <c r="C441" t="s">
        <v>718</v>
      </c>
      <c r="D441" t="s">
        <v>1102</v>
      </c>
      <c r="E441" t="s">
        <v>88</v>
      </c>
      <c r="F441" t="s">
        <v>78</v>
      </c>
      <c r="G441" t="s">
        <v>825</v>
      </c>
    </row>
    <row r="442" spans="2:7" x14ac:dyDescent="0.4">
      <c r="B442">
        <v>2407025</v>
      </c>
      <c r="C442" t="s">
        <v>720</v>
      </c>
      <c r="D442" t="s">
        <v>1103</v>
      </c>
      <c r="E442" t="s">
        <v>75</v>
      </c>
      <c r="F442" t="s">
        <v>157</v>
      </c>
      <c r="G442" t="s">
        <v>384</v>
      </c>
    </row>
    <row r="443" spans="2:7" x14ac:dyDescent="0.4">
      <c r="B443">
        <v>2407026</v>
      </c>
      <c r="C443" t="s">
        <v>722</v>
      </c>
      <c r="D443" t="s">
        <v>1104</v>
      </c>
      <c r="E443" t="s">
        <v>75</v>
      </c>
      <c r="F443" t="s">
        <v>157</v>
      </c>
      <c r="G443" t="s">
        <v>413</v>
      </c>
    </row>
    <row r="444" spans="2:7" x14ac:dyDescent="0.4">
      <c r="B444">
        <v>2407027</v>
      </c>
      <c r="C444" t="s">
        <v>723</v>
      </c>
      <c r="D444" t="s">
        <v>1089</v>
      </c>
      <c r="E444" t="s">
        <v>118</v>
      </c>
      <c r="F444" t="s">
        <v>118</v>
      </c>
      <c r="G444" t="s">
        <v>88</v>
      </c>
    </row>
    <row r="445" spans="2:7" x14ac:dyDescent="0.4">
      <c r="B445">
        <v>2407028</v>
      </c>
      <c r="C445" t="s">
        <v>724</v>
      </c>
      <c r="D445" t="s">
        <v>1105</v>
      </c>
      <c r="E445" t="s">
        <v>118</v>
      </c>
      <c r="F445" t="s">
        <v>161</v>
      </c>
      <c r="G445" t="s">
        <v>1092</v>
      </c>
    </row>
    <row r="446" spans="2:7" x14ac:dyDescent="0.4">
      <c r="B446">
        <v>2407029</v>
      </c>
      <c r="C446" t="s">
        <v>725</v>
      </c>
      <c r="D446" t="s">
        <v>1094</v>
      </c>
      <c r="E446" t="s">
        <v>128</v>
      </c>
      <c r="F446" t="s">
        <v>83</v>
      </c>
      <c r="G446" t="s">
        <v>946</v>
      </c>
    </row>
    <row r="447" spans="2:7" x14ac:dyDescent="0.4">
      <c r="B447">
        <v>2407030</v>
      </c>
      <c r="C447" t="s">
        <v>726</v>
      </c>
      <c r="D447" t="s">
        <v>1104</v>
      </c>
      <c r="E447" t="s">
        <v>75</v>
      </c>
      <c r="F447" t="s">
        <v>157</v>
      </c>
      <c r="G447" t="s">
        <v>413</v>
      </c>
    </row>
    <row r="448" spans="2:7" x14ac:dyDescent="0.4">
      <c r="B448">
        <v>2407031</v>
      </c>
      <c r="C448" t="s">
        <v>727</v>
      </c>
      <c r="D448" t="s">
        <v>1106</v>
      </c>
      <c r="E448" t="s">
        <v>75</v>
      </c>
      <c r="F448" t="s">
        <v>152</v>
      </c>
      <c r="G448" t="s">
        <v>1107</v>
      </c>
    </row>
    <row r="449" spans="2:7" x14ac:dyDescent="0.4">
      <c r="B449">
        <v>2407032</v>
      </c>
      <c r="C449" t="s">
        <v>728</v>
      </c>
      <c r="D449" t="s">
        <v>1105</v>
      </c>
      <c r="E449" t="s">
        <v>88</v>
      </c>
      <c r="F449" t="s">
        <v>152</v>
      </c>
      <c r="G449" t="s">
        <v>1107</v>
      </c>
    </row>
    <row r="450" spans="2:7" x14ac:dyDescent="0.4">
      <c r="B450">
        <v>2407033</v>
      </c>
      <c r="C450" t="s">
        <v>729</v>
      </c>
      <c r="D450" t="s">
        <v>1101</v>
      </c>
      <c r="E450" t="s">
        <v>88</v>
      </c>
      <c r="F450" t="s">
        <v>121</v>
      </c>
      <c r="G450" t="s">
        <v>813</v>
      </c>
    </row>
    <row r="451" spans="2:7" x14ac:dyDescent="0.4">
      <c r="B451">
        <v>2407034</v>
      </c>
      <c r="C451" t="s">
        <v>730</v>
      </c>
      <c r="D451" t="s">
        <v>1108</v>
      </c>
      <c r="E451" t="s">
        <v>88</v>
      </c>
      <c r="F451" t="s">
        <v>118</v>
      </c>
      <c r="G451" t="s">
        <v>88</v>
      </c>
    </row>
    <row r="452" spans="2:7" x14ac:dyDescent="0.4">
      <c r="B452">
        <v>2407035</v>
      </c>
      <c r="C452" t="s">
        <v>731</v>
      </c>
      <c r="D452" t="s">
        <v>1109</v>
      </c>
      <c r="E452" t="s">
        <v>118</v>
      </c>
      <c r="F452" t="s">
        <v>121</v>
      </c>
      <c r="G452" t="s">
        <v>264</v>
      </c>
    </row>
    <row r="453" spans="2:7" x14ac:dyDescent="0.4">
      <c r="B453">
        <v>2407036</v>
      </c>
      <c r="C453" t="s">
        <v>732</v>
      </c>
      <c r="D453" t="s">
        <v>1110</v>
      </c>
      <c r="E453" t="s">
        <v>118</v>
      </c>
      <c r="F453" t="s">
        <v>118</v>
      </c>
      <c r="G453" t="s">
        <v>88</v>
      </c>
    </row>
    <row r="454" spans="2:7" x14ac:dyDescent="0.4">
      <c r="B454">
        <v>2407037</v>
      </c>
      <c r="C454" t="s">
        <v>733</v>
      </c>
      <c r="D454" t="s">
        <v>1102</v>
      </c>
      <c r="E454" t="s">
        <v>88</v>
      </c>
      <c r="F454" t="s">
        <v>118</v>
      </c>
      <c r="G454" t="s">
        <v>88</v>
      </c>
    </row>
    <row r="455" spans="2:7" x14ac:dyDescent="0.4">
      <c r="B455">
        <v>2407038</v>
      </c>
      <c r="C455" t="s">
        <v>734</v>
      </c>
      <c r="D455" t="s">
        <v>1102</v>
      </c>
      <c r="E455" t="s">
        <v>88</v>
      </c>
      <c r="F455" t="s">
        <v>118</v>
      </c>
      <c r="G455" t="s">
        <v>88</v>
      </c>
    </row>
    <row r="456" spans="2:7" x14ac:dyDescent="0.4">
      <c r="B456">
        <v>2407039</v>
      </c>
      <c r="C456" t="s">
        <v>735</v>
      </c>
      <c r="D456" t="s">
        <v>701</v>
      </c>
      <c r="E456" t="s">
        <v>118</v>
      </c>
      <c r="F456" t="s">
        <v>118</v>
      </c>
      <c r="G456" t="s">
        <v>88</v>
      </c>
    </row>
    <row r="457" spans="2:7" x14ac:dyDescent="0.4">
      <c r="B457">
        <v>2407040</v>
      </c>
      <c r="C457" t="s">
        <v>736</v>
      </c>
      <c r="D457" t="s">
        <v>1111</v>
      </c>
      <c r="E457" t="s">
        <v>118</v>
      </c>
      <c r="F457" t="s">
        <v>87</v>
      </c>
      <c r="G457" t="s">
        <v>1112</v>
      </c>
    </row>
    <row r="458" spans="2:7" x14ac:dyDescent="0.4">
      <c r="B458">
        <v>2407041</v>
      </c>
      <c r="C458" t="s">
        <v>737</v>
      </c>
      <c r="D458" t="s">
        <v>1089</v>
      </c>
      <c r="E458" t="s">
        <v>118</v>
      </c>
      <c r="F458" t="s">
        <v>118</v>
      </c>
      <c r="G458" t="s">
        <v>88</v>
      </c>
    </row>
    <row r="459" spans="2:7" x14ac:dyDescent="0.4">
      <c r="B459">
        <v>2407042</v>
      </c>
      <c r="C459" t="s">
        <v>738</v>
      </c>
      <c r="D459" t="s">
        <v>1113</v>
      </c>
      <c r="E459" t="s">
        <v>118</v>
      </c>
      <c r="F459" t="s">
        <v>118</v>
      </c>
      <c r="G459" t="s">
        <v>88</v>
      </c>
    </row>
    <row r="460" spans="2:7" x14ac:dyDescent="0.4">
      <c r="B460">
        <v>2407044</v>
      </c>
      <c r="C460" t="s">
        <v>739</v>
      </c>
      <c r="D460" t="s">
        <v>1114</v>
      </c>
      <c r="E460" t="s">
        <v>121</v>
      </c>
      <c r="F460" t="s">
        <v>75</v>
      </c>
      <c r="G460" t="s">
        <v>651</v>
      </c>
    </row>
    <row r="461" spans="2:7" x14ac:dyDescent="0.4">
      <c r="B461">
        <v>2407045</v>
      </c>
      <c r="C461" t="s">
        <v>740</v>
      </c>
      <c r="D461" t="s">
        <v>701</v>
      </c>
      <c r="E461" t="s">
        <v>118</v>
      </c>
      <c r="F461" t="s">
        <v>118</v>
      </c>
      <c r="G461" t="s">
        <v>88</v>
      </c>
    </row>
    <row r="462" spans="2:7" x14ac:dyDescent="0.4">
      <c r="B462">
        <v>2407046</v>
      </c>
      <c r="C462" t="s">
        <v>741</v>
      </c>
      <c r="D462" t="s">
        <v>1108</v>
      </c>
      <c r="E462" t="s">
        <v>118</v>
      </c>
      <c r="F462" t="s">
        <v>88</v>
      </c>
      <c r="G462" t="s">
        <v>279</v>
      </c>
    </row>
    <row r="463" spans="2:7" x14ac:dyDescent="0.4">
      <c r="B463">
        <v>2407047</v>
      </c>
      <c r="C463" t="s">
        <v>743</v>
      </c>
      <c r="D463" t="s">
        <v>1089</v>
      </c>
      <c r="E463" t="s">
        <v>118</v>
      </c>
      <c r="F463" t="s">
        <v>118</v>
      </c>
      <c r="G463" t="s">
        <v>88</v>
      </c>
    </row>
    <row r="464" spans="2:7" x14ac:dyDescent="0.4">
      <c r="B464">
        <v>2407048</v>
      </c>
      <c r="C464" t="s">
        <v>744</v>
      </c>
      <c r="D464" t="s">
        <v>1102</v>
      </c>
      <c r="E464" t="s">
        <v>88</v>
      </c>
      <c r="F464" t="s">
        <v>118</v>
      </c>
      <c r="G464" t="s">
        <v>88</v>
      </c>
    </row>
    <row r="465" spans="2:7" x14ac:dyDescent="0.4">
      <c r="B465">
        <v>2407049</v>
      </c>
      <c r="C465" t="s">
        <v>745</v>
      </c>
      <c r="D465" t="s">
        <v>1115</v>
      </c>
      <c r="E465" t="s">
        <v>131</v>
      </c>
      <c r="F465" t="s">
        <v>118</v>
      </c>
      <c r="G465" t="s">
        <v>475</v>
      </c>
    </row>
    <row r="466" spans="2:7" x14ac:dyDescent="0.4">
      <c r="B466">
        <v>2407050</v>
      </c>
      <c r="C466" t="s">
        <v>746</v>
      </c>
      <c r="D466" t="s">
        <v>1100</v>
      </c>
      <c r="E466" t="s">
        <v>88</v>
      </c>
      <c r="F466" t="s">
        <v>118</v>
      </c>
      <c r="G466" t="s">
        <v>88</v>
      </c>
    </row>
    <row r="467" spans="2:7" x14ac:dyDescent="0.4">
      <c r="B467">
        <v>2407052</v>
      </c>
      <c r="C467" t="s">
        <v>747</v>
      </c>
      <c r="D467" t="s">
        <v>1116</v>
      </c>
      <c r="E467" t="s">
        <v>121</v>
      </c>
      <c r="F467" t="s">
        <v>78</v>
      </c>
      <c r="G467" t="s">
        <v>825</v>
      </c>
    </row>
    <row r="468" spans="2:7" x14ac:dyDescent="0.4">
      <c r="B468">
        <v>2407053</v>
      </c>
      <c r="C468" t="s">
        <v>748</v>
      </c>
      <c r="D468" t="s">
        <v>1117</v>
      </c>
      <c r="E468" t="s">
        <v>88</v>
      </c>
      <c r="F468" t="s">
        <v>118</v>
      </c>
      <c r="G468" t="s">
        <v>88</v>
      </c>
    </row>
    <row r="469" spans="2:7" x14ac:dyDescent="0.4">
      <c r="B469">
        <v>2407055</v>
      </c>
      <c r="C469" t="s">
        <v>749</v>
      </c>
      <c r="D469" t="s">
        <v>1111</v>
      </c>
      <c r="E469" t="s">
        <v>88</v>
      </c>
      <c r="F469" t="s">
        <v>157</v>
      </c>
      <c r="G469" t="s">
        <v>384</v>
      </c>
    </row>
    <row r="470" spans="2:7" x14ac:dyDescent="0.4">
      <c r="B470">
        <v>2407056</v>
      </c>
      <c r="C470" t="s">
        <v>750</v>
      </c>
      <c r="D470" t="s">
        <v>1100</v>
      </c>
      <c r="E470" t="s">
        <v>118</v>
      </c>
      <c r="F470" t="s">
        <v>88</v>
      </c>
      <c r="G470" t="s">
        <v>475</v>
      </c>
    </row>
    <row r="471" spans="2:7" x14ac:dyDescent="0.4">
      <c r="B471">
        <v>2407057</v>
      </c>
      <c r="C471" t="s">
        <v>751</v>
      </c>
      <c r="D471" t="s">
        <v>1085</v>
      </c>
      <c r="E471" t="s">
        <v>118</v>
      </c>
      <c r="F471" t="s">
        <v>118</v>
      </c>
      <c r="G471" t="s">
        <v>88</v>
      </c>
    </row>
    <row r="472" spans="2:7" x14ac:dyDescent="0.4">
      <c r="B472">
        <v>2407058</v>
      </c>
      <c r="C472" t="s">
        <v>752</v>
      </c>
      <c r="D472" t="s">
        <v>1099</v>
      </c>
      <c r="E472" t="s">
        <v>121</v>
      </c>
      <c r="F472" t="s">
        <v>118</v>
      </c>
      <c r="G472" t="s">
        <v>88</v>
      </c>
    </row>
    <row r="473" spans="2:7" x14ac:dyDescent="0.4">
      <c r="B473">
        <v>2407059</v>
      </c>
      <c r="C473" t="s">
        <v>753</v>
      </c>
      <c r="D473" t="s">
        <v>1109</v>
      </c>
      <c r="E473" t="s">
        <v>118</v>
      </c>
      <c r="F473" t="s">
        <v>121</v>
      </c>
      <c r="G473" t="s">
        <v>264</v>
      </c>
    </row>
    <row r="474" spans="2:7" x14ac:dyDescent="0.4">
      <c r="B474">
        <v>2407060</v>
      </c>
      <c r="C474" t="s">
        <v>754</v>
      </c>
      <c r="D474" t="s">
        <v>1118</v>
      </c>
      <c r="E474" t="s">
        <v>75</v>
      </c>
      <c r="F474" t="s">
        <v>118</v>
      </c>
      <c r="G474" t="s">
        <v>88</v>
      </c>
    </row>
    <row r="475" spans="2:7" x14ac:dyDescent="0.4">
      <c r="B475">
        <v>2407061</v>
      </c>
      <c r="C475" t="s">
        <v>755</v>
      </c>
      <c r="D475" t="s">
        <v>1119</v>
      </c>
      <c r="E475" t="s">
        <v>108</v>
      </c>
      <c r="F475" t="s">
        <v>118</v>
      </c>
      <c r="G475" t="s">
        <v>88</v>
      </c>
    </row>
    <row r="476" spans="2:7" x14ac:dyDescent="0.4">
      <c r="B476">
        <v>2407062</v>
      </c>
      <c r="C476" t="s">
        <v>756</v>
      </c>
      <c r="D476" t="s">
        <v>1088</v>
      </c>
      <c r="E476" t="s">
        <v>118</v>
      </c>
      <c r="F476" t="s">
        <v>118</v>
      </c>
      <c r="G476" t="s">
        <v>88</v>
      </c>
    </row>
    <row r="477" spans="2:7" x14ac:dyDescent="0.4">
      <c r="B477">
        <v>2407063</v>
      </c>
      <c r="C477" t="s">
        <v>757</v>
      </c>
      <c r="D477" t="s">
        <v>1100</v>
      </c>
      <c r="E477" t="s">
        <v>88</v>
      </c>
      <c r="F477" t="s">
        <v>118</v>
      </c>
      <c r="G477" t="s">
        <v>88</v>
      </c>
    </row>
    <row r="478" spans="2:7" x14ac:dyDescent="0.4">
      <c r="B478">
        <v>2407064</v>
      </c>
      <c r="C478" t="s">
        <v>758</v>
      </c>
      <c r="D478" t="s">
        <v>1089</v>
      </c>
      <c r="E478" t="s">
        <v>118</v>
      </c>
      <c r="F478" t="s">
        <v>118</v>
      </c>
      <c r="G478" t="s">
        <v>88</v>
      </c>
    </row>
    <row r="479" spans="2:7" x14ac:dyDescent="0.4">
      <c r="B479">
        <v>2407065</v>
      </c>
      <c r="C479" t="s">
        <v>759</v>
      </c>
      <c r="D479" t="s">
        <v>1100</v>
      </c>
      <c r="E479" t="s">
        <v>88</v>
      </c>
      <c r="F479" t="s">
        <v>118</v>
      </c>
      <c r="G479" t="s">
        <v>88</v>
      </c>
    </row>
    <row r="480" spans="2:7" x14ac:dyDescent="0.4">
      <c r="B480">
        <v>2407066</v>
      </c>
      <c r="C480" t="s">
        <v>760</v>
      </c>
      <c r="D480" t="s">
        <v>1120</v>
      </c>
      <c r="E480" t="s">
        <v>118</v>
      </c>
      <c r="F480" t="s">
        <v>87</v>
      </c>
      <c r="G480" t="s">
        <v>882</v>
      </c>
    </row>
    <row r="481" spans="2:7" x14ac:dyDescent="0.4">
      <c r="B481">
        <v>2407067</v>
      </c>
      <c r="C481" t="s">
        <v>761</v>
      </c>
      <c r="D481" t="s">
        <v>1121</v>
      </c>
      <c r="E481" t="s">
        <v>118</v>
      </c>
      <c r="F481" t="s">
        <v>88</v>
      </c>
      <c r="G481" t="s">
        <v>475</v>
      </c>
    </row>
    <row r="482" spans="2:7" x14ac:dyDescent="0.4">
      <c r="B482">
        <v>2407068</v>
      </c>
      <c r="C482" t="s">
        <v>762</v>
      </c>
      <c r="D482" t="s">
        <v>1121</v>
      </c>
      <c r="E482" t="s">
        <v>118</v>
      </c>
      <c r="F482" t="s">
        <v>88</v>
      </c>
      <c r="G482" t="s">
        <v>475</v>
      </c>
    </row>
    <row r="483" spans="2:7" x14ac:dyDescent="0.4">
      <c r="B483">
        <v>2407069</v>
      </c>
      <c r="C483" t="s">
        <v>763</v>
      </c>
      <c r="D483" t="s">
        <v>1100</v>
      </c>
      <c r="E483" t="s">
        <v>118</v>
      </c>
      <c r="F483" t="s">
        <v>88</v>
      </c>
      <c r="G483" t="s">
        <v>475</v>
      </c>
    </row>
    <row r="484" spans="2:7" x14ac:dyDescent="0.4">
      <c r="B484">
        <v>2407070</v>
      </c>
      <c r="C484" t="s">
        <v>764</v>
      </c>
      <c r="D484" t="s">
        <v>1082</v>
      </c>
      <c r="E484" t="s">
        <v>121</v>
      </c>
      <c r="F484" t="s">
        <v>128</v>
      </c>
      <c r="G484" t="s">
        <v>852</v>
      </c>
    </row>
    <row r="485" spans="2:7" x14ac:dyDescent="0.4">
      <c r="B485">
        <v>2407071</v>
      </c>
      <c r="C485" t="s">
        <v>765</v>
      </c>
      <c r="D485" t="s">
        <v>1100</v>
      </c>
      <c r="E485" t="s">
        <v>88</v>
      </c>
      <c r="F485" t="s">
        <v>118</v>
      </c>
      <c r="G485" t="s">
        <v>88</v>
      </c>
    </row>
    <row r="486" spans="2:7" x14ac:dyDescent="0.4">
      <c r="B486">
        <v>2407072</v>
      </c>
      <c r="C486" t="s">
        <v>766</v>
      </c>
      <c r="D486" t="s">
        <v>1099</v>
      </c>
      <c r="E486" t="s">
        <v>118</v>
      </c>
      <c r="F486" t="s">
        <v>121</v>
      </c>
      <c r="G486" t="s">
        <v>813</v>
      </c>
    </row>
    <row r="487" spans="2:7" x14ac:dyDescent="0.4">
      <c r="B487">
        <v>2407073</v>
      </c>
      <c r="C487" t="s">
        <v>767</v>
      </c>
      <c r="D487" t="s">
        <v>1090</v>
      </c>
      <c r="E487" t="s">
        <v>118</v>
      </c>
      <c r="F487" t="s">
        <v>87</v>
      </c>
      <c r="G487" t="s">
        <v>1095</v>
      </c>
    </row>
    <row r="488" spans="2:7" x14ac:dyDescent="0.4">
      <c r="B488">
        <v>2407075</v>
      </c>
      <c r="C488" t="s">
        <v>768</v>
      </c>
      <c r="D488" t="s">
        <v>1100</v>
      </c>
      <c r="E488" t="s">
        <v>88</v>
      </c>
      <c r="F488" t="s">
        <v>118</v>
      </c>
      <c r="G488" t="s">
        <v>88</v>
      </c>
    </row>
    <row r="489" spans="2:7" x14ac:dyDescent="0.4">
      <c r="B489">
        <v>2407076</v>
      </c>
      <c r="C489" t="s">
        <v>769</v>
      </c>
      <c r="D489" t="s">
        <v>1100</v>
      </c>
      <c r="E489" t="s">
        <v>88</v>
      </c>
      <c r="F489" t="s">
        <v>118</v>
      </c>
      <c r="G489" t="s">
        <v>88</v>
      </c>
    </row>
    <row r="490" spans="2:7" x14ac:dyDescent="0.4">
      <c r="B490">
        <v>2407077</v>
      </c>
      <c r="C490" t="s">
        <v>770</v>
      </c>
      <c r="D490" t="s">
        <v>1100</v>
      </c>
      <c r="E490" t="s">
        <v>88</v>
      </c>
      <c r="F490" t="s">
        <v>118</v>
      </c>
      <c r="G490" t="s">
        <v>88</v>
      </c>
    </row>
    <row r="491" spans="2:7" x14ac:dyDescent="0.4">
      <c r="B491">
        <v>2410001</v>
      </c>
      <c r="C491" t="s">
        <v>771</v>
      </c>
      <c r="D491" t="s">
        <v>1122</v>
      </c>
      <c r="E491" t="s">
        <v>83</v>
      </c>
      <c r="F491" t="s">
        <v>1123</v>
      </c>
      <c r="G491" t="s">
        <v>1124</v>
      </c>
    </row>
    <row r="492" spans="2:7" x14ac:dyDescent="0.4">
      <c r="B492">
        <v>2410002</v>
      </c>
      <c r="C492" t="s">
        <v>773</v>
      </c>
      <c r="D492" t="s">
        <v>1125</v>
      </c>
      <c r="E492" t="s">
        <v>118</v>
      </c>
      <c r="F492" t="s">
        <v>157</v>
      </c>
      <c r="G492" t="s">
        <v>337</v>
      </c>
    </row>
    <row r="493" spans="2:7" x14ac:dyDescent="0.4">
      <c r="B493">
        <v>2410003</v>
      </c>
      <c r="C493" t="s">
        <v>774</v>
      </c>
      <c r="D493" t="s">
        <v>1126</v>
      </c>
      <c r="E493" t="s">
        <v>118</v>
      </c>
      <c r="F493" t="s">
        <v>118</v>
      </c>
      <c r="G493" t="s">
        <v>88</v>
      </c>
    </row>
    <row r="494" spans="2:7" x14ac:dyDescent="0.4">
      <c r="B494">
        <v>2410004</v>
      </c>
      <c r="C494" t="s">
        <v>775</v>
      </c>
      <c r="D494" t="s">
        <v>1126</v>
      </c>
      <c r="E494" t="s">
        <v>118</v>
      </c>
      <c r="F494" t="s">
        <v>118</v>
      </c>
      <c r="G494" t="s">
        <v>88</v>
      </c>
    </row>
    <row r="495" spans="2:7" x14ac:dyDescent="0.4">
      <c r="B495">
        <v>2410005</v>
      </c>
      <c r="C495" t="s">
        <v>776</v>
      </c>
      <c r="D495" t="s">
        <v>1126</v>
      </c>
      <c r="E495" t="s">
        <v>118</v>
      </c>
      <c r="F495" t="s">
        <v>118</v>
      </c>
      <c r="G495" t="s">
        <v>88</v>
      </c>
    </row>
    <row r="496" spans="2:7" x14ac:dyDescent="0.4">
      <c r="B496">
        <v>2410006</v>
      </c>
      <c r="C496" t="s">
        <v>777</v>
      </c>
      <c r="D496" t="s">
        <v>1127</v>
      </c>
      <c r="E496" t="s">
        <v>88</v>
      </c>
      <c r="F496" t="s">
        <v>118</v>
      </c>
      <c r="G496" t="s">
        <v>88</v>
      </c>
    </row>
    <row r="497" spans="2:7" x14ac:dyDescent="0.4">
      <c r="B497">
        <v>2501001</v>
      </c>
      <c r="C497" t="s">
        <v>778</v>
      </c>
      <c r="D497" t="s">
        <v>175</v>
      </c>
      <c r="E497" t="s">
        <v>88</v>
      </c>
      <c r="F497" t="s">
        <v>88</v>
      </c>
      <c r="G497" t="s">
        <v>311</v>
      </c>
    </row>
    <row r="498" spans="2:7" x14ac:dyDescent="0.4">
      <c r="B498">
        <v>2501002</v>
      </c>
      <c r="C498" t="s">
        <v>779</v>
      </c>
      <c r="D498" t="s">
        <v>1128</v>
      </c>
      <c r="E498" t="s">
        <v>88</v>
      </c>
      <c r="F498" t="s">
        <v>118</v>
      </c>
      <c r="G498" t="s">
        <v>88</v>
      </c>
    </row>
    <row r="499" spans="2:7" x14ac:dyDescent="0.4">
      <c r="B499">
        <v>2501003</v>
      </c>
      <c r="C499" t="s">
        <v>780</v>
      </c>
      <c r="D499" t="s">
        <v>1129</v>
      </c>
      <c r="E499" t="s">
        <v>118</v>
      </c>
      <c r="F499" t="s">
        <v>118</v>
      </c>
      <c r="G499" t="s">
        <v>88</v>
      </c>
    </row>
    <row r="500" spans="2:7" x14ac:dyDescent="0.4">
      <c r="B500">
        <v>2501004</v>
      </c>
      <c r="C500" t="s">
        <v>781</v>
      </c>
      <c r="D500" t="s">
        <v>1130</v>
      </c>
      <c r="E500" t="s">
        <v>88</v>
      </c>
      <c r="F500" t="s">
        <v>204</v>
      </c>
      <c r="G500" t="s">
        <v>1131</v>
      </c>
    </row>
  </sheetData>
  <phoneticPr fontId="1"/>
  <hyperlinks>
    <hyperlink ref="I2" r:id="rId1" xr:uid="{00000000-0004-0000-01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学生コピー②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I22"/>
  <sheetViews>
    <sheetView workbookViewId="0">
      <selection activeCell="F11" sqref="F11"/>
    </sheetView>
  </sheetViews>
  <sheetFormatPr defaultRowHeight="18.75" x14ac:dyDescent="0.4"/>
  <cols>
    <col min="2" max="2" width="10.75" customWidth="1"/>
    <col min="3" max="3" width="7.75" customWidth="1"/>
    <col min="4" max="4" width="6.75" customWidth="1"/>
    <col min="5" max="5" width="26.75" bestFit="1" customWidth="1"/>
    <col min="6" max="6" width="9" bestFit="1" customWidth="1"/>
    <col min="7" max="7" width="13" bestFit="1" customWidth="1"/>
    <col min="8" max="8" width="9" bestFit="1" customWidth="1"/>
  </cols>
  <sheetData>
    <row r="1" spans="2:9" x14ac:dyDescent="0.4">
      <c r="F1" s="42" t="s">
        <v>26</v>
      </c>
      <c r="G1" s="42"/>
      <c r="H1" s="42"/>
    </row>
    <row r="2" spans="2:9" x14ac:dyDescent="0.4">
      <c r="B2" s="1" t="s">
        <v>11</v>
      </c>
      <c r="C2" s="1" t="s">
        <v>0</v>
      </c>
      <c r="D2" s="1" t="s">
        <v>1</v>
      </c>
      <c r="E2" s="1" t="s">
        <v>2</v>
      </c>
      <c r="F2" s="6" t="s">
        <v>23</v>
      </c>
      <c r="G2" s="6" t="s">
        <v>24</v>
      </c>
      <c r="H2" s="6" t="s">
        <v>25</v>
      </c>
      <c r="I2" s="12" t="s">
        <v>10</v>
      </c>
    </row>
    <row r="3" spans="2:9" x14ac:dyDescent="0.4">
      <c r="B3" s="1">
        <v>2304010</v>
      </c>
      <c r="C3" s="1" t="s">
        <v>53</v>
      </c>
      <c r="D3" s="1">
        <v>1</v>
      </c>
      <c r="E3" s="1" t="s">
        <v>54</v>
      </c>
      <c r="F3" s="1">
        <v>5</v>
      </c>
      <c r="G3" s="1">
        <v>5</v>
      </c>
      <c r="H3" s="1">
        <v>5</v>
      </c>
      <c r="I3" s="1">
        <f>SUM(F3:H3)</f>
        <v>15</v>
      </c>
    </row>
    <row r="4" spans="2:9" x14ac:dyDescent="0.4">
      <c r="B4" s="1">
        <v>2304067</v>
      </c>
      <c r="C4" s="1" t="s">
        <v>53</v>
      </c>
      <c r="D4" s="1">
        <v>2</v>
      </c>
      <c r="E4" s="1" t="s">
        <v>55</v>
      </c>
      <c r="F4" s="1">
        <v>5</v>
      </c>
      <c r="G4" s="1">
        <v>5</v>
      </c>
      <c r="H4" s="1">
        <v>5</v>
      </c>
      <c r="I4" s="1">
        <f t="shared" ref="I4:I21" si="0">SUM(F4:H4)</f>
        <v>15</v>
      </c>
    </row>
    <row r="5" spans="2:9" x14ac:dyDescent="0.4">
      <c r="B5" s="1">
        <v>2304069</v>
      </c>
      <c r="C5" s="1" t="s">
        <v>53</v>
      </c>
      <c r="D5" s="1">
        <v>3</v>
      </c>
      <c r="E5" s="1" t="s">
        <v>56</v>
      </c>
      <c r="F5" s="1">
        <v>5</v>
      </c>
      <c r="G5" s="1">
        <v>5</v>
      </c>
      <c r="H5" s="1">
        <v>5</v>
      </c>
      <c r="I5" s="1">
        <f t="shared" si="0"/>
        <v>15</v>
      </c>
    </row>
    <row r="6" spans="2:9" x14ac:dyDescent="0.4">
      <c r="B6" s="1">
        <v>2304070</v>
      </c>
      <c r="C6" s="1" t="s">
        <v>53</v>
      </c>
      <c r="D6" s="1">
        <v>4</v>
      </c>
      <c r="E6" s="1" t="s">
        <v>57</v>
      </c>
      <c r="F6" s="1">
        <v>5</v>
      </c>
      <c r="G6" s="1">
        <v>5</v>
      </c>
      <c r="H6" s="1">
        <v>5</v>
      </c>
      <c r="I6" s="1">
        <f t="shared" si="0"/>
        <v>15</v>
      </c>
    </row>
    <row r="7" spans="2:9" x14ac:dyDescent="0.4">
      <c r="B7" s="1">
        <v>2304071</v>
      </c>
      <c r="C7" s="1" t="s">
        <v>53</v>
      </c>
      <c r="D7" s="1">
        <v>5</v>
      </c>
      <c r="E7" s="1" t="s">
        <v>58</v>
      </c>
      <c r="F7" s="1">
        <v>5</v>
      </c>
      <c r="G7" s="1">
        <v>5</v>
      </c>
      <c r="H7" s="1">
        <v>5</v>
      </c>
      <c r="I7" s="1">
        <f t="shared" si="0"/>
        <v>15</v>
      </c>
    </row>
    <row r="8" spans="2:9" x14ac:dyDescent="0.4">
      <c r="B8" s="1">
        <v>2304072</v>
      </c>
      <c r="C8" s="1" t="s">
        <v>53</v>
      </c>
      <c r="D8" s="1">
        <v>6</v>
      </c>
      <c r="E8" s="1" t="s">
        <v>59</v>
      </c>
      <c r="F8" s="1">
        <v>5</v>
      </c>
      <c r="G8" s="1">
        <v>5</v>
      </c>
      <c r="H8" s="1">
        <v>5</v>
      </c>
      <c r="I8" s="1">
        <f t="shared" si="0"/>
        <v>15</v>
      </c>
    </row>
    <row r="9" spans="2:9" x14ac:dyDescent="0.4">
      <c r="B9" s="1">
        <v>2304073</v>
      </c>
      <c r="C9" s="1" t="s">
        <v>53</v>
      </c>
      <c r="D9" s="1">
        <v>7</v>
      </c>
      <c r="E9" s="1" t="s">
        <v>60</v>
      </c>
      <c r="F9" s="1">
        <v>5</v>
      </c>
      <c r="G9" s="1">
        <v>5</v>
      </c>
      <c r="H9" s="1">
        <v>5</v>
      </c>
      <c r="I9" s="1">
        <f t="shared" si="0"/>
        <v>15</v>
      </c>
    </row>
    <row r="10" spans="2:9" x14ac:dyDescent="0.4">
      <c r="B10" s="1">
        <v>2304074</v>
      </c>
      <c r="C10" s="1" t="s">
        <v>53</v>
      </c>
      <c r="D10" s="1">
        <v>8</v>
      </c>
      <c r="E10" s="1" t="s">
        <v>61</v>
      </c>
      <c r="F10" s="1">
        <v>5</v>
      </c>
      <c r="G10" s="1">
        <v>5</v>
      </c>
      <c r="H10" s="1">
        <v>5</v>
      </c>
      <c r="I10" s="1">
        <f t="shared" si="0"/>
        <v>15</v>
      </c>
    </row>
    <row r="11" spans="2:9" x14ac:dyDescent="0.4">
      <c r="B11" s="1">
        <v>2304075</v>
      </c>
      <c r="C11" s="1" t="s">
        <v>53</v>
      </c>
      <c r="D11" s="1">
        <v>9</v>
      </c>
      <c r="E11" s="1" t="s">
        <v>62</v>
      </c>
      <c r="F11" s="1">
        <v>5</v>
      </c>
      <c r="G11" s="1">
        <v>5</v>
      </c>
      <c r="H11" s="1">
        <v>5</v>
      </c>
      <c r="I11" s="1">
        <f t="shared" si="0"/>
        <v>15</v>
      </c>
    </row>
    <row r="12" spans="2:9" x14ac:dyDescent="0.4">
      <c r="B12" s="1">
        <v>2304090</v>
      </c>
      <c r="C12" s="1" t="s">
        <v>53</v>
      </c>
      <c r="D12" s="1">
        <v>10</v>
      </c>
      <c r="E12" s="1" t="s">
        <v>63</v>
      </c>
      <c r="F12" s="1">
        <v>5</v>
      </c>
      <c r="G12" s="1">
        <v>5</v>
      </c>
      <c r="H12" s="1">
        <v>5</v>
      </c>
      <c r="I12" s="1">
        <f t="shared" si="0"/>
        <v>15</v>
      </c>
    </row>
    <row r="13" spans="2:9" x14ac:dyDescent="0.4">
      <c r="B13" s="1">
        <v>2304092</v>
      </c>
      <c r="C13" s="1" t="s">
        <v>53</v>
      </c>
      <c r="D13" s="1">
        <v>11</v>
      </c>
      <c r="E13" s="1" t="s">
        <v>64</v>
      </c>
      <c r="F13" s="1">
        <v>5</v>
      </c>
      <c r="G13" s="1">
        <v>5</v>
      </c>
      <c r="H13" s="1">
        <v>5</v>
      </c>
      <c r="I13" s="1">
        <f t="shared" si="0"/>
        <v>15</v>
      </c>
    </row>
    <row r="14" spans="2:9" x14ac:dyDescent="0.4">
      <c r="B14" s="1">
        <v>2304093</v>
      </c>
      <c r="C14" s="1" t="s">
        <v>53</v>
      </c>
      <c r="D14" s="1">
        <v>12</v>
      </c>
      <c r="E14" s="1" t="s">
        <v>65</v>
      </c>
      <c r="F14" s="1">
        <v>4</v>
      </c>
      <c r="G14" s="1">
        <v>5</v>
      </c>
      <c r="H14" s="1">
        <v>5</v>
      </c>
      <c r="I14" s="1">
        <f t="shared" si="0"/>
        <v>14</v>
      </c>
    </row>
    <row r="15" spans="2:9" x14ac:dyDescent="0.4">
      <c r="B15" s="1">
        <v>2304095</v>
      </c>
      <c r="C15" s="1" t="s">
        <v>53</v>
      </c>
      <c r="D15" s="1">
        <v>13</v>
      </c>
      <c r="E15" s="1" t="s">
        <v>66</v>
      </c>
      <c r="F15" s="1">
        <v>5</v>
      </c>
      <c r="G15" s="1">
        <v>5</v>
      </c>
      <c r="H15" s="1">
        <v>5</v>
      </c>
      <c r="I15" s="1">
        <f t="shared" si="0"/>
        <v>15</v>
      </c>
    </row>
    <row r="16" spans="2:9" x14ac:dyDescent="0.4">
      <c r="B16" s="1">
        <v>2307002</v>
      </c>
      <c r="C16" s="1" t="s">
        <v>53</v>
      </c>
      <c r="D16" s="1">
        <v>14</v>
      </c>
      <c r="E16" s="1" t="s">
        <v>67</v>
      </c>
      <c r="F16" s="1">
        <v>5</v>
      </c>
      <c r="G16" s="1">
        <v>5</v>
      </c>
      <c r="H16" s="1">
        <v>5</v>
      </c>
      <c r="I16" s="1">
        <f t="shared" si="0"/>
        <v>15</v>
      </c>
    </row>
    <row r="17" spans="2:9" x14ac:dyDescent="0.4">
      <c r="B17" s="1">
        <v>2307004</v>
      </c>
      <c r="C17" s="1" t="s">
        <v>53</v>
      </c>
      <c r="D17" s="1">
        <v>15</v>
      </c>
      <c r="E17" s="1" t="s">
        <v>68</v>
      </c>
      <c r="F17" s="1">
        <v>4</v>
      </c>
      <c r="G17" s="1">
        <v>5</v>
      </c>
      <c r="H17" s="1">
        <v>5</v>
      </c>
      <c r="I17" s="1">
        <f t="shared" si="0"/>
        <v>14</v>
      </c>
    </row>
    <row r="18" spans="2:9" x14ac:dyDescent="0.4">
      <c r="B18" s="1">
        <v>2307007</v>
      </c>
      <c r="C18" s="1" t="s">
        <v>53</v>
      </c>
      <c r="D18" s="1">
        <v>16</v>
      </c>
      <c r="E18" s="1" t="s">
        <v>69</v>
      </c>
      <c r="F18" s="1">
        <v>5</v>
      </c>
      <c r="G18" s="1">
        <v>5</v>
      </c>
      <c r="H18" s="1">
        <v>5</v>
      </c>
      <c r="I18" s="1">
        <f t="shared" si="0"/>
        <v>15</v>
      </c>
    </row>
    <row r="19" spans="2:9" x14ac:dyDescent="0.4">
      <c r="B19" s="1">
        <v>2307011</v>
      </c>
      <c r="C19" s="1" t="s">
        <v>53</v>
      </c>
      <c r="D19" s="1">
        <v>17</v>
      </c>
      <c r="E19" s="1" t="s">
        <v>70</v>
      </c>
      <c r="F19" s="1">
        <v>5</v>
      </c>
      <c r="G19" s="1">
        <v>5</v>
      </c>
      <c r="H19" s="1">
        <v>5</v>
      </c>
      <c r="I19" s="1">
        <f t="shared" si="0"/>
        <v>15</v>
      </c>
    </row>
    <row r="20" spans="2:9" x14ac:dyDescent="0.4">
      <c r="B20" s="1">
        <v>2310016</v>
      </c>
      <c r="C20" s="1" t="s">
        <v>53</v>
      </c>
      <c r="D20" s="1">
        <v>18</v>
      </c>
      <c r="E20" s="1" t="s">
        <v>71</v>
      </c>
      <c r="F20" s="1">
        <v>5</v>
      </c>
      <c r="G20" s="1">
        <v>5</v>
      </c>
      <c r="H20" s="1">
        <v>5</v>
      </c>
      <c r="I20" s="1">
        <f t="shared" si="0"/>
        <v>15</v>
      </c>
    </row>
    <row r="21" spans="2:9" x14ac:dyDescent="0.4">
      <c r="B21" s="1">
        <v>2404091</v>
      </c>
      <c r="C21" s="1" t="s">
        <v>53</v>
      </c>
      <c r="D21" s="1">
        <v>19</v>
      </c>
      <c r="E21" s="1" t="s">
        <v>72</v>
      </c>
      <c r="F21" s="1">
        <v>5</v>
      </c>
      <c r="G21" s="1">
        <v>5</v>
      </c>
      <c r="H21" s="1">
        <v>5</v>
      </c>
      <c r="I21" s="1">
        <f t="shared" si="0"/>
        <v>15</v>
      </c>
    </row>
    <row r="22" spans="2:9" x14ac:dyDescent="0.4">
      <c r="B22" s="1">
        <v>2404159</v>
      </c>
      <c r="C22" s="1" t="s">
        <v>53</v>
      </c>
      <c r="D22" s="1">
        <v>20</v>
      </c>
      <c r="E22" s="1" t="s">
        <v>73</v>
      </c>
      <c r="F22" s="1">
        <v>5</v>
      </c>
      <c r="G22" s="1">
        <v>5</v>
      </c>
      <c r="H22" s="1">
        <v>5</v>
      </c>
      <c r="I22" s="1">
        <f t="shared" ref="I22" si="1">SUM(F22:H22)</f>
        <v>15</v>
      </c>
    </row>
  </sheetData>
  <mergeCells count="1">
    <mergeCell ref="F1:H1"/>
  </mergeCells>
  <phoneticPr fontId="1"/>
  <dataValidations count="1">
    <dataValidation type="list" allowBlank="1" showInputMessage="1" showErrorMessage="1" sqref="F3:H22" xr:uid="{7E46B4F6-6EE7-4DE4-8138-EE06B93881BE}">
      <formula1>"1,2,3,4,5"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学生コピー③">
                <anchor moveWithCells="1" siz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AB22"/>
  <sheetViews>
    <sheetView tabSelected="1" view="pageBreakPreview" zoomScale="60" zoomScaleNormal="100" workbookViewId="0">
      <selection activeCell="AD9" sqref="AD9"/>
    </sheetView>
  </sheetViews>
  <sheetFormatPr defaultRowHeight="18.75" x14ac:dyDescent="0.4"/>
  <cols>
    <col min="1" max="1" width="0.125" customWidth="1"/>
    <col min="2" max="2" width="10.75" customWidth="1"/>
    <col min="3" max="3" width="7.75" customWidth="1"/>
    <col min="4" max="4" width="6.75" customWidth="1"/>
    <col min="5" max="5" width="26.75" bestFit="1" customWidth="1"/>
    <col min="10" max="10" width="9" style="39"/>
    <col min="13" max="14" width="11.125" bestFit="1" customWidth="1"/>
    <col min="15" max="15" width="5.5" customWidth="1"/>
    <col min="16" max="16" width="2.875" bestFit="1" customWidth="1"/>
    <col min="17" max="17" width="7" bestFit="1" customWidth="1"/>
    <col min="18" max="18" width="2.875" bestFit="1" customWidth="1"/>
    <col min="19" max="19" width="7" bestFit="1" customWidth="1"/>
    <col min="20" max="20" width="2.875" bestFit="1" customWidth="1"/>
    <col min="21" max="21" width="7" bestFit="1" customWidth="1"/>
    <col min="22" max="22" width="2.875" bestFit="1" customWidth="1"/>
    <col min="23" max="23" width="5.5" customWidth="1"/>
    <col min="24" max="24" width="2.875" customWidth="1"/>
    <col min="25" max="25" width="5.5" customWidth="1"/>
    <col min="26" max="26" width="2.75" customWidth="1"/>
    <col min="27" max="27" width="7" bestFit="1" customWidth="1"/>
    <col min="28" max="28" width="2.875" bestFit="1" customWidth="1"/>
  </cols>
  <sheetData>
    <row r="1" spans="2:28" ht="19.5" thickBot="1" x14ac:dyDescent="0.45">
      <c r="F1" t="s">
        <v>20</v>
      </c>
      <c r="M1" t="s">
        <v>21</v>
      </c>
      <c r="N1" t="s">
        <v>22</v>
      </c>
      <c r="O1" s="16" t="s">
        <v>19</v>
      </c>
      <c r="P1" s="17"/>
    </row>
    <row r="2" spans="2:28" ht="19.5" thickBot="1" x14ac:dyDescent="0.45">
      <c r="B2" s="1" t="s">
        <v>11</v>
      </c>
      <c r="C2" s="1" t="s">
        <v>0</v>
      </c>
      <c r="D2" s="1" t="s">
        <v>1</v>
      </c>
      <c r="E2" s="1" t="s">
        <v>2</v>
      </c>
      <c r="F2" s="25" t="s">
        <v>16</v>
      </c>
      <c r="G2" s="26" t="s">
        <v>4</v>
      </c>
      <c r="H2" s="26" t="s">
        <v>5</v>
      </c>
      <c r="I2" s="26" t="s">
        <v>6</v>
      </c>
      <c r="J2" s="40" t="s">
        <v>8</v>
      </c>
      <c r="K2" s="26" t="s">
        <v>9</v>
      </c>
      <c r="L2" s="27" t="s">
        <v>7</v>
      </c>
      <c r="M2" s="28" t="s">
        <v>18</v>
      </c>
      <c r="N2" s="27" t="s">
        <v>17</v>
      </c>
      <c r="O2" s="29" t="s">
        <v>16</v>
      </c>
      <c r="P2" s="30"/>
      <c r="Q2" s="31" t="s">
        <v>4</v>
      </c>
      <c r="R2" s="32"/>
      <c r="S2" s="31" t="s">
        <v>5</v>
      </c>
      <c r="T2" s="32"/>
      <c r="U2" s="31" t="s">
        <v>6</v>
      </c>
      <c r="V2" s="32"/>
      <c r="W2" s="31" t="s">
        <v>8</v>
      </c>
      <c r="X2" s="32"/>
      <c r="Y2" s="31" t="s">
        <v>9</v>
      </c>
      <c r="Z2" s="32"/>
      <c r="AA2" s="31" t="s">
        <v>7</v>
      </c>
      <c r="AB2" s="33"/>
    </row>
    <row r="3" spans="2:28" x14ac:dyDescent="0.4">
      <c r="B3" s="1">
        <v>2304010</v>
      </c>
      <c r="C3" s="1" t="s">
        <v>53</v>
      </c>
      <c r="D3" s="1">
        <v>1</v>
      </c>
      <c r="E3" s="1" t="s">
        <v>54</v>
      </c>
      <c r="F3" s="18">
        <f>POWER(140*70*VLOOKUP(B3,T_TEST[],5,FALSE)/MAX(T_TEST[語彙])-POWER(70*VLOOKUP(B3,T_TEST[],5,FALSE)/MAX(T_TEST[語彙]),2),0.5)-0.5*(POWER(140*70*VLOOKUP(B3,T_TEST[],5,FALSE)/MAX(T_TEST[語彙])-POWER(70*VLOOKUP(B3,T_TEST[],5,FALSE)/MAX(T_TEST[語彙]),2),0.5)-70*VLOOKUP(B3,T_TEST[],5,FALSE)/MAX(T_TEST[語彙]))</f>
        <v>62.999858751072125</v>
      </c>
      <c r="G3" s="19">
        <f>POWER(140*70*VLOOKUP(B3,T_TEST[],6,FALSE)/MAX(T_TEST[聴解])-POWER(70*VLOOKUP(B3,T_TEST[],6,FALSE)/MAX(T_TEST[聴解]),2),0.5)-0.5*(POWER(140*70*VLOOKUP(B3,T_TEST[],6,FALSE)/MAX(T_TEST[聴解])-POWER(70*VLOOKUP(B3,T_TEST[],6,FALSE)/MAX(T_TEST[聴解]),2),0.5)-70*VLOOKUP(B3,T_TEST[],6,FALSE)/MAX(T_TEST[聴解]))</f>
        <v>64.988531689410337</v>
      </c>
      <c r="H3" s="19">
        <f>POWER(140*70*VLOOKUP(B3,T_TEST[],7,FALSE)/MAX(T_TEST[読解])-POWER(70*VLOOKUP(B3,T_TEST[],7,FALSE)/MAX(T_TEST[読解]),2),0.5)-0.5*(POWER(140*70*VLOOKUP(B3,T_TEST[],7,FALSE)/MAX(T_TEST[読解])-POWER(70*VLOOKUP(B3,T_TEST[],7,FALSE)/MAX(T_TEST[読解]),2),0.5)-70*VLOOKUP(B3,T_TEST[],7,FALSE)/MAX(T_TEST[読解]))</f>
        <v>60.138604279314897</v>
      </c>
      <c r="I3" s="19">
        <f>POWER(140*70*VLOOKUP(B3,T_TEST[],8,FALSE)/MAX(T_TEST[文法])-POWER(70*VLOOKUP(B3,T_TEST[],8,FALSE)/MAX(T_TEST[文法]),2),0.5)-0.5*(POWER(140*70*VLOOKUP(B3,T_TEST[],8,FALSE)/MAX(T_TEST[文法])-POWER(70*VLOOKUP(B3,T_TEST[],8,FALSE)/MAX(T_TEST[文法]),2),0.5)-70*VLOOKUP(B3,T_TEST[],8,FALSE)/MAX(T_TEST[文法]))</f>
        <v>56.873435637121297</v>
      </c>
      <c r="J3" s="20">
        <f>POWER(140*70*VLOOKUP(B3,T_TEST[],9,FALSE)/MAX(T_TEST[作文])-POWER(70*VLOOKUP(B3,T_TEST[],9,FALSE)/MAX(T_TEST[作文]),2),0.5)-0.5*(POWER(140*70*VLOOKUP(B3,T_TEST[],9,FALSE)/MAX(T_TEST[作文])-POWER(70*VLOOKUP(B3,T_TEST[],9,FALSE)/MAX(T_TEST[作文]),2),0.5)-70*VLOOKUP(B3,T_TEST[],9,FALSE)/MAX(T_TEST[作文]))</f>
        <v>55.191742076555052</v>
      </c>
      <c r="K3" s="20">
        <f>POWER(140*70*VLOOKUP(B3,T_TEST[],10,FALSE)/MAX(T_TEST[会話])-POWER(70*VLOOKUP(B3,T_TEST[],10,FALSE)/MAX(T_TEST[会話]),2),0.5)-0.5*(POWER(140*70*VLOOKUP(B3,T_TEST[],10,FALSE)/MAX(T_TEST[会話])-POWER(70*VLOOKUP(B3,T_TEST[],10,FALSE)/MAX(T_TEST[会話]),2),0.5)-70*VLOOKUP(B3,T_TEST[],10,FALSE)/MAX(T_TEST[会話]))</f>
        <v>65.547086208774402</v>
      </c>
      <c r="L3" s="21">
        <f>POWER(140*70*VLOOKUP(B3,T_TEST[],11,FALSE)/MAX(T_TEST[合計])-POWER(70*VLOOKUP(B3,T_TEST[],11,FALSE)/MAX(T_TEST[合計]),2),0.5)-0.5*(POWER(140*70*VLOOKUP(B3,T_TEST[],11,FALSE)/MAX(T_TEST[合計])-POWER(70*VLOOKUP(B3,T_TEST[],11,FALSE)/MAX(T_TEST[合計]),2),0.5)-70*VLOOKUP(B3,T_TEST[],11,FALSE)/MAX(T_TEST[合計]))</f>
        <v>62.192407196798015</v>
      </c>
      <c r="M3" s="22">
        <f>15-((1-VLOOKUP(B3,入力②出席率!$B:$G,6,FALSE))*15)*3</f>
        <v>14.522999999999954</v>
      </c>
      <c r="N3" s="23">
        <f>VLOOKUP(B3,入力③平常点!B:I,8,FALSE)</f>
        <v>15</v>
      </c>
      <c r="O3" s="24">
        <f>F3+$M3+$N3</f>
        <v>92.522858751072079</v>
      </c>
      <c r="P3" s="34" t="str">
        <f>IF(O3&gt;=80,"A",IF(O3&gt;=70,"B",IF(O3&gt;=60,"C",IF(O3&gt;=50,"D","F"))))</f>
        <v>A</v>
      </c>
      <c r="Q3" s="24">
        <f>G3+$M3+$N3</f>
        <v>94.51153168941029</v>
      </c>
      <c r="R3" s="34" t="str">
        <f t="shared" ref="R3" si="0">IF(Q3&gt;=80,"A",IF(Q3&gt;=70,"B",IF(Q3&gt;=60,"C",IF(Q3&gt;=50,"D","F"))))</f>
        <v>A</v>
      </c>
      <c r="S3" s="24">
        <f>H3+$M3+$N3</f>
        <v>89.661604279314844</v>
      </c>
      <c r="T3" s="34" t="str">
        <f t="shared" ref="T3" si="1">IF(S3&gt;=80,"A",IF(S3&gt;=70,"B",IF(S3&gt;=60,"C",IF(S3&gt;=50,"D","F"))))</f>
        <v>A</v>
      </c>
      <c r="U3" s="24">
        <f>I3+$M3+$N3</f>
        <v>86.396435637121243</v>
      </c>
      <c r="V3" s="34" t="str">
        <f t="shared" ref="V3" si="2">IF(U3&gt;=80,"A",IF(U3&gt;=70,"B",IF(U3&gt;=60,"C",IF(U3&gt;=50,"D","F"))))</f>
        <v>A</v>
      </c>
      <c r="W3" s="24">
        <f>J3+$M3+$N3</f>
        <v>84.714742076555012</v>
      </c>
      <c r="X3" s="34" t="str">
        <f t="shared" ref="X3" si="3">IF(W3&gt;=80,"A",IF(W3&gt;=70,"B",IF(W3&gt;=60,"C",IF(W3&gt;=50,"D","F"))))</f>
        <v>A</v>
      </c>
      <c r="Y3" s="24">
        <f>K3+$M3+$N3</f>
        <v>95.070086208774356</v>
      </c>
      <c r="Z3" s="34" t="str">
        <f t="shared" ref="Z3" si="4">IF(Y3&gt;=80,"A",IF(Y3&gt;=70,"B",IF(Y3&gt;=60,"C",IF(Y3&gt;=50,"D","F"))))</f>
        <v>A</v>
      </c>
      <c r="AA3" s="24">
        <f>L3+$M3+$N3</f>
        <v>91.715407196797969</v>
      </c>
      <c r="AB3" s="34" t="str">
        <f t="shared" ref="AB3" si="5">IF(AA3&gt;=80,"A",IF(AA3&gt;=70,"B",IF(AA3&gt;=60,"C",IF(AA3&gt;=50,"D","F"))))</f>
        <v>A</v>
      </c>
    </row>
    <row r="4" spans="2:28" x14ac:dyDescent="0.4">
      <c r="B4" s="1">
        <v>2304067</v>
      </c>
      <c r="C4" s="1" t="s">
        <v>53</v>
      </c>
      <c r="D4" s="1">
        <v>2</v>
      </c>
      <c r="E4" s="1" t="s">
        <v>55</v>
      </c>
      <c r="F4" s="7">
        <f>POWER(140*70*VLOOKUP(B4,T_TEST[],5,FALSE)/MAX(T_TEST[語彙])-POWER(70*VLOOKUP(B4,T_TEST[],5,FALSE)/MAX(T_TEST[語彙]),2),0.5)-0.5*(POWER(140*70*VLOOKUP(B4,T_TEST[],5,FALSE)/MAX(T_TEST[語彙])-POWER(70*VLOOKUP(B4,T_TEST[],5,FALSE)/MAX(T_TEST[語彙]),2),0.5)-70*VLOOKUP(B4,T_TEST[],5,FALSE)/MAX(T_TEST[語彙]))</f>
        <v>50.468919195052329</v>
      </c>
      <c r="G4" s="8">
        <f>POWER(140*70*VLOOKUP(B4,T_TEST[],6,FALSE)/MAX(T_TEST[聴解])-POWER(70*VLOOKUP(B4,T_TEST[],6,FALSE)/MAX(T_TEST[聴解]),2),0.5)-0.5*(POWER(140*70*VLOOKUP(B4,T_TEST[],6,FALSE)/MAX(T_TEST[聴解])-POWER(70*VLOOKUP(B4,T_TEST[],6,FALSE)/MAX(T_TEST[聴解]),2),0.5)-70*VLOOKUP(B4,T_TEST[],6,FALSE)/MAX(T_TEST[聴解]))</f>
        <v>63.006989545973497</v>
      </c>
      <c r="H4" s="8">
        <f>POWER(140*70*VLOOKUP(B4,T_TEST[],7,FALSE)/MAX(T_TEST[読解])-POWER(70*VLOOKUP(B4,T_TEST[],7,FALSE)/MAX(T_TEST[読解]),2),0.5)-0.5*(POWER(140*70*VLOOKUP(B4,T_TEST[],7,FALSE)/MAX(T_TEST[読解])-POWER(70*VLOOKUP(B4,T_TEST[],7,FALSE)/MAX(T_TEST[読解]),2),0.5)-70*VLOOKUP(B4,T_TEST[],7,FALSE)/MAX(T_TEST[読解]))</f>
        <v>55.764696372503749</v>
      </c>
      <c r="I4" s="8">
        <f>POWER(140*70*VLOOKUP(B4,T_TEST[],8,FALSE)/MAX(T_TEST[文法])-POWER(70*VLOOKUP(B4,T_TEST[],8,FALSE)/MAX(T_TEST[文法]),2),0.5)-0.5*(POWER(140*70*VLOOKUP(B4,T_TEST[],8,FALSE)/MAX(T_TEST[文法])-POWER(70*VLOOKUP(B4,T_TEST[],8,FALSE)/MAX(T_TEST[文法]),2),0.5)-70*VLOOKUP(B4,T_TEST[],8,FALSE)/MAX(T_TEST[文法]))</f>
        <v>58.986730708056719</v>
      </c>
      <c r="J4" s="14">
        <f>POWER(140*70*VLOOKUP(B4,T_TEST[],9,FALSE)/MAX(T_TEST[作文])-POWER(70*VLOOKUP(B4,T_TEST[],9,FALSE)/MAX(T_TEST[作文]),2),0.5)-0.5*(POWER(140*70*VLOOKUP(B4,T_TEST[],9,FALSE)/MAX(T_TEST[作文])-POWER(70*VLOOKUP(B4,T_TEST[],9,FALSE)/MAX(T_TEST[作文]),2),0.5)-70*VLOOKUP(B4,T_TEST[],9,FALSE)/MAX(T_TEST[作文]))</f>
        <v>62.120528443461311</v>
      </c>
      <c r="K4" s="14">
        <f>POWER(140*70*VLOOKUP(B4,T_TEST[],10,FALSE)/MAX(T_TEST[会話])-POWER(70*VLOOKUP(B4,T_TEST[],10,FALSE)/MAX(T_TEST[会話]),2),0.5)-0.5*(POWER(140*70*VLOOKUP(B4,T_TEST[],10,FALSE)/MAX(T_TEST[会話])-POWER(70*VLOOKUP(B4,T_TEST[],10,FALSE)/MAX(T_TEST[会話]),2),0.5)-70*VLOOKUP(B4,T_TEST[],10,FALSE)/MAX(T_TEST[会話]))</f>
        <v>63.949095501908587</v>
      </c>
      <c r="L4" s="15">
        <f>POWER(140*70*VLOOKUP(B4,T_TEST[],11,FALSE)/MAX(T_TEST[合計])-POWER(70*VLOOKUP(B4,T_TEST[],11,FALSE)/MAX(T_TEST[合計]),2),0.5)-0.5*(POWER(140*70*VLOOKUP(B4,T_TEST[],11,FALSE)/MAX(T_TEST[合計])-POWER(70*VLOOKUP(B4,T_TEST[],11,FALSE)/MAX(T_TEST[合計]),2),0.5)-70*VLOOKUP(B4,T_TEST[],11,FALSE)/MAX(T_TEST[合計]))</f>
        <v>60.832766435187075</v>
      </c>
      <c r="M4" s="9">
        <f>15-((1-VLOOKUP(B4,入力②出席率!$B:$G,6,FALSE))*15)*3</f>
        <v>14.761500000000002</v>
      </c>
      <c r="N4" s="10">
        <f>VLOOKUP(B4,入力③平常点!B:I,8,FALSE)</f>
        <v>15</v>
      </c>
      <c r="O4" s="24">
        <f t="shared" ref="O4:O22" si="6">F4+$M4+$N4</f>
        <v>80.230419195052335</v>
      </c>
      <c r="P4" s="34" t="str">
        <f t="shared" ref="P4:P22" si="7">IF(O4&gt;=80,"A",IF(O4&gt;=70,"B",IF(O4&gt;=60,"C",IF(O4&gt;=50,"D","F"))))</f>
        <v>A</v>
      </c>
      <c r="Q4" s="24">
        <f t="shared" ref="Q4:Q22" si="8">G4+$M4+$N4</f>
        <v>92.768489545973495</v>
      </c>
      <c r="R4" s="34" t="str">
        <f t="shared" ref="R4:R22" si="9">IF(Q4&gt;=80,"A",IF(Q4&gt;=70,"B",IF(Q4&gt;=60,"C",IF(Q4&gt;=50,"D","F"))))</f>
        <v>A</v>
      </c>
      <c r="S4" s="24">
        <f t="shared" ref="S4:S22" si="10">H4+$M4+$N4</f>
        <v>85.526196372503748</v>
      </c>
      <c r="T4" s="34" t="str">
        <f t="shared" ref="T4:T22" si="11">IF(S4&gt;=80,"A",IF(S4&gt;=70,"B",IF(S4&gt;=60,"C",IF(S4&gt;=50,"D","F"))))</f>
        <v>A</v>
      </c>
      <c r="U4" s="24">
        <f t="shared" ref="U4:U22" si="12">I4+$M4+$N4</f>
        <v>88.748230708056724</v>
      </c>
      <c r="V4" s="34" t="str">
        <f t="shared" ref="V4:V22" si="13">IF(U4&gt;=80,"A",IF(U4&gt;=70,"B",IF(U4&gt;=60,"C",IF(U4&gt;=50,"D","F"))))</f>
        <v>A</v>
      </c>
      <c r="W4" s="24">
        <f t="shared" ref="W4:W22" si="14">J4+$M4+$N4</f>
        <v>91.882028443461309</v>
      </c>
      <c r="X4" s="34" t="str">
        <f t="shared" ref="X4:X22" si="15">IF(W4&gt;=80,"A",IF(W4&gt;=70,"B",IF(W4&gt;=60,"C",IF(W4&gt;=50,"D","F"))))</f>
        <v>A</v>
      </c>
      <c r="Y4" s="24">
        <f t="shared" ref="Y4:Y22" si="16">K4+$M4+$N4</f>
        <v>93.710595501908585</v>
      </c>
      <c r="Z4" s="34" t="str">
        <f t="shared" ref="Z4:Z22" si="17">IF(Y4&gt;=80,"A",IF(Y4&gt;=70,"B",IF(Y4&gt;=60,"C",IF(Y4&gt;=50,"D","F"))))</f>
        <v>A</v>
      </c>
      <c r="AA4" s="24">
        <f t="shared" ref="AA4:AA22" si="18">L4+$M4+$N4</f>
        <v>90.59426643518708</v>
      </c>
      <c r="AB4" s="34" t="str">
        <f t="shared" ref="AB4:AB22" si="19">IF(AA4&gt;=80,"A",IF(AA4&gt;=70,"B",IF(AA4&gt;=60,"C",IF(AA4&gt;=50,"D","F"))))</f>
        <v>A</v>
      </c>
    </row>
    <row r="5" spans="2:28" x14ac:dyDescent="0.4">
      <c r="B5" s="1">
        <v>2304069</v>
      </c>
      <c r="C5" s="1" t="s">
        <v>53</v>
      </c>
      <c r="D5" s="1">
        <v>3</v>
      </c>
      <c r="E5" s="1" t="s">
        <v>56</v>
      </c>
      <c r="F5" s="7">
        <f>POWER(140*70*VLOOKUP(B5,T_TEST[],5,FALSE)/MAX(T_TEST[語彙])-POWER(70*VLOOKUP(B5,T_TEST[],5,FALSE)/MAX(T_TEST[語彙]),2),0.5)-0.5*(POWER(140*70*VLOOKUP(B5,T_TEST[],5,FALSE)/MAX(T_TEST[語彙])-POWER(70*VLOOKUP(B5,T_TEST[],5,FALSE)/MAX(T_TEST[語彙]),2),0.5)-70*VLOOKUP(B5,T_TEST[],5,FALSE)/MAX(T_TEST[語彙]))</f>
        <v>54.751903271580993</v>
      </c>
      <c r="G5" s="8">
        <f>POWER(140*70*VLOOKUP(B5,T_TEST[],6,FALSE)/MAX(T_TEST[聴解])-POWER(70*VLOOKUP(B5,T_TEST[],6,FALSE)/MAX(T_TEST[聴解]),2),0.5)-0.5*(POWER(140*70*VLOOKUP(B5,T_TEST[],6,FALSE)/MAX(T_TEST[聴解])-POWER(70*VLOOKUP(B5,T_TEST[],6,FALSE)/MAX(T_TEST[聴解]),2),0.5)-70*VLOOKUP(B5,T_TEST[],6,FALSE)/MAX(T_TEST[聴解]))</f>
        <v>70</v>
      </c>
      <c r="H5" s="8">
        <f>POWER(140*70*VLOOKUP(B5,T_TEST[],7,FALSE)/MAX(T_TEST[読解])-POWER(70*VLOOKUP(B5,T_TEST[],7,FALSE)/MAX(T_TEST[読解]),2),0.5)-0.5*(POWER(140*70*VLOOKUP(B5,T_TEST[],7,FALSE)/MAX(T_TEST[読解])-POWER(70*VLOOKUP(B5,T_TEST[],7,FALSE)/MAX(T_TEST[読解]),2),0.5)-70*VLOOKUP(B5,T_TEST[],7,FALSE)/MAX(T_TEST[読解]))</f>
        <v>61.68698582794336</v>
      </c>
      <c r="I5" s="8">
        <f>POWER(140*70*VLOOKUP(B5,T_TEST[],8,FALSE)/MAX(T_TEST[文法])-POWER(70*VLOOKUP(B5,T_TEST[],8,FALSE)/MAX(T_TEST[文法]),2),0.5)-0.5*(POWER(140*70*VLOOKUP(B5,T_TEST[],8,FALSE)/MAX(T_TEST[文法])-POWER(70*VLOOKUP(B5,T_TEST[],8,FALSE)/MAX(T_TEST[文法]),2),0.5)-70*VLOOKUP(B5,T_TEST[],8,FALSE)/MAX(T_TEST[文法]))</f>
        <v>61.016645523045071</v>
      </c>
      <c r="J5" s="14">
        <f>POWER(140*70*VLOOKUP(B5,T_TEST[],9,FALSE)/MAX(T_TEST[作文])-POWER(70*VLOOKUP(B5,T_TEST[],9,FALSE)/MAX(T_TEST[作文]),2),0.5)-0.5*(POWER(140*70*VLOOKUP(B5,T_TEST[],9,FALSE)/MAX(T_TEST[作文])-POWER(70*VLOOKUP(B5,T_TEST[],9,FALSE)/MAX(T_TEST[作文]),2),0.5)-70*VLOOKUP(B5,T_TEST[],9,FALSE)/MAX(T_TEST[作文]))</f>
        <v>59.002578002529944</v>
      </c>
      <c r="K5" s="14">
        <f>POWER(140*70*VLOOKUP(B5,T_TEST[],10,FALSE)/MAX(T_TEST[会話])-POWER(70*VLOOKUP(B5,T_TEST[],10,FALSE)/MAX(T_TEST[会話]),2),0.5)-0.5*(POWER(140*70*VLOOKUP(B5,T_TEST[],10,FALSE)/MAX(T_TEST[会話])-POWER(70*VLOOKUP(B5,T_TEST[],10,FALSE)/MAX(T_TEST[会話]),2),0.5)-70*VLOOKUP(B5,T_TEST[],10,FALSE)/MAX(T_TEST[会話]))</f>
        <v>60.577051078632472</v>
      </c>
      <c r="L5" s="15">
        <f>POWER(140*70*VLOOKUP(B5,T_TEST[],11,FALSE)/MAX(T_TEST[合計])-POWER(70*VLOOKUP(B5,T_TEST[],11,FALSE)/MAX(T_TEST[合計]),2),0.5)-0.5*(POWER(140*70*VLOOKUP(B5,T_TEST[],11,FALSE)/MAX(T_TEST[合計])-POWER(70*VLOOKUP(B5,T_TEST[],11,FALSE)/MAX(T_TEST[合計]),2),0.5)-70*VLOOKUP(B5,T_TEST[],11,FALSE)/MAX(T_TEST[合計]))</f>
        <v>62.609555385533923</v>
      </c>
      <c r="M5" s="9">
        <f>15-((1-VLOOKUP(B5,入力②出席率!$B:$G,6,FALSE))*15)*3</f>
        <v>14.374499999999953</v>
      </c>
      <c r="N5" s="10">
        <f>VLOOKUP(B5,入力③平常点!B:I,8,FALSE)</f>
        <v>15</v>
      </c>
      <c r="O5" s="24">
        <f t="shared" si="6"/>
        <v>84.126403271580941</v>
      </c>
      <c r="P5" s="34" t="str">
        <f t="shared" si="7"/>
        <v>A</v>
      </c>
      <c r="Q5" s="24">
        <f t="shared" si="8"/>
        <v>99.374499999999955</v>
      </c>
      <c r="R5" s="34" t="str">
        <f t="shared" si="9"/>
        <v>A</v>
      </c>
      <c r="S5" s="24">
        <f t="shared" si="10"/>
        <v>91.061485827943315</v>
      </c>
      <c r="T5" s="34" t="str">
        <f t="shared" si="11"/>
        <v>A</v>
      </c>
      <c r="U5" s="24">
        <f t="shared" si="12"/>
        <v>90.391145523045026</v>
      </c>
      <c r="V5" s="34" t="str">
        <f t="shared" si="13"/>
        <v>A</v>
      </c>
      <c r="W5" s="24">
        <f t="shared" si="14"/>
        <v>88.377078002529899</v>
      </c>
      <c r="X5" s="34" t="str">
        <f t="shared" si="15"/>
        <v>A</v>
      </c>
      <c r="Y5" s="24">
        <f t="shared" si="16"/>
        <v>89.95155107863242</v>
      </c>
      <c r="Z5" s="34" t="str">
        <f t="shared" si="17"/>
        <v>A</v>
      </c>
      <c r="AA5" s="24">
        <f t="shared" si="18"/>
        <v>91.984055385533878</v>
      </c>
      <c r="AB5" s="34" t="str">
        <f t="shared" si="19"/>
        <v>A</v>
      </c>
    </row>
    <row r="6" spans="2:28" x14ac:dyDescent="0.4">
      <c r="B6" s="1">
        <v>2304070</v>
      </c>
      <c r="C6" s="1" t="s">
        <v>53</v>
      </c>
      <c r="D6" s="1">
        <v>4</v>
      </c>
      <c r="E6" s="1" t="s">
        <v>57</v>
      </c>
      <c r="F6" s="7">
        <f>POWER(140*70*VLOOKUP(B6,T_TEST[],5,FALSE)/MAX(T_TEST[語彙])-POWER(70*VLOOKUP(B6,T_TEST[],5,FALSE)/MAX(T_TEST[語彙]),2),0.5)-0.5*(POWER(140*70*VLOOKUP(B6,T_TEST[],5,FALSE)/MAX(T_TEST[語彙])-POWER(70*VLOOKUP(B6,T_TEST[],5,FALSE)/MAX(T_TEST[語彙]),2),0.5)-70*VLOOKUP(B6,T_TEST[],5,FALSE)/MAX(T_TEST[語彙]))</f>
        <v>39.889214513865312</v>
      </c>
      <c r="G6" s="8">
        <f>POWER(140*70*VLOOKUP(B6,T_TEST[],6,FALSE)/MAX(T_TEST[聴解])-POWER(70*VLOOKUP(B6,T_TEST[],6,FALSE)/MAX(T_TEST[聴解]),2),0.5)-0.5*(POWER(140*70*VLOOKUP(B6,T_TEST[],6,FALSE)/MAX(T_TEST[聴解])-POWER(70*VLOOKUP(B6,T_TEST[],6,FALSE)/MAX(T_TEST[聴解]),2),0.5)-70*VLOOKUP(B6,T_TEST[],6,FALSE)/MAX(T_TEST[聴解]))</f>
        <v>57.662967229801474</v>
      </c>
      <c r="H6" s="8">
        <f>POWER(140*70*VLOOKUP(B6,T_TEST[],7,FALSE)/MAX(T_TEST[読解])-POWER(70*VLOOKUP(B6,T_TEST[],7,FALSE)/MAX(T_TEST[読解]),2),0.5)-0.5*(POWER(140*70*VLOOKUP(B6,T_TEST[],7,FALSE)/MAX(T_TEST[読解])-POWER(70*VLOOKUP(B6,T_TEST[],7,FALSE)/MAX(T_TEST[読解]),2),0.5)-70*VLOOKUP(B6,T_TEST[],7,FALSE)/MAX(T_TEST[読解]))</f>
        <v>44.425166378915755</v>
      </c>
      <c r="I6" s="8">
        <f>POWER(140*70*VLOOKUP(B6,T_TEST[],8,FALSE)/MAX(T_TEST[文法])-POWER(70*VLOOKUP(B6,T_TEST[],8,FALSE)/MAX(T_TEST[文法]),2),0.5)-0.5*(POWER(140*70*VLOOKUP(B6,T_TEST[],8,FALSE)/MAX(T_TEST[文法])-POWER(70*VLOOKUP(B6,T_TEST[],8,FALSE)/MAX(T_TEST[文法]),2),0.5)-70*VLOOKUP(B6,T_TEST[],8,FALSE)/MAX(T_TEST[文法]))</f>
        <v>43.527492546963899</v>
      </c>
      <c r="J6" s="14">
        <f>POWER(140*70*VLOOKUP(B6,T_TEST[],9,FALSE)/MAX(T_TEST[作文])-POWER(70*VLOOKUP(B6,T_TEST[],9,FALSE)/MAX(T_TEST[作文]),2),0.5)-0.5*(POWER(140*70*VLOOKUP(B6,T_TEST[],9,FALSE)/MAX(T_TEST[作文])-POWER(70*VLOOKUP(B6,T_TEST[],9,FALSE)/MAX(T_TEST[作文]),2),0.5)-70*VLOOKUP(B6,T_TEST[],9,FALSE)/MAX(T_TEST[作文]))</f>
        <v>59.460033745764903</v>
      </c>
      <c r="K6" s="14">
        <f>POWER(140*70*VLOOKUP(B6,T_TEST[],10,FALSE)/MAX(T_TEST[会話])-POWER(70*VLOOKUP(B6,T_TEST[],10,FALSE)/MAX(T_TEST[会話]),2),0.5)-0.5*(POWER(140*70*VLOOKUP(B6,T_TEST[],10,FALSE)/MAX(T_TEST[会話])-POWER(70*VLOOKUP(B6,T_TEST[],10,FALSE)/MAX(T_TEST[会話]),2),0.5)-70*VLOOKUP(B6,T_TEST[],10,FALSE)/MAX(T_TEST[会話]))</f>
        <v>66.324560298731697</v>
      </c>
      <c r="L6" s="15">
        <f>POWER(140*70*VLOOKUP(B6,T_TEST[],11,FALSE)/MAX(T_TEST[合計])-POWER(70*VLOOKUP(B6,T_TEST[],11,FALSE)/MAX(T_TEST[合計]),2),0.5)-0.5*(POWER(140*70*VLOOKUP(B6,T_TEST[],11,FALSE)/MAX(T_TEST[合計])-POWER(70*VLOOKUP(B6,T_TEST[],11,FALSE)/MAX(T_TEST[合計]),2),0.5)-70*VLOOKUP(B6,T_TEST[],11,FALSE)/MAX(T_TEST[合計]))</f>
        <v>54.709633909364548</v>
      </c>
      <c r="M6" s="9">
        <f>15-((1-VLOOKUP(B6,入力②出席率!$B:$G,6,FALSE))*15)*3</f>
        <v>14.257499999999958</v>
      </c>
      <c r="N6" s="10">
        <f>VLOOKUP(B6,入力③平常点!B:I,8,FALSE)</f>
        <v>15</v>
      </c>
      <c r="O6" s="24">
        <f t="shared" si="6"/>
        <v>69.146714513865277</v>
      </c>
      <c r="P6" s="34" t="str">
        <f t="shared" si="7"/>
        <v>C</v>
      </c>
      <c r="Q6" s="24">
        <f t="shared" si="8"/>
        <v>86.920467229801432</v>
      </c>
      <c r="R6" s="34" t="str">
        <f t="shared" si="9"/>
        <v>A</v>
      </c>
      <c r="S6" s="24">
        <f t="shared" si="10"/>
        <v>73.682666378915712</v>
      </c>
      <c r="T6" s="34" t="str">
        <f t="shared" si="11"/>
        <v>B</v>
      </c>
      <c r="U6" s="24">
        <f t="shared" si="12"/>
        <v>72.784992546963849</v>
      </c>
      <c r="V6" s="34" t="str">
        <f t="shared" si="13"/>
        <v>B</v>
      </c>
      <c r="W6" s="24">
        <f t="shared" si="14"/>
        <v>88.717533745764854</v>
      </c>
      <c r="X6" s="34" t="str">
        <f t="shared" si="15"/>
        <v>A</v>
      </c>
      <c r="Y6" s="24">
        <f t="shared" si="16"/>
        <v>95.582060298731648</v>
      </c>
      <c r="Z6" s="34" t="str">
        <f t="shared" si="17"/>
        <v>A</v>
      </c>
      <c r="AA6" s="24">
        <f t="shared" si="18"/>
        <v>83.967133909364506</v>
      </c>
      <c r="AB6" s="34" t="str">
        <f t="shared" si="19"/>
        <v>A</v>
      </c>
    </row>
    <row r="7" spans="2:28" x14ac:dyDescent="0.4">
      <c r="B7" s="1">
        <v>2304071</v>
      </c>
      <c r="C7" s="1" t="s">
        <v>53</v>
      </c>
      <c r="D7" s="1">
        <v>5</v>
      </c>
      <c r="E7" s="1" t="s">
        <v>58</v>
      </c>
      <c r="F7" s="7">
        <f>POWER(140*70*VLOOKUP(B7,T_TEST[],5,FALSE)/MAX(T_TEST[語彙])-POWER(70*VLOOKUP(B7,T_TEST[],5,FALSE)/MAX(T_TEST[語彙]),2),0.5)-0.5*(POWER(140*70*VLOOKUP(B7,T_TEST[],5,FALSE)/MAX(T_TEST[語彙])-POWER(70*VLOOKUP(B7,T_TEST[],5,FALSE)/MAX(T_TEST[語彙]),2),0.5)-70*VLOOKUP(B7,T_TEST[],5,FALSE)/MAX(T_TEST[語彙]))</f>
        <v>64.154857864014446</v>
      </c>
      <c r="G7" s="8">
        <f>POWER(140*70*VLOOKUP(B7,T_TEST[],6,FALSE)/MAX(T_TEST[聴解])-POWER(70*VLOOKUP(B7,T_TEST[],6,FALSE)/MAX(T_TEST[聴解]),2),0.5)-0.5*(POWER(140*70*VLOOKUP(B7,T_TEST[],6,FALSE)/MAX(T_TEST[聴解])-POWER(70*VLOOKUP(B7,T_TEST[],6,FALSE)/MAX(T_TEST[聴解]),2),0.5)-70*VLOOKUP(B7,T_TEST[],6,FALSE)/MAX(T_TEST[聴解]))</f>
        <v>70</v>
      </c>
      <c r="H7" s="8">
        <f>POWER(140*70*VLOOKUP(B7,T_TEST[],7,FALSE)/MAX(T_TEST[読解])-POWER(70*VLOOKUP(B7,T_TEST[],7,FALSE)/MAX(T_TEST[読解]),2),0.5)-0.5*(POWER(140*70*VLOOKUP(B7,T_TEST[],7,FALSE)/MAX(T_TEST[読解])-POWER(70*VLOOKUP(B7,T_TEST[],7,FALSE)/MAX(T_TEST[読解]),2),0.5)-70*VLOOKUP(B7,T_TEST[],7,FALSE)/MAX(T_TEST[読解]))</f>
        <v>57.997298311401337</v>
      </c>
      <c r="I7" s="8">
        <f>POWER(140*70*VLOOKUP(B7,T_TEST[],8,FALSE)/MAX(T_TEST[文法])-POWER(70*VLOOKUP(B7,T_TEST[],8,FALSE)/MAX(T_TEST[文法]),2),0.5)-0.5*(POWER(140*70*VLOOKUP(B7,T_TEST[],8,FALSE)/MAX(T_TEST[文法])-POWER(70*VLOOKUP(B7,T_TEST[],8,FALSE)/MAX(T_TEST[文法]),2),0.5)-70*VLOOKUP(B7,T_TEST[],8,FALSE)/MAX(T_TEST[文法]))</f>
        <v>69.186152827230273</v>
      </c>
      <c r="J7" s="14">
        <f>POWER(140*70*VLOOKUP(B7,T_TEST[],9,FALSE)/MAX(T_TEST[作文])-POWER(70*VLOOKUP(B7,T_TEST[],9,FALSE)/MAX(T_TEST[作文]),2),0.5)-0.5*(POWER(140*70*VLOOKUP(B7,T_TEST[],9,FALSE)/MAX(T_TEST[作文])-POWER(70*VLOOKUP(B7,T_TEST[],9,FALSE)/MAX(T_TEST[作文]),2),0.5)-70*VLOOKUP(B7,T_TEST[],9,FALSE)/MAX(T_TEST[作文]))</f>
        <v>54.695796757445265</v>
      </c>
      <c r="K7" s="14">
        <f>POWER(140*70*VLOOKUP(B7,T_TEST[],10,FALSE)/MAX(T_TEST[会話])-POWER(70*VLOOKUP(B7,T_TEST[],10,FALSE)/MAX(T_TEST[会話]),2),0.5)-0.5*(POWER(140*70*VLOOKUP(B7,T_TEST[],10,FALSE)/MAX(T_TEST[会話])-POWER(70*VLOOKUP(B7,T_TEST[],10,FALSE)/MAX(T_TEST[会話]),2),0.5)-70*VLOOKUP(B7,T_TEST[],10,FALSE)/MAX(T_TEST[会話]))</f>
        <v>63.128331356602217</v>
      </c>
      <c r="L7" s="15">
        <f>POWER(140*70*VLOOKUP(B7,T_TEST[],11,FALSE)/MAX(T_TEST[合計])-POWER(70*VLOOKUP(B7,T_TEST[],11,FALSE)/MAX(T_TEST[合計]),2),0.5)-0.5*(POWER(140*70*VLOOKUP(B7,T_TEST[],11,FALSE)/MAX(T_TEST[合計])-POWER(70*VLOOKUP(B7,T_TEST[],11,FALSE)/MAX(T_TEST[合計]),2),0.5)-70*VLOOKUP(B7,T_TEST[],11,FALSE)/MAX(T_TEST[合計]))</f>
        <v>64.481795982841405</v>
      </c>
      <c r="M7" s="9">
        <f>15-((1-VLOOKUP(B7,入力②出席率!$B:$G,6,FALSE))*15)*3</f>
        <v>15</v>
      </c>
      <c r="N7" s="10">
        <f>VLOOKUP(B7,入力③平常点!B:I,8,FALSE)</f>
        <v>15</v>
      </c>
      <c r="O7" s="24">
        <f t="shared" si="6"/>
        <v>94.154857864014446</v>
      </c>
      <c r="P7" s="34" t="str">
        <f t="shared" si="7"/>
        <v>A</v>
      </c>
      <c r="Q7" s="24">
        <f t="shared" si="8"/>
        <v>100</v>
      </c>
      <c r="R7" s="34" t="str">
        <f t="shared" si="9"/>
        <v>A</v>
      </c>
      <c r="S7" s="24">
        <f t="shared" si="10"/>
        <v>87.997298311401337</v>
      </c>
      <c r="T7" s="34" t="str">
        <f t="shared" si="11"/>
        <v>A</v>
      </c>
      <c r="U7" s="24">
        <f t="shared" si="12"/>
        <v>99.186152827230273</v>
      </c>
      <c r="V7" s="34" t="str">
        <f t="shared" si="13"/>
        <v>A</v>
      </c>
      <c r="W7" s="24">
        <f t="shared" si="14"/>
        <v>84.695796757445265</v>
      </c>
      <c r="X7" s="34" t="str">
        <f t="shared" si="15"/>
        <v>A</v>
      </c>
      <c r="Y7" s="24">
        <f t="shared" si="16"/>
        <v>93.128331356602217</v>
      </c>
      <c r="Z7" s="34" t="str">
        <f t="shared" si="17"/>
        <v>A</v>
      </c>
      <c r="AA7" s="24">
        <f t="shared" si="18"/>
        <v>94.481795982841405</v>
      </c>
      <c r="AB7" s="34" t="str">
        <f t="shared" si="19"/>
        <v>A</v>
      </c>
    </row>
    <row r="8" spans="2:28" x14ac:dyDescent="0.4">
      <c r="B8" s="1">
        <v>2304072</v>
      </c>
      <c r="C8" s="1" t="s">
        <v>53</v>
      </c>
      <c r="D8" s="1">
        <v>6</v>
      </c>
      <c r="E8" s="1" t="s">
        <v>59</v>
      </c>
      <c r="F8" s="7">
        <f>POWER(140*70*VLOOKUP(B8,T_TEST[],5,FALSE)/MAX(T_TEST[語彙])-POWER(70*VLOOKUP(B8,T_TEST[],5,FALSE)/MAX(T_TEST[語彙]),2),0.5)-0.5*(POWER(140*70*VLOOKUP(B8,T_TEST[],5,FALSE)/MAX(T_TEST[語彙])-POWER(70*VLOOKUP(B8,T_TEST[],5,FALSE)/MAX(T_TEST[語彙]),2),0.5)-70*VLOOKUP(B8,T_TEST[],5,FALSE)/MAX(T_TEST[語彙]))</f>
        <v>60.601638190788336</v>
      </c>
      <c r="G8" s="8">
        <f>POWER(140*70*VLOOKUP(B8,T_TEST[],6,FALSE)/MAX(T_TEST[聴解])-POWER(70*VLOOKUP(B8,T_TEST[],6,FALSE)/MAX(T_TEST[聴解]),2),0.5)-0.5*(POWER(140*70*VLOOKUP(B8,T_TEST[],6,FALSE)/MAX(T_TEST[聴解])-POWER(70*VLOOKUP(B8,T_TEST[],6,FALSE)/MAX(T_TEST[聴解]),2),0.5)-70*VLOOKUP(B8,T_TEST[],6,FALSE)/MAX(T_TEST[聴解]))</f>
        <v>63.006989545973497</v>
      </c>
      <c r="H8" s="8">
        <f>POWER(140*70*VLOOKUP(B8,T_TEST[],7,FALSE)/MAX(T_TEST[読解])-POWER(70*VLOOKUP(B8,T_TEST[],7,FALSE)/MAX(T_TEST[読解]),2),0.5)-0.5*(POWER(140*70*VLOOKUP(B8,T_TEST[],7,FALSE)/MAX(T_TEST[読解])-POWER(70*VLOOKUP(B8,T_TEST[],7,FALSE)/MAX(T_TEST[読解]),2),0.5)-70*VLOOKUP(B8,T_TEST[],7,FALSE)/MAX(T_TEST[読解]))</f>
        <v>54.612700407136387</v>
      </c>
      <c r="I8" s="8">
        <f>POWER(140*70*VLOOKUP(B8,T_TEST[],8,FALSE)/MAX(T_TEST[文法])-POWER(70*VLOOKUP(B8,T_TEST[],8,FALSE)/MAX(T_TEST[文法]),2),0.5)-0.5*(POWER(140*70*VLOOKUP(B8,T_TEST[],8,FALSE)/MAX(T_TEST[文法])-POWER(70*VLOOKUP(B8,T_TEST[],8,FALSE)/MAX(T_TEST[文法]),2),0.5)-70*VLOOKUP(B8,T_TEST[],8,FALSE)/MAX(T_TEST[文法]))</f>
        <v>62.001319556475082</v>
      </c>
      <c r="J8" s="14">
        <f>POWER(140*70*VLOOKUP(B8,T_TEST[],9,FALSE)/MAX(T_TEST[作文])-POWER(70*VLOOKUP(B8,T_TEST[],9,FALSE)/MAX(T_TEST[作文]),2),0.5)-0.5*(POWER(140*70*VLOOKUP(B8,T_TEST[],9,FALSE)/MAX(T_TEST[作文])-POWER(70*VLOOKUP(B8,T_TEST[],9,FALSE)/MAX(T_TEST[作文]),2),0.5)-70*VLOOKUP(B8,T_TEST[],9,FALSE)/MAX(T_TEST[作文]))</f>
        <v>59.913423374408168</v>
      </c>
      <c r="K8" s="14">
        <f>POWER(140*70*VLOOKUP(B8,T_TEST[],10,FALSE)/MAX(T_TEST[会話])-POWER(70*VLOOKUP(B8,T_TEST[],10,FALSE)/MAX(T_TEST[会話]),2),0.5)-0.5*(POWER(140*70*VLOOKUP(B8,T_TEST[],10,FALSE)/MAX(T_TEST[会話])-POWER(70*VLOOKUP(B8,T_TEST[],10,FALSE)/MAX(T_TEST[会話]),2),0.5)-70*VLOOKUP(B8,T_TEST[],10,FALSE)/MAX(T_TEST[会話]))</f>
        <v>63.128331356602217</v>
      </c>
      <c r="L8" s="15">
        <f>POWER(140*70*VLOOKUP(B8,T_TEST[],11,FALSE)/MAX(T_TEST[合計])-POWER(70*VLOOKUP(B8,T_TEST[],11,FALSE)/MAX(T_TEST[合計]),2),0.5)-0.5*(POWER(140*70*VLOOKUP(B8,T_TEST[],11,FALSE)/MAX(T_TEST[合計])-POWER(70*VLOOKUP(B8,T_TEST[],11,FALSE)/MAX(T_TEST[合計]),2),0.5)-70*VLOOKUP(B8,T_TEST[],11,FALSE)/MAX(T_TEST[合計]))</f>
        <v>61.85604895821487</v>
      </c>
      <c r="M8" s="9">
        <f>15-((1-VLOOKUP(B8,入力②出席率!$B:$G,6,FALSE))*15)*3</f>
        <v>14.464499999999955</v>
      </c>
      <c r="N8" s="10">
        <f>VLOOKUP(B8,入力③平常点!B:I,8,FALSE)</f>
        <v>15</v>
      </c>
      <c r="O8" s="24">
        <f t="shared" si="6"/>
        <v>90.066138190788294</v>
      </c>
      <c r="P8" s="34" t="str">
        <f t="shared" si="7"/>
        <v>A</v>
      </c>
      <c r="Q8" s="24">
        <f t="shared" si="8"/>
        <v>92.471489545973455</v>
      </c>
      <c r="R8" s="34" t="str">
        <f t="shared" si="9"/>
        <v>A</v>
      </c>
      <c r="S8" s="24">
        <f t="shared" si="10"/>
        <v>84.077200407136345</v>
      </c>
      <c r="T8" s="34" t="str">
        <f t="shared" si="11"/>
        <v>A</v>
      </c>
      <c r="U8" s="24">
        <f t="shared" si="12"/>
        <v>91.46581955647504</v>
      </c>
      <c r="V8" s="34" t="str">
        <f t="shared" si="13"/>
        <v>A</v>
      </c>
      <c r="W8" s="24">
        <f t="shared" si="14"/>
        <v>89.377923374408127</v>
      </c>
      <c r="X8" s="34" t="str">
        <f t="shared" si="15"/>
        <v>A</v>
      </c>
      <c r="Y8" s="24">
        <f t="shared" si="16"/>
        <v>92.592831356602176</v>
      </c>
      <c r="Z8" s="34" t="str">
        <f t="shared" si="17"/>
        <v>A</v>
      </c>
      <c r="AA8" s="24">
        <f t="shared" si="18"/>
        <v>91.320548958214829</v>
      </c>
      <c r="AB8" s="34" t="str">
        <f t="shared" si="19"/>
        <v>A</v>
      </c>
    </row>
    <row r="9" spans="2:28" x14ac:dyDescent="0.4">
      <c r="B9" s="1">
        <v>2304073</v>
      </c>
      <c r="C9" s="1" t="s">
        <v>53</v>
      </c>
      <c r="D9" s="1">
        <v>7</v>
      </c>
      <c r="E9" s="1" t="s">
        <v>60</v>
      </c>
      <c r="F9" s="7">
        <f>POWER(140*70*VLOOKUP(B9,T_TEST[],5,FALSE)/MAX(T_TEST[語彙])-POWER(70*VLOOKUP(B9,T_TEST[],5,FALSE)/MAX(T_TEST[語彙]),2),0.5)-0.5*(POWER(140*70*VLOOKUP(B9,T_TEST[],5,FALSE)/MAX(T_TEST[語彙])-POWER(70*VLOOKUP(B9,T_TEST[],5,FALSE)/MAX(T_TEST[語彙]),2),0.5)-70*VLOOKUP(B9,T_TEST[],5,FALSE)/MAX(T_TEST[語彙]))</f>
        <v>64.154857864014446</v>
      </c>
      <c r="G9" s="8">
        <f>POWER(140*70*VLOOKUP(B9,T_TEST[],6,FALSE)/MAX(T_TEST[聴解])-POWER(70*VLOOKUP(B9,T_TEST[],6,FALSE)/MAX(T_TEST[聴解]),2),0.5)-0.5*(POWER(140*70*VLOOKUP(B9,T_TEST[],6,FALSE)/MAX(T_TEST[聴解])-POWER(70*VLOOKUP(B9,T_TEST[],6,FALSE)/MAX(T_TEST[聴解]),2),0.5)-70*VLOOKUP(B9,T_TEST[],6,FALSE)/MAX(T_TEST[聴解]))</f>
        <v>63.006989545973497</v>
      </c>
      <c r="H9" s="8">
        <f>POWER(140*70*VLOOKUP(B9,T_TEST[],7,FALSE)/MAX(T_TEST[読解])-POWER(70*VLOOKUP(B9,T_TEST[],7,FALSE)/MAX(T_TEST[読解]),2),0.5)-0.5*(POWER(140*70*VLOOKUP(B9,T_TEST[],7,FALSE)/MAX(T_TEST[読解])-POWER(70*VLOOKUP(B9,T_TEST[],7,FALSE)/MAX(T_TEST[読解]),2),0.5)-70*VLOOKUP(B9,T_TEST[],7,FALSE)/MAX(T_TEST[読解]))</f>
        <v>65.115269744536462</v>
      </c>
      <c r="I9" s="8">
        <f>POWER(140*70*VLOOKUP(B9,T_TEST[],8,FALSE)/MAX(T_TEST[文法])-POWER(70*VLOOKUP(B9,T_TEST[],8,FALSE)/MAX(T_TEST[文法]),2),0.5)-0.5*(POWER(140*70*VLOOKUP(B9,T_TEST[],8,FALSE)/MAX(T_TEST[文法])-POWER(70*VLOOKUP(B9,T_TEST[],8,FALSE)/MAX(T_TEST[文法]),2),0.5)-70*VLOOKUP(B9,T_TEST[],8,FALSE)/MAX(T_TEST[文法]))</f>
        <v>64.377170614539295</v>
      </c>
      <c r="J9" s="14">
        <f>POWER(140*70*VLOOKUP(B9,T_TEST[],9,FALSE)/MAX(T_TEST[作文])-POWER(70*VLOOKUP(B9,T_TEST[],9,FALSE)/MAX(T_TEST[作文]),2),0.5)-0.5*(POWER(140*70*VLOOKUP(B9,T_TEST[],9,FALSE)/MAX(T_TEST[作文])-POWER(70*VLOOKUP(B9,T_TEST[],9,FALSE)/MAX(T_TEST[作文]),2),0.5)-70*VLOOKUP(B9,T_TEST[],9,FALSE)/MAX(T_TEST[作文]))</f>
        <v>63.816091329348062</v>
      </c>
      <c r="K9" s="14">
        <f>POWER(140*70*VLOOKUP(B9,T_TEST[],10,FALSE)/MAX(T_TEST[会話])-POWER(70*VLOOKUP(B9,T_TEST[],10,FALSE)/MAX(T_TEST[会話]),2),0.5)-0.5*(POWER(140*70*VLOOKUP(B9,T_TEST[],10,FALSE)/MAX(T_TEST[会話])-POWER(70*VLOOKUP(B9,T_TEST[],10,FALSE)/MAX(T_TEST[会話]),2),0.5)-70*VLOOKUP(B9,T_TEST[],10,FALSE)/MAX(T_TEST[会話]))</f>
        <v>65.547086208774402</v>
      </c>
      <c r="L9" s="15">
        <f>POWER(140*70*VLOOKUP(B9,T_TEST[],11,FALSE)/MAX(T_TEST[合計])-POWER(70*VLOOKUP(B9,T_TEST[],11,FALSE)/MAX(T_TEST[合計]),2),0.5)-0.5*(POWER(140*70*VLOOKUP(B9,T_TEST[],11,FALSE)/MAX(T_TEST[合計])-POWER(70*VLOOKUP(B9,T_TEST[],11,FALSE)/MAX(T_TEST[合計]),2),0.5)-70*VLOOKUP(B9,T_TEST[],11,FALSE)/MAX(T_TEST[合計]))</f>
        <v>65.584432436655078</v>
      </c>
      <c r="M9" s="9">
        <f>15-((1-VLOOKUP(B9,入力②出席率!$B:$G,6,FALSE))*15)*3</f>
        <v>14.522999999999954</v>
      </c>
      <c r="N9" s="10">
        <f>VLOOKUP(B9,入力③平常点!B:I,8,FALSE)</f>
        <v>15</v>
      </c>
      <c r="O9" s="24">
        <f t="shared" si="6"/>
        <v>93.677857864014399</v>
      </c>
      <c r="P9" s="34" t="str">
        <f t="shared" si="7"/>
        <v>A</v>
      </c>
      <c r="Q9" s="24">
        <f t="shared" si="8"/>
        <v>92.52998954597345</v>
      </c>
      <c r="R9" s="34" t="str">
        <f t="shared" si="9"/>
        <v>A</v>
      </c>
      <c r="S9" s="24">
        <f t="shared" si="10"/>
        <v>94.638269744536416</v>
      </c>
      <c r="T9" s="34" t="str">
        <f t="shared" si="11"/>
        <v>A</v>
      </c>
      <c r="U9" s="24">
        <f t="shared" si="12"/>
        <v>93.900170614539249</v>
      </c>
      <c r="V9" s="34" t="str">
        <f t="shared" si="13"/>
        <v>A</v>
      </c>
      <c r="W9" s="24">
        <f t="shared" si="14"/>
        <v>93.339091329348008</v>
      </c>
      <c r="X9" s="34" t="str">
        <f t="shared" si="15"/>
        <v>A</v>
      </c>
      <c r="Y9" s="24">
        <f t="shared" si="16"/>
        <v>95.070086208774356</v>
      </c>
      <c r="Z9" s="34" t="str">
        <f t="shared" si="17"/>
        <v>A</v>
      </c>
      <c r="AA9" s="24">
        <f t="shared" si="18"/>
        <v>95.107432436655031</v>
      </c>
      <c r="AB9" s="34" t="str">
        <f t="shared" si="19"/>
        <v>A</v>
      </c>
    </row>
    <row r="10" spans="2:28" x14ac:dyDescent="0.4">
      <c r="B10" s="1">
        <v>2304074</v>
      </c>
      <c r="C10" s="1" t="s">
        <v>53</v>
      </c>
      <c r="D10" s="1">
        <v>8</v>
      </c>
      <c r="E10" s="1" t="s">
        <v>61</v>
      </c>
      <c r="F10" s="7">
        <f>POWER(140*70*VLOOKUP(B10,T_TEST[],5,FALSE)/MAX(T_TEST[語彙])-POWER(70*VLOOKUP(B10,T_TEST[],5,FALSE)/MAX(T_TEST[語彙]),2),0.5)-0.5*(POWER(140*70*VLOOKUP(B10,T_TEST[],5,FALSE)/MAX(T_TEST[語彙])-POWER(70*VLOOKUP(B10,T_TEST[],5,FALSE)/MAX(T_TEST[語彙]),2),0.5)-70*VLOOKUP(B10,T_TEST[],5,FALSE)/MAX(T_TEST[語彙]))</f>
        <v>52.651538654123257</v>
      </c>
      <c r="G10" s="8">
        <f>POWER(140*70*VLOOKUP(B10,T_TEST[],6,FALSE)/MAX(T_TEST[聴解])-POWER(70*VLOOKUP(B10,T_TEST[],6,FALSE)/MAX(T_TEST[聴解]),2),0.5)-0.5*(POWER(140*70*VLOOKUP(B10,T_TEST[],6,FALSE)/MAX(T_TEST[聴解])-POWER(70*VLOOKUP(B10,T_TEST[],6,FALSE)/MAX(T_TEST[聴解]),2),0.5)-70*VLOOKUP(B10,T_TEST[],6,FALSE)/MAX(T_TEST[聴解]))</f>
        <v>66.884433679444314</v>
      </c>
      <c r="H10" s="8">
        <f>POWER(140*70*VLOOKUP(B10,T_TEST[],7,FALSE)/MAX(T_TEST[読解])-POWER(70*VLOOKUP(B10,T_TEST[],7,FALSE)/MAX(T_TEST[読解]),2),0.5)-0.5*(POWER(140*70*VLOOKUP(B10,T_TEST[],7,FALSE)/MAX(T_TEST[読解])-POWER(70*VLOOKUP(B10,T_TEST[],7,FALSE)/MAX(T_TEST[読解]),2),0.5)-70*VLOOKUP(B10,T_TEST[],7,FALSE)/MAX(T_TEST[読解]))</f>
        <v>70</v>
      </c>
      <c r="I10" s="8">
        <f>POWER(140*70*VLOOKUP(B10,T_TEST[],8,FALSE)/MAX(T_TEST[文法])-POWER(70*VLOOKUP(B10,T_TEST[],8,FALSE)/MAX(T_TEST[文法]),2),0.5)-0.5*(POWER(140*70*VLOOKUP(B10,T_TEST[],8,FALSE)/MAX(T_TEST[文法])-POWER(70*VLOOKUP(B10,T_TEST[],8,FALSE)/MAX(T_TEST[文法]),2),0.5)-70*VLOOKUP(B10,T_TEST[],8,FALSE)/MAX(T_TEST[文法]))</f>
        <v>64.837878039453628</v>
      </c>
      <c r="J10" s="14">
        <f>POWER(140*70*VLOOKUP(B10,T_TEST[],9,FALSE)/MAX(T_TEST[作文])-POWER(70*VLOOKUP(B10,T_TEST[],9,FALSE)/MAX(T_TEST[作文]),2),0.5)-0.5*(POWER(140*70*VLOOKUP(B10,T_TEST[],9,FALSE)/MAX(T_TEST[作文])-POWER(70*VLOOKUP(B10,T_TEST[],9,FALSE)/MAX(T_TEST[作文]),2),0.5)-70*VLOOKUP(B10,T_TEST[],9,FALSE)/MAX(T_TEST[作文]))</f>
        <v>63.397945590311593</v>
      </c>
      <c r="K10" s="14">
        <f>POWER(140*70*VLOOKUP(B10,T_TEST[],10,FALSE)/MAX(T_TEST[会話])-POWER(70*VLOOKUP(B10,T_TEST[],10,FALSE)/MAX(T_TEST[会話]),2),0.5)-0.5*(POWER(140*70*VLOOKUP(B10,T_TEST[],10,FALSE)/MAX(T_TEST[会話])-POWER(70*VLOOKUP(B10,T_TEST[],10,FALSE)/MAX(T_TEST[会話]),2),0.5)-70*VLOOKUP(B10,T_TEST[],10,FALSE)/MAX(T_TEST[会話]))</f>
        <v>63.949095501908587</v>
      </c>
      <c r="L10" s="15">
        <f>POWER(140*70*VLOOKUP(B10,T_TEST[],11,FALSE)/MAX(T_TEST[合計])-POWER(70*VLOOKUP(B10,T_TEST[],11,FALSE)/MAX(T_TEST[合計]),2),0.5)-0.5*(POWER(140*70*VLOOKUP(B10,T_TEST[],11,FALSE)/MAX(T_TEST[合計])-POWER(70*VLOOKUP(B10,T_TEST[],11,FALSE)/MAX(T_TEST[合計]),2),0.5)-70*VLOOKUP(B10,T_TEST[],11,FALSE)/MAX(T_TEST[合計]))</f>
        <v>65.350485957722753</v>
      </c>
      <c r="M10" s="9">
        <f>15-((1-VLOOKUP(B10,入力②出席率!$B:$G,6,FALSE))*15)*3</f>
        <v>13.996500000000001</v>
      </c>
      <c r="N10" s="10">
        <f>VLOOKUP(B10,入力③平常点!B:I,8,FALSE)</f>
        <v>15</v>
      </c>
      <c r="O10" s="24">
        <f t="shared" si="6"/>
        <v>81.648038654123255</v>
      </c>
      <c r="P10" s="34" t="str">
        <f t="shared" si="7"/>
        <v>A</v>
      </c>
      <c r="Q10" s="24">
        <f t="shared" si="8"/>
        <v>95.880933679444311</v>
      </c>
      <c r="R10" s="34" t="str">
        <f t="shared" si="9"/>
        <v>A</v>
      </c>
      <c r="S10" s="24">
        <f t="shared" si="10"/>
        <v>98.996499999999997</v>
      </c>
      <c r="T10" s="34" t="str">
        <f t="shared" si="11"/>
        <v>A</v>
      </c>
      <c r="U10" s="24">
        <f t="shared" si="12"/>
        <v>93.834378039453625</v>
      </c>
      <c r="V10" s="34" t="str">
        <f t="shared" si="13"/>
        <v>A</v>
      </c>
      <c r="W10" s="24">
        <f t="shared" si="14"/>
        <v>92.394445590311591</v>
      </c>
      <c r="X10" s="34" t="str">
        <f t="shared" si="15"/>
        <v>A</v>
      </c>
      <c r="Y10" s="24">
        <f t="shared" si="16"/>
        <v>92.945595501908585</v>
      </c>
      <c r="Z10" s="34" t="str">
        <f t="shared" si="17"/>
        <v>A</v>
      </c>
      <c r="AA10" s="24">
        <f t="shared" si="18"/>
        <v>94.346985957722751</v>
      </c>
      <c r="AB10" s="34" t="str">
        <f t="shared" si="19"/>
        <v>A</v>
      </c>
    </row>
    <row r="11" spans="2:28" x14ac:dyDescent="0.4">
      <c r="B11" s="1">
        <v>2304075</v>
      </c>
      <c r="C11" s="1" t="s">
        <v>53</v>
      </c>
      <c r="D11" s="1">
        <v>9</v>
      </c>
      <c r="E11" s="1" t="s">
        <v>62</v>
      </c>
      <c r="F11" s="7">
        <f>POWER(140*70*VLOOKUP(B11,T_TEST[],5,FALSE)/MAX(T_TEST[語彙])-POWER(70*VLOOKUP(B11,T_TEST[],5,FALSE)/MAX(T_TEST[語彙]),2),0.5)-0.5*(POWER(140*70*VLOOKUP(B11,T_TEST[],5,FALSE)/MAX(T_TEST[語彙])-POWER(70*VLOOKUP(B11,T_TEST[],5,FALSE)/MAX(T_TEST[語彙]),2),0.5)-70*VLOOKUP(B11,T_TEST[],5,FALSE)/MAX(T_TEST[語彙]))</f>
        <v>66.917054391765618</v>
      </c>
      <c r="G11" s="8">
        <f>POWER(140*70*VLOOKUP(B11,T_TEST[],6,FALSE)/MAX(T_TEST[聴解])-POWER(70*VLOOKUP(B11,T_TEST[],6,FALSE)/MAX(T_TEST[聴解]),2),0.5)-0.5*(POWER(140*70*VLOOKUP(B11,T_TEST[],6,FALSE)/MAX(T_TEST[聴解])-POWER(70*VLOOKUP(B11,T_TEST[],6,FALSE)/MAX(T_TEST[聴解]),2),0.5)-70*VLOOKUP(B11,T_TEST[],6,FALSE)/MAX(T_TEST[聴解]))</f>
        <v>63.006989545973497</v>
      </c>
      <c r="H11" s="8">
        <f>POWER(140*70*VLOOKUP(B11,T_TEST[],7,FALSE)/MAX(T_TEST[読解])-POWER(70*VLOOKUP(B11,T_TEST[],7,FALSE)/MAX(T_TEST[読解]),2),0.5)-0.5*(POWER(140*70*VLOOKUP(B11,T_TEST[],7,FALSE)/MAX(T_TEST[読解])-POWER(70*VLOOKUP(B11,T_TEST[],7,FALSE)/MAX(T_TEST[読解]),2),0.5)-70*VLOOKUP(B11,T_TEST[],7,FALSE)/MAX(T_TEST[読解]))</f>
        <v>64.161646221937687</v>
      </c>
      <c r="I11" s="8">
        <f>POWER(140*70*VLOOKUP(B11,T_TEST[],8,FALSE)/MAX(T_TEST[文法])-POWER(70*VLOOKUP(B11,T_TEST[],8,FALSE)/MAX(T_TEST[文法]),2),0.5)-0.5*(POWER(140*70*VLOOKUP(B11,T_TEST[],8,FALSE)/MAX(T_TEST[文法])-POWER(70*VLOOKUP(B11,T_TEST[],8,FALSE)/MAX(T_TEST[文法]),2),0.5)-70*VLOOKUP(B11,T_TEST[],8,FALSE)/MAX(T_TEST[文法]))</f>
        <v>69.595389010694447</v>
      </c>
      <c r="J11" s="14">
        <f>POWER(140*70*VLOOKUP(B11,T_TEST[],9,FALSE)/MAX(T_TEST[作文])-POWER(70*VLOOKUP(B11,T_TEST[],9,FALSE)/MAX(T_TEST[作文]),2),0.5)-0.5*(POWER(140*70*VLOOKUP(B11,T_TEST[],9,FALSE)/MAX(T_TEST[作文])-POWER(70*VLOOKUP(B11,T_TEST[],9,FALSE)/MAX(T_TEST[作文]),2),0.5)-70*VLOOKUP(B11,T_TEST[],9,FALSE)/MAX(T_TEST[作文]))</f>
        <v>59.002578002529944</v>
      </c>
      <c r="K11" s="14">
        <f>POWER(140*70*VLOOKUP(B11,T_TEST[],10,FALSE)/MAX(T_TEST[会話])-POWER(70*VLOOKUP(B11,T_TEST[],10,FALSE)/MAX(T_TEST[会話]),2),0.5)-0.5*(POWER(140*70*VLOOKUP(B11,T_TEST[],10,FALSE)/MAX(T_TEST[会話])-POWER(70*VLOOKUP(B11,T_TEST[],10,FALSE)/MAX(T_TEST[会話]),2),0.5)-70*VLOOKUP(B11,T_TEST[],10,FALSE)/MAX(T_TEST[会話]))</f>
        <v>64.755302624562376</v>
      </c>
      <c r="L11" s="15">
        <f>POWER(140*70*VLOOKUP(B11,T_TEST[],11,FALSE)/MAX(T_TEST[合計])-POWER(70*VLOOKUP(B11,T_TEST[],11,FALSE)/MAX(T_TEST[合計]),2),0.5)-0.5*(POWER(140*70*VLOOKUP(B11,T_TEST[],11,FALSE)/MAX(T_TEST[合計])-POWER(70*VLOOKUP(B11,T_TEST[],11,FALSE)/MAX(T_TEST[合計]),2),0.5)-70*VLOOKUP(B11,T_TEST[],11,FALSE)/MAX(T_TEST[合計]))</f>
        <v>65.739692739544012</v>
      </c>
      <c r="M11" s="9">
        <f>15-((1-VLOOKUP(B11,入力②出席率!$B:$G,6,FALSE))*15)*3</f>
        <v>15</v>
      </c>
      <c r="N11" s="10">
        <f>VLOOKUP(B11,入力③平常点!B:I,8,FALSE)</f>
        <v>15</v>
      </c>
      <c r="O11" s="24">
        <f t="shared" si="6"/>
        <v>96.917054391765618</v>
      </c>
      <c r="P11" s="34" t="str">
        <f t="shared" si="7"/>
        <v>A</v>
      </c>
      <c r="Q11" s="24">
        <f t="shared" si="8"/>
        <v>93.006989545973497</v>
      </c>
      <c r="R11" s="34" t="str">
        <f t="shared" si="9"/>
        <v>A</v>
      </c>
      <c r="S11" s="24">
        <f t="shared" si="10"/>
        <v>94.161646221937687</v>
      </c>
      <c r="T11" s="34" t="str">
        <f t="shared" si="11"/>
        <v>A</v>
      </c>
      <c r="U11" s="24">
        <f t="shared" si="12"/>
        <v>99.595389010694447</v>
      </c>
      <c r="V11" s="34" t="str">
        <f t="shared" si="13"/>
        <v>A</v>
      </c>
      <c r="W11" s="24">
        <f t="shared" si="14"/>
        <v>89.002578002529944</v>
      </c>
      <c r="X11" s="34" t="str">
        <f t="shared" si="15"/>
        <v>A</v>
      </c>
      <c r="Y11" s="24">
        <f t="shared" si="16"/>
        <v>94.755302624562376</v>
      </c>
      <c r="Z11" s="34" t="str">
        <f t="shared" si="17"/>
        <v>A</v>
      </c>
      <c r="AA11" s="24">
        <f t="shared" si="18"/>
        <v>95.739692739544012</v>
      </c>
      <c r="AB11" s="34" t="str">
        <f t="shared" si="19"/>
        <v>A</v>
      </c>
    </row>
    <row r="12" spans="2:28" x14ac:dyDescent="0.4">
      <c r="B12" s="1">
        <v>2304090</v>
      </c>
      <c r="C12" s="1" t="s">
        <v>53</v>
      </c>
      <c r="D12" s="1">
        <v>10</v>
      </c>
      <c r="E12" s="1" t="s">
        <v>63</v>
      </c>
      <c r="F12" s="7">
        <f>POWER(140*70*VLOOKUP(B12,T_TEST[],5,FALSE)/MAX(T_TEST[語彙])-POWER(70*VLOOKUP(B12,T_TEST[],5,FALSE)/MAX(T_TEST[語彙]),2),0.5)-0.5*(POWER(140*70*VLOOKUP(B12,T_TEST[],5,FALSE)/MAX(T_TEST[語彙])-POWER(70*VLOOKUP(B12,T_TEST[],5,FALSE)/MAX(T_TEST[語彙]),2),0.5)-70*VLOOKUP(B12,T_TEST[],5,FALSE)/MAX(T_TEST[語彙]))</f>
        <v>56.774644891894823</v>
      </c>
      <c r="G12" s="8">
        <f>POWER(140*70*VLOOKUP(B12,T_TEST[],6,FALSE)/MAX(T_TEST[聴解])-POWER(70*VLOOKUP(B12,T_TEST[],6,FALSE)/MAX(T_TEST[聴解]),2),0.5)-0.5*(POWER(140*70*VLOOKUP(B12,T_TEST[],6,FALSE)/MAX(T_TEST[聴解])-POWER(70*VLOOKUP(B12,T_TEST[],6,FALSE)/MAX(T_TEST[聴解]),2),0.5)-70*VLOOKUP(B12,T_TEST[],6,FALSE)/MAX(T_TEST[聴解]))</f>
        <v>59.326566733395239</v>
      </c>
      <c r="H12" s="8">
        <f>POWER(140*70*VLOOKUP(B12,T_TEST[],7,FALSE)/MAX(T_TEST[読解])-POWER(70*VLOOKUP(B12,T_TEST[],7,FALSE)/MAX(T_TEST[読解]),2),0.5)-0.5*(POWER(140*70*VLOOKUP(B12,T_TEST[],7,FALSE)/MAX(T_TEST[読解])-POWER(70*VLOOKUP(B12,T_TEST[],7,FALSE)/MAX(T_TEST[読解]),2),0.5)-70*VLOOKUP(B12,T_TEST[],7,FALSE)/MAX(T_TEST[読解]))</f>
        <v>57.447875912859772</v>
      </c>
      <c r="I12" s="8">
        <f>POWER(140*70*VLOOKUP(B12,T_TEST[],8,FALSE)/MAX(T_TEST[文法])-POWER(70*VLOOKUP(B12,T_TEST[],8,FALSE)/MAX(T_TEST[文法]),2),0.5)-0.5*(POWER(140*70*VLOOKUP(B12,T_TEST[],8,FALSE)/MAX(T_TEST[文法])-POWER(70*VLOOKUP(B12,T_TEST[],8,FALSE)/MAX(T_TEST[文法]),2),0.5)-70*VLOOKUP(B12,T_TEST[],8,FALSE)/MAX(T_TEST[文法]))</f>
        <v>61.51147056035353</v>
      </c>
      <c r="J12" s="14">
        <f>POWER(140*70*VLOOKUP(B12,T_TEST[],9,FALSE)/MAX(T_TEST[作文])-POWER(70*VLOOKUP(B12,T_TEST[],9,FALSE)/MAX(T_TEST[作文]),2),0.5)-0.5*(POWER(140*70*VLOOKUP(B12,T_TEST[],9,FALSE)/MAX(T_TEST[作文])-POWER(70*VLOOKUP(B12,T_TEST[],9,FALSE)/MAX(T_TEST[作文]),2),0.5)-70*VLOOKUP(B12,T_TEST[],9,FALSE)/MAX(T_TEST[作文]))</f>
        <v>59.002578002529944</v>
      </c>
      <c r="K12" s="14">
        <f>POWER(140*70*VLOOKUP(B12,T_TEST[],10,FALSE)/MAX(T_TEST[会話])-POWER(70*VLOOKUP(B12,T_TEST[],10,FALSE)/MAX(T_TEST[会話]),2),0.5)-0.5*(POWER(140*70*VLOOKUP(B12,T_TEST[],10,FALSE)/MAX(T_TEST[会話])-POWER(70*VLOOKUP(B12,T_TEST[],10,FALSE)/MAX(T_TEST[会話]),2),0.5)-70*VLOOKUP(B12,T_TEST[],10,FALSE)/MAX(T_TEST[会話]))</f>
        <v>65.547086208774402</v>
      </c>
      <c r="L12" s="15">
        <f>POWER(140*70*VLOOKUP(B12,T_TEST[],11,FALSE)/MAX(T_TEST[合計])-POWER(70*VLOOKUP(B12,T_TEST[],11,FALSE)/MAX(T_TEST[合計]),2),0.5)-0.5*(POWER(140*70*VLOOKUP(B12,T_TEST[],11,FALSE)/MAX(T_TEST[合計])-POWER(70*VLOOKUP(B12,T_TEST[],11,FALSE)/MAX(T_TEST[合計]),2),0.5)-70*VLOOKUP(B12,T_TEST[],11,FALSE)/MAX(T_TEST[合計]))</f>
        <v>61.432281734679464</v>
      </c>
      <c r="M12" s="9">
        <f>15-((1-VLOOKUP(B12,入力②出席率!$B:$G,6,FALSE))*15)*3</f>
        <v>14.761500000000002</v>
      </c>
      <c r="N12" s="10">
        <f>VLOOKUP(B12,入力③平常点!B:I,8,FALSE)</f>
        <v>15</v>
      </c>
      <c r="O12" s="24">
        <f t="shared" si="6"/>
        <v>86.536144891894821</v>
      </c>
      <c r="P12" s="34" t="str">
        <f t="shared" si="7"/>
        <v>A</v>
      </c>
      <c r="Q12" s="24">
        <f t="shared" si="8"/>
        <v>89.088066733395237</v>
      </c>
      <c r="R12" s="34" t="str">
        <f t="shared" si="9"/>
        <v>A</v>
      </c>
      <c r="S12" s="24">
        <f t="shared" si="10"/>
        <v>87.20937591285977</v>
      </c>
      <c r="T12" s="34" t="str">
        <f t="shared" si="11"/>
        <v>A</v>
      </c>
      <c r="U12" s="24">
        <f t="shared" si="12"/>
        <v>91.272970560353528</v>
      </c>
      <c r="V12" s="34" t="str">
        <f t="shared" si="13"/>
        <v>A</v>
      </c>
      <c r="W12" s="24">
        <f t="shared" si="14"/>
        <v>88.764078002529942</v>
      </c>
      <c r="X12" s="34" t="str">
        <f t="shared" si="15"/>
        <v>A</v>
      </c>
      <c r="Y12" s="24">
        <f t="shared" si="16"/>
        <v>95.3085862087744</v>
      </c>
      <c r="Z12" s="34" t="str">
        <f t="shared" si="17"/>
        <v>A</v>
      </c>
      <c r="AA12" s="24">
        <f t="shared" si="18"/>
        <v>91.193781734679462</v>
      </c>
      <c r="AB12" s="34" t="str">
        <f t="shared" si="19"/>
        <v>A</v>
      </c>
    </row>
    <row r="13" spans="2:28" x14ac:dyDescent="0.4">
      <c r="B13" s="1">
        <v>2304092</v>
      </c>
      <c r="C13" s="1" t="s">
        <v>53</v>
      </c>
      <c r="D13" s="1">
        <v>11</v>
      </c>
      <c r="E13" s="1" t="s">
        <v>64</v>
      </c>
      <c r="F13" s="7">
        <f>POWER(140*70*VLOOKUP(B13,T_TEST[],5,FALSE)/MAX(T_TEST[語彙])-POWER(70*VLOOKUP(B13,T_TEST[],5,FALSE)/MAX(T_TEST[語彙]),2),0.5)-0.5*(POWER(140*70*VLOOKUP(B13,T_TEST[],5,FALSE)/MAX(T_TEST[語彙])-POWER(70*VLOOKUP(B13,T_TEST[],5,FALSE)/MAX(T_TEST[語彙]),2),0.5)-70*VLOOKUP(B13,T_TEST[],5,FALSE)/MAX(T_TEST[語彙]))</f>
        <v>50.468919195052329</v>
      </c>
      <c r="G13" s="8">
        <f>POWER(140*70*VLOOKUP(B13,T_TEST[],6,FALSE)/MAX(T_TEST[聴解])-POWER(70*VLOOKUP(B13,T_TEST[],6,FALSE)/MAX(T_TEST[聴解]),2),0.5)-0.5*(POWER(140*70*VLOOKUP(B13,T_TEST[],6,FALSE)/MAX(T_TEST[聴解])-POWER(70*VLOOKUP(B13,T_TEST[],6,FALSE)/MAX(T_TEST[聴解]),2),0.5)-70*VLOOKUP(B13,T_TEST[],6,FALSE)/MAX(T_TEST[聴解]))</f>
        <v>57.662967229801474</v>
      </c>
      <c r="H13" s="8">
        <f>POWER(140*70*VLOOKUP(B13,T_TEST[],7,FALSE)/MAX(T_TEST[読解])-POWER(70*VLOOKUP(B13,T_TEST[],7,FALSE)/MAX(T_TEST[読解]),2),0.5)-0.5*(POWER(140*70*VLOOKUP(B13,T_TEST[],7,FALSE)/MAX(T_TEST[読解])-POWER(70*VLOOKUP(B13,T_TEST[],7,FALSE)/MAX(T_TEST[読解]),2),0.5)-70*VLOOKUP(B13,T_TEST[],7,FALSE)/MAX(T_TEST[読解]))</f>
        <v>57.997298311401337</v>
      </c>
      <c r="I13" s="8">
        <f>POWER(140*70*VLOOKUP(B13,T_TEST[],8,FALSE)/MAX(T_TEST[文法])-POWER(70*VLOOKUP(B13,T_TEST[],8,FALSE)/MAX(T_TEST[文法]),2),0.5)-0.5*(POWER(140*70*VLOOKUP(B13,T_TEST[],8,FALSE)/MAX(T_TEST[文法])-POWER(70*VLOOKUP(B13,T_TEST[],8,FALSE)/MAX(T_TEST[文法]),2),0.5)-70*VLOOKUP(B13,T_TEST[],8,FALSE)/MAX(T_TEST[文法]))</f>
        <v>61.51147056035353</v>
      </c>
      <c r="J13" s="14">
        <f>POWER(140*70*VLOOKUP(B13,T_TEST[],9,FALSE)/MAX(T_TEST[作文])-POWER(70*VLOOKUP(B13,T_TEST[],9,FALSE)/MAX(T_TEST[作文]),2),0.5)-0.5*(POWER(140*70*VLOOKUP(B13,T_TEST[],9,FALSE)/MAX(T_TEST[作文])-POWER(70*VLOOKUP(B13,T_TEST[],9,FALSE)/MAX(T_TEST[作文]),2),0.5)-70*VLOOKUP(B13,T_TEST[],9,FALSE)/MAX(T_TEST[作文]))</f>
        <v>51.093742078981052</v>
      </c>
      <c r="K13" s="14">
        <f>POWER(140*70*VLOOKUP(B13,T_TEST[],10,FALSE)/MAX(T_TEST[会話])-POWER(70*VLOOKUP(B13,T_TEST[],10,FALSE)/MAX(T_TEST[会話]),2),0.5)-0.5*(POWER(140*70*VLOOKUP(B13,T_TEST[],10,FALSE)/MAX(T_TEST[会話])-POWER(70*VLOOKUP(B13,T_TEST[],10,FALSE)/MAX(T_TEST[会話]),2),0.5)-70*VLOOKUP(B13,T_TEST[],10,FALSE)/MAX(T_TEST[会話]))</f>
        <v>63.128331356602217</v>
      </c>
      <c r="L13" s="15">
        <f>POWER(140*70*VLOOKUP(B13,T_TEST[],11,FALSE)/MAX(T_TEST[合計])-POWER(70*VLOOKUP(B13,T_TEST[],11,FALSE)/MAX(T_TEST[合計]),2),0.5)-0.5*(POWER(140*70*VLOOKUP(B13,T_TEST[],11,FALSE)/MAX(T_TEST[合計])-POWER(70*VLOOKUP(B13,T_TEST[],11,FALSE)/MAX(T_TEST[合計]),2),0.5)-70*VLOOKUP(B13,T_TEST[],11,FALSE)/MAX(T_TEST[合計]))</f>
        <v>58.541019662496844</v>
      </c>
      <c r="M13" s="9">
        <f>15-((1-VLOOKUP(B13,入力②出席率!$B:$G,6,FALSE))*15)*3</f>
        <v>12.565499999999998</v>
      </c>
      <c r="N13" s="10">
        <f>VLOOKUP(B13,入力③平常点!B:I,8,FALSE)</f>
        <v>15</v>
      </c>
      <c r="O13" s="24">
        <f t="shared" si="6"/>
        <v>78.034419195052322</v>
      </c>
      <c r="P13" s="34" t="str">
        <f t="shared" si="7"/>
        <v>B</v>
      </c>
      <c r="Q13" s="24">
        <f t="shared" si="8"/>
        <v>85.228467229801467</v>
      </c>
      <c r="R13" s="34" t="str">
        <f t="shared" si="9"/>
        <v>A</v>
      </c>
      <c r="S13" s="24">
        <f t="shared" si="10"/>
        <v>85.562798311401338</v>
      </c>
      <c r="T13" s="34" t="str">
        <f t="shared" si="11"/>
        <v>A</v>
      </c>
      <c r="U13" s="24">
        <f t="shared" si="12"/>
        <v>89.07697056035353</v>
      </c>
      <c r="V13" s="34" t="str">
        <f t="shared" si="13"/>
        <v>A</v>
      </c>
      <c r="W13" s="24">
        <f t="shared" si="14"/>
        <v>78.659242078981052</v>
      </c>
      <c r="X13" s="34" t="str">
        <f t="shared" si="15"/>
        <v>B</v>
      </c>
      <c r="Y13" s="24">
        <f t="shared" si="16"/>
        <v>90.693831356602217</v>
      </c>
      <c r="Z13" s="34" t="str">
        <f t="shared" si="17"/>
        <v>A</v>
      </c>
      <c r="AA13" s="24">
        <f t="shared" si="18"/>
        <v>86.106519662496837</v>
      </c>
      <c r="AB13" s="34" t="str">
        <f t="shared" si="19"/>
        <v>A</v>
      </c>
    </row>
    <row r="14" spans="2:28" x14ac:dyDescent="0.4">
      <c r="B14" s="1">
        <v>2304093</v>
      </c>
      <c r="C14" s="1" t="s">
        <v>53</v>
      </c>
      <c r="D14" s="1">
        <v>12</v>
      </c>
      <c r="E14" s="1" t="s">
        <v>65</v>
      </c>
      <c r="F14" s="7">
        <f>POWER(140*70*VLOOKUP(B14,T_TEST[],5,FALSE)/MAX(T_TEST[語彙])-POWER(70*VLOOKUP(B14,T_TEST[],5,FALSE)/MAX(T_TEST[語彙]),2),0.5)-0.5*(POWER(140*70*VLOOKUP(B14,T_TEST[],5,FALSE)/MAX(T_TEST[語彙])-POWER(70*VLOOKUP(B14,T_TEST[],5,FALSE)/MAX(T_TEST[語彙]),2),0.5)-70*VLOOKUP(B14,T_TEST[],5,FALSE)/MAX(T_TEST[語彙]))</f>
        <v>59.983305305873074</v>
      </c>
      <c r="G14" s="8">
        <f>POWER(140*70*VLOOKUP(B14,T_TEST[],6,FALSE)/MAX(T_TEST[聴解])-POWER(70*VLOOKUP(B14,T_TEST[],6,FALSE)/MAX(T_TEST[聴解]),2),0.5)-0.5*(POWER(140*70*VLOOKUP(B14,T_TEST[],6,FALSE)/MAX(T_TEST[聴解])-POWER(70*VLOOKUP(B14,T_TEST[],6,FALSE)/MAX(T_TEST[聴解]),2),0.5)-70*VLOOKUP(B14,T_TEST[],6,FALSE)/MAX(T_TEST[聴解]))</f>
        <v>63.006989545973497</v>
      </c>
      <c r="H14" s="8">
        <f>POWER(140*70*VLOOKUP(B14,T_TEST[],7,FALSE)/MAX(T_TEST[読解])-POWER(70*VLOOKUP(B14,T_TEST[],7,FALSE)/MAX(T_TEST[読解]),2),0.5)-0.5*(POWER(140*70*VLOOKUP(B14,T_TEST[],7,FALSE)/MAX(T_TEST[読解])-POWER(70*VLOOKUP(B14,T_TEST[],7,FALSE)/MAX(T_TEST[読解]),2),0.5)-70*VLOOKUP(B14,T_TEST[],7,FALSE)/MAX(T_TEST[読解]))</f>
        <v>48.464329788781626</v>
      </c>
      <c r="I14" s="8">
        <f>POWER(140*70*VLOOKUP(B14,T_TEST[],8,FALSE)/MAX(T_TEST[文法])-POWER(70*VLOOKUP(B14,T_TEST[],8,FALSE)/MAX(T_TEST[文法]),2),0.5)-0.5*(POWER(140*70*VLOOKUP(B14,T_TEST[],8,FALSE)/MAX(T_TEST[文法])-POWER(70*VLOOKUP(B14,T_TEST[],8,FALSE)/MAX(T_TEST[文法]),2),0.5)-70*VLOOKUP(B14,T_TEST[],8,FALSE)/MAX(T_TEST[文法]))</f>
        <v>65.293825993733321</v>
      </c>
      <c r="J14" s="14">
        <f>POWER(140*70*VLOOKUP(B14,T_TEST[],9,FALSE)/MAX(T_TEST[作文])-POWER(70*VLOOKUP(B14,T_TEST[],9,FALSE)/MAX(T_TEST[作文]),2),0.5)-0.5*(POWER(140*70*VLOOKUP(B14,T_TEST[],9,FALSE)/MAX(T_TEST[作文])-POWER(70*VLOOKUP(B14,T_TEST[],9,FALSE)/MAX(T_TEST[作文]),2),0.5)-70*VLOOKUP(B14,T_TEST[],9,FALSE)/MAX(T_TEST[作文]))</f>
        <v>63.816091329348062</v>
      </c>
      <c r="K14" s="14">
        <f>POWER(140*70*VLOOKUP(B14,T_TEST[],10,FALSE)/MAX(T_TEST[会話])-POWER(70*VLOOKUP(B14,T_TEST[],10,FALSE)/MAX(T_TEST[会話]),2),0.5)-0.5*(POWER(140*70*VLOOKUP(B14,T_TEST[],10,FALSE)/MAX(T_TEST[会話])-POWER(70*VLOOKUP(B14,T_TEST[],10,FALSE)/MAX(T_TEST[会話]),2),0.5)-70*VLOOKUP(B14,T_TEST[],10,FALSE)/MAX(T_TEST[会話]))</f>
        <v>63.949095501908587</v>
      </c>
      <c r="L14" s="15">
        <f>POWER(140*70*VLOOKUP(B14,T_TEST[],11,FALSE)/MAX(T_TEST[合計])-POWER(70*VLOOKUP(B14,T_TEST[],11,FALSE)/MAX(T_TEST[合計]),2),0.5)-0.5*(POWER(140*70*VLOOKUP(B14,T_TEST[],11,FALSE)/MAX(T_TEST[合計])-POWER(70*VLOOKUP(B14,T_TEST[],11,FALSE)/MAX(T_TEST[合計]),2),0.5)-70*VLOOKUP(B14,T_TEST[],11,FALSE)/MAX(T_TEST[合計]))</f>
        <v>62.44313478323086</v>
      </c>
      <c r="M14" s="9">
        <f>15-((1-VLOOKUP(B14,入力②出席率!$B:$G,6,FALSE))*15)*3</f>
        <v>14.081999999999956</v>
      </c>
      <c r="N14" s="10">
        <f>VLOOKUP(B14,入力③平常点!B:I,8,FALSE)</f>
        <v>14</v>
      </c>
      <c r="O14" s="24">
        <f t="shared" si="6"/>
        <v>88.065305305873025</v>
      </c>
      <c r="P14" s="34" t="str">
        <f t="shared" si="7"/>
        <v>A</v>
      </c>
      <c r="Q14" s="24">
        <f t="shared" si="8"/>
        <v>91.088989545973448</v>
      </c>
      <c r="R14" s="34" t="str">
        <f t="shared" si="9"/>
        <v>A</v>
      </c>
      <c r="S14" s="24">
        <f t="shared" si="10"/>
        <v>76.546329788781577</v>
      </c>
      <c r="T14" s="34" t="str">
        <f t="shared" si="11"/>
        <v>B</v>
      </c>
      <c r="U14" s="24">
        <f t="shared" si="12"/>
        <v>93.375825993733272</v>
      </c>
      <c r="V14" s="34" t="str">
        <f t="shared" si="13"/>
        <v>A</v>
      </c>
      <c r="W14" s="24">
        <f t="shared" si="14"/>
        <v>91.89809132934802</v>
      </c>
      <c r="X14" s="34" t="str">
        <f t="shared" si="15"/>
        <v>A</v>
      </c>
      <c r="Y14" s="24">
        <f t="shared" si="16"/>
        <v>92.031095501908538</v>
      </c>
      <c r="Z14" s="34" t="str">
        <f t="shared" si="17"/>
        <v>A</v>
      </c>
      <c r="AA14" s="24">
        <f t="shared" si="18"/>
        <v>90.525134783230811</v>
      </c>
      <c r="AB14" s="34" t="str">
        <f t="shared" si="19"/>
        <v>A</v>
      </c>
    </row>
    <row r="15" spans="2:28" x14ac:dyDescent="0.4">
      <c r="B15" s="1">
        <v>2304095</v>
      </c>
      <c r="C15" s="1" t="s">
        <v>53</v>
      </c>
      <c r="D15" s="1">
        <v>13</v>
      </c>
      <c r="E15" s="1" t="s">
        <v>66</v>
      </c>
      <c r="F15" s="7">
        <f>POWER(140*70*VLOOKUP(B15,T_TEST[],5,FALSE)/MAX(T_TEST[語彙])-POWER(70*VLOOKUP(B15,T_TEST[],5,FALSE)/MAX(T_TEST[語彙]),2),0.5)-0.5*(POWER(140*70*VLOOKUP(B15,T_TEST[],5,FALSE)/MAX(T_TEST[語彙])-POWER(70*VLOOKUP(B15,T_TEST[],5,FALSE)/MAX(T_TEST[語彙]),2),0.5)-70*VLOOKUP(B15,T_TEST[],5,FALSE)/MAX(T_TEST[語彙]))</f>
        <v>59.983305305873074</v>
      </c>
      <c r="G15" s="8">
        <f>POWER(140*70*VLOOKUP(B15,T_TEST[],6,FALSE)/MAX(T_TEST[聴解])-POWER(70*VLOOKUP(B15,T_TEST[],6,FALSE)/MAX(T_TEST[聴解]),2),0.5)-0.5*(POWER(140*70*VLOOKUP(B15,T_TEST[],6,FALSE)/MAX(T_TEST[聴解])-POWER(70*VLOOKUP(B15,T_TEST[],6,FALSE)/MAX(T_TEST[聴解]),2),0.5)-70*VLOOKUP(B15,T_TEST[],6,FALSE)/MAX(T_TEST[聴解]))</f>
        <v>64.988531689410337</v>
      </c>
      <c r="H15" s="8">
        <f>POWER(140*70*VLOOKUP(B15,T_TEST[],7,FALSE)/MAX(T_TEST[読解])-POWER(70*VLOOKUP(B15,T_TEST[],7,FALSE)/MAX(T_TEST[読解]),2),0.5)-0.5*(POWER(140*70*VLOOKUP(B15,T_TEST[],7,FALSE)/MAX(T_TEST[読解])-POWER(70*VLOOKUP(B15,T_TEST[],7,FALSE)/MAX(T_TEST[読解]),2),0.5)-70*VLOOKUP(B15,T_TEST[],7,FALSE)/MAX(T_TEST[読解]))</f>
        <v>57.447875912859772</v>
      </c>
      <c r="I15" s="8">
        <f>POWER(140*70*VLOOKUP(B15,T_TEST[],8,FALSE)/MAX(T_TEST[文法])-POWER(70*VLOOKUP(B15,T_TEST[],8,FALSE)/MAX(T_TEST[文法]),2),0.5)-0.5*(POWER(140*70*VLOOKUP(B15,T_TEST[],8,FALSE)/MAX(T_TEST[文法])-POWER(70*VLOOKUP(B15,T_TEST[],8,FALSE)/MAX(T_TEST[文法]),2),0.5)-70*VLOOKUP(B15,T_TEST[],8,FALSE)/MAX(T_TEST[文法]))</f>
        <v>62.966239224962806</v>
      </c>
      <c r="J15" s="14">
        <f>POWER(140*70*VLOOKUP(B15,T_TEST[],9,FALSE)/MAX(T_TEST[作文])-POWER(70*VLOOKUP(B15,T_TEST[],9,FALSE)/MAX(T_TEST[作文]),2),0.5)-0.5*(POWER(140*70*VLOOKUP(B15,T_TEST[],9,FALSE)/MAX(T_TEST[作文])-POWER(70*VLOOKUP(B15,T_TEST[],9,FALSE)/MAX(T_TEST[作文]),2),0.5)-70*VLOOKUP(B15,T_TEST[],9,FALSE)/MAX(T_TEST[作文]))</f>
        <v>58.541019662496844</v>
      </c>
      <c r="K15" s="14">
        <f>POWER(140*70*VLOOKUP(B15,T_TEST[],10,FALSE)/MAX(T_TEST[会話])-POWER(70*VLOOKUP(B15,T_TEST[],10,FALSE)/MAX(T_TEST[会話]),2),0.5)-0.5*(POWER(140*70*VLOOKUP(B15,T_TEST[],10,FALSE)/MAX(T_TEST[会話])-POWER(70*VLOOKUP(B15,T_TEST[],10,FALSE)/MAX(T_TEST[会話]),2),0.5)-70*VLOOKUP(B15,T_TEST[],10,FALSE)/MAX(T_TEST[会話]))</f>
        <v>64.755302624562376</v>
      </c>
      <c r="L15" s="15">
        <f>POWER(140*70*VLOOKUP(B15,T_TEST[],11,FALSE)/MAX(T_TEST[合計])-POWER(70*VLOOKUP(B15,T_TEST[],11,FALSE)/MAX(T_TEST[合計]),2),0.5)-0.5*(POWER(140*70*VLOOKUP(B15,T_TEST[],11,FALSE)/MAX(T_TEST[合計])-POWER(70*VLOOKUP(B15,T_TEST[],11,FALSE)/MAX(T_TEST[合計]),2),0.5)-70*VLOOKUP(B15,T_TEST[],11,FALSE)/MAX(T_TEST[合計]))</f>
        <v>62.77539273431865</v>
      </c>
      <c r="M15" s="9">
        <f>15-((1-VLOOKUP(B15,入力②出席率!$B:$G,6,FALSE))*15)*3</f>
        <v>13.987500000000001</v>
      </c>
      <c r="N15" s="10">
        <f>VLOOKUP(B15,入力③平常点!B:I,8,FALSE)</f>
        <v>15</v>
      </c>
      <c r="O15" s="24">
        <f t="shared" si="6"/>
        <v>88.970805305873071</v>
      </c>
      <c r="P15" s="34" t="str">
        <f t="shared" si="7"/>
        <v>A</v>
      </c>
      <c r="Q15" s="24">
        <f t="shared" si="8"/>
        <v>93.976031689410334</v>
      </c>
      <c r="R15" s="34" t="str">
        <f t="shared" si="9"/>
        <v>A</v>
      </c>
      <c r="S15" s="24">
        <f t="shared" si="10"/>
        <v>86.435375912859769</v>
      </c>
      <c r="T15" s="34" t="str">
        <f t="shared" si="11"/>
        <v>A</v>
      </c>
      <c r="U15" s="24">
        <f t="shared" si="12"/>
        <v>91.953739224962803</v>
      </c>
      <c r="V15" s="34" t="str">
        <f t="shared" si="13"/>
        <v>A</v>
      </c>
      <c r="W15" s="24">
        <f t="shared" si="14"/>
        <v>87.528519662496848</v>
      </c>
      <c r="X15" s="34" t="str">
        <f t="shared" si="15"/>
        <v>A</v>
      </c>
      <c r="Y15" s="24">
        <f t="shared" si="16"/>
        <v>93.742802624562373</v>
      </c>
      <c r="Z15" s="34" t="str">
        <f t="shared" si="17"/>
        <v>A</v>
      </c>
      <c r="AA15" s="24">
        <f t="shared" si="18"/>
        <v>91.762892734318655</v>
      </c>
      <c r="AB15" s="34" t="str">
        <f t="shared" si="19"/>
        <v>A</v>
      </c>
    </row>
    <row r="16" spans="2:28" x14ac:dyDescent="0.4">
      <c r="B16" s="1">
        <v>2307002</v>
      </c>
      <c r="C16" s="1" t="s">
        <v>53</v>
      </c>
      <c r="D16" s="1">
        <v>14</v>
      </c>
      <c r="E16" s="1" t="s">
        <v>67</v>
      </c>
      <c r="F16" s="7">
        <f>POWER(140*70*VLOOKUP(B16,T_TEST[],5,FALSE)/MAX(T_TEST[語彙])-POWER(70*VLOOKUP(B16,T_TEST[],5,FALSE)/MAX(T_TEST[語彙]),2),0.5)-0.5*(POWER(140*70*VLOOKUP(B16,T_TEST[],5,FALSE)/MAX(T_TEST[語彙])-POWER(70*VLOOKUP(B16,T_TEST[],5,FALSE)/MAX(T_TEST[語彙]),2),0.5)-70*VLOOKUP(B16,T_TEST[],5,FALSE)/MAX(T_TEST[語彙]))</f>
        <v>69.503570547913228</v>
      </c>
      <c r="G16" s="8">
        <f>POWER(140*70*VLOOKUP(B16,T_TEST[],6,FALSE)/MAX(T_TEST[聴解])-POWER(70*VLOOKUP(B16,T_TEST[],6,FALSE)/MAX(T_TEST[聴解]),2),0.5)-0.5*(POWER(140*70*VLOOKUP(B16,T_TEST[],6,FALSE)/MAX(T_TEST[聴解])-POWER(70*VLOOKUP(B16,T_TEST[],6,FALSE)/MAX(T_TEST[聴解]),2),0.5)-70*VLOOKUP(B16,T_TEST[],6,FALSE)/MAX(T_TEST[聴解]))</f>
        <v>61.463414634146346</v>
      </c>
      <c r="H16" s="8">
        <f>POWER(140*70*VLOOKUP(B16,T_TEST[],7,FALSE)/MAX(T_TEST[読解])-POWER(70*VLOOKUP(B16,T_TEST[],7,FALSE)/MAX(T_TEST[読解]),2),0.5)-0.5*(POWER(140*70*VLOOKUP(B16,T_TEST[],7,FALSE)/MAX(T_TEST[読解])-POWER(70*VLOOKUP(B16,T_TEST[],7,FALSE)/MAX(T_TEST[読解]),2),0.5)-70*VLOOKUP(B16,T_TEST[],7,FALSE)/MAX(T_TEST[読解]))</f>
        <v>69.58085308672284</v>
      </c>
      <c r="I16" s="8">
        <f>POWER(140*70*VLOOKUP(B16,T_TEST[],8,FALSE)/MAX(T_TEST[文法])-POWER(70*VLOOKUP(B16,T_TEST[],8,FALSE)/MAX(T_TEST[文法]),2),0.5)-0.5*(POWER(140*70*VLOOKUP(B16,T_TEST[],8,FALSE)/MAX(T_TEST[文法])-POWER(70*VLOOKUP(B16,T_TEST[],8,FALSE)/MAX(T_TEST[文法]),2),0.5)-70*VLOOKUP(B16,T_TEST[],8,FALSE)/MAX(T_TEST[文法]))</f>
        <v>60.516803778031729</v>
      </c>
      <c r="J16" s="14">
        <f>POWER(140*70*VLOOKUP(B16,T_TEST[],9,FALSE)/MAX(T_TEST[作文])-POWER(70*VLOOKUP(B16,T_TEST[],9,FALSE)/MAX(T_TEST[作文]),2),0.5)-0.5*(POWER(140*70*VLOOKUP(B16,T_TEST[],9,FALSE)/MAX(T_TEST[作文])-POWER(70*VLOOKUP(B16,T_TEST[],9,FALSE)/MAX(T_TEST[作文]),2),0.5)-70*VLOOKUP(B16,T_TEST[],9,FALSE)/MAX(T_TEST[作文]))</f>
        <v>70</v>
      </c>
      <c r="K16" s="14">
        <f>POWER(140*70*VLOOKUP(B16,T_TEST[],10,FALSE)/MAX(T_TEST[会話])-POWER(70*VLOOKUP(B16,T_TEST[],10,FALSE)/MAX(T_TEST[会話]),2),0.5)-0.5*(POWER(140*70*VLOOKUP(B16,T_TEST[],10,FALSE)/MAX(T_TEST[会話])-POWER(70*VLOOKUP(B16,T_TEST[],10,FALSE)/MAX(T_TEST[会話]),2),0.5)-70*VLOOKUP(B16,T_TEST[],10,FALSE)/MAX(T_TEST[会話]))</f>
        <v>62.292856398964496</v>
      </c>
      <c r="L16" s="15">
        <f>POWER(140*70*VLOOKUP(B16,T_TEST[],11,FALSE)/MAX(T_TEST[合計])-POWER(70*VLOOKUP(B16,T_TEST[],11,FALSE)/MAX(T_TEST[合計]),2),0.5)-0.5*(POWER(140*70*VLOOKUP(B16,T_TEST[],11,FALSE)/MAX(T_TEST[合計])-POWER(70*VLOOKUP(B16,T_TEST[],11,FALSE)/MAX(T_TEST[合計]),2),0.5)-70*VLOOKUP(B16,T_TEST[],11,FALSE)/MAX(T_TEST[合計]))</f>
        <v>66.886272524541027</v>
      </c>
      <c r="M16" s="9">
        <f>15-((1-VLOOKUP(B16,入力②出席率!$B:$G,6,FALSE))*15)*3</f>
        <v>13.897499999999956</v>
      </c>
      <c r="N16" s="10">
        <f>VLOOKUP(B16,入力③平常点!B:I,8,FALSE)</f>
        <v>15</v>
      </c>
      <c r="O16" s="24">
        <f t="shared" si="6"/>
        <v>98.401070547913179</v>
      </c>
      <c r="P16" s="34" t="str">
        <f t="shared" si="7"/>
        <v>A</v>
      </c>
      <c r="Q16" s="24">
        <f t="shared" si="8"/>
        <v>90.360914634146297</v>
      </c>
      <c r="R16" s="34" t="str">
        <f t="shared" si="9"/>
        <v>A</v>
      </c>
      <c r="S16" s="24">
        <f t="shared" si="10"/>
        <v>98.478353086722791</v>
      </c>
      <c r="T16" s="34" t="str">
        <f t="shared" si="11"/>
        <v>A</v>
      </c>
      <c r="U16" s="24">
        <f t="shared" si="12"/>
        <v>89.41430377803168</v>
      </c>
      <c r="V16" s="34" t="str">
        <f t="shared" si="13"/>
        <v>A</v>
      </c>
      <c r="W16" s="24">
        <f t="shared" si="14"/>
        <v>98.897499999999951</v>
      </c>
      <c r="X16" s="34" t="str">
        <f t="shared" si="15"/>
        <v>A</v>
      </c>
      <c r="Y16" s="24">
        <f t="shared" si="16"/>
        <v>91.190356398964454</v>
      </c>
      <c r="Z16" s="34" t="str">
        <f t="shared" si="17"/>
        <v>A</v>
      </c>
      <c r="AA16" s="24">
        <f t="shared" si="18"/>
        <v>95.783772524540979</v>
      </c>
      <c r="AB16" s="34" t="str">
        <f t="shared" si="19"/>
        <v>A</v>
      </c>
    </row>
    <row r="17" spans="2:28" x14ac:dyDescent="0.4">
      <c r="B17" s="1">
        <v>2307004</v>
      </c>
      <c r="C17" s="1" t="s">
        <v>53</v>
      </c>
      <c r="D17" s="1">
        <v>15</v>
      </c>
      <c r="E17" s="1" t="s">
        <v>68</v>
      </c>
      <c r="F17" s="7">
        <f>POWER(140*70*VLOOKUP(B17,T_TEST[],5,FALSE)/MAX(T_TEST[語彙])-POWER(70*VLOOKUP(B17,T_TEST[],5,FALSE)/MAX(T_TEST[語彙]),2),0.5)-0.5*(POWER(140*70*VLOOKUP(B17,T_TEST[],5,FALSE)/MAX(T_TEST[語彙])-POWER(70*VLOOKUP(B17,T_TEST[],5,FALSE)/MAX(T_TEST[語彙]),2),0.5)-70*VLOOKUP(B17,T_TEST[],5,FALSE)/MAX(T_TEST[語彙]))</f>
        <v>70</v>
      </c>
      <c r="G17" s="8">
        <f>POWER(140*70*VLOOKUP(B17,T_TEST[],6,FALSE)/MAX(T_TEST[聴解])-POWER(70*VLOOKUP(B17,T_TEST[],6,FALSE)/MAX(T_TEST[聴解]),2),0.5)-0.5*(POWER(140*70*VLOOKUP(B17,T_TEST[],6,FALSE)/MAX(T_TEST[聴解])-POWER(70*VLOOKUP(B17,T_TEST[],6,FALSE)/MAX(T_TEST[聴解]),2),0.5)-70*VLOOKUP(B17,T_TEST[],6,FALSE)/MAX(T_TEST[聴解]))</f>
        <v>66.884433679444314</v>
      </c>
      <c r="H17" s="8">
        <f>POWER(140*70*VLOOKUP(B17,T_TEST[],7,FALSE)/MAX(T_TEST[読解])-POWER(70*VLOOKUP(B17,T_TEST[],7,FALSE)/MAX(T_TEST[読解]),2),0.5)-0.5*(POWER(140*70*VLOOKUP(B17,T_TEST[],7,FALSE)/MAX(T_TEST[読解])-POWER(70*VLOOKUP(B17,T_TEST[],7,FALSE)/MAX(T_TEST[読解]),2),0.5)-70*VLOOKUP(B17,T_TEST[],7,FALSE)/MAX(T_TEST[読解]))</f>
        <v>60.138604279314897</v>
      </c>
      <c r="I17" s="8">
        <f>POWER(140*70*VLOOKUP(B17,T_TEST[],8,FALSE)/MAX(T_TEST[文法])-POWER(70*VLOOKUP(B17,T_TEST[],8,FALSE)/MAX(T_TEST[文法]),2),0.5)-0.5*(POWER(140*70*VLOOKUP(B17,T_TEST[],8,FALSE)/MAX(T_TEST[文法])-POWER(70*VLOOKUP(B17,T_TEST[],8,FALSE)/MAX(T_TEST[文法]),2),0.5)-70*VLOOKUP(B17,T_TEST[],8,FALSE)/MAX(T_TEST[文法]))</f>
        <v>66.191529556204046</v>
      </c>
      <c r="J17" s="14">
        <f>POWER(140*70*VLOOKUP(B17,T_TEST[],9,FALSE)/MAX(T_TEST[作文])-POWER(70*VLOOKUP(B17,T_TEST[],9,FALSE)/MAX(T_TEST[作文]),2),0.5)-0.5*(POWER(140*70*VLOOKUP(B17,T_TEST[],9,FALSE)/MAX(T_TEST[作文])-POWER(70*VLOOKUP(B17,T_TEST[],9,FALSE)/MAX(T_TEST[作文]),2),0.5)-70*VLOOKUP(B17,T_TEST[],9,FALSE)/MAX(T_TEST[作文]))</f>
        <v>63.397945590311593</v>
      </c>
      <c r="K17" s="14">
        <f>POWER(140*70*VLOOKUP(B17,T_TEST[],10,FALSE)/MAX(T_TEST[会話])-POWER(70*VLOOKUP(B17,T_TEST[],10,FALSE)/MAX(T_TEST[会話]),2),0.5)-0.5*(POWER(140*70*VLOOKUP(B17,T_TEST[],10,FALSE)/MAX(T_TEST[会話])-POWER(70*VLOOKUP(B17,T_TEST[],10,FALSE)/MAX(T_TEST[会話]),2),0.5)-70*VLOOKUP(B17,T_TEST[],10,FALSE)/MAX(T_TEST[会話]))</f>
        <v>60.577051078632472</v>
      </c>
      <c r="L17" s="15">
        <f>POWER(140*70*VLOOKUP(B17,T_TEST[],11,FALSE)/MAX(T_TEST[合計])-POWER(70*VLOOKUP(B17,T_TEST[],11,FALSE)/MAX(T_TEST[合計]),2),0.5)-0.5*(POWER(140*70*VLOOKUP(B17,T_TEST[],11,FALSE)/MAX(T_TEST[合計])-POWER(70*VLOOKUP(B17,T_TEST[],11,FALSE)/MAX(T_TEST[合計]),2),0.5)-70*VLOOKUP(B17,T_TEST[],11,FALSE)/MAX(T_TEST[合計]))</f>
        <v>65.584432436655078</v>
      </c>
      <c r="M17" s="9">
        <f>15-((1-VLOOKUP(B17,入力②出席率!$B:$G,6,FALSE))*15)*3</f>
        <v>14.756999999999957</v>
      </c>
      <c r="N17" s="10">
        <f>VLOOKUP(B17,入力③平常点!B:I,8,FALSE)</f>
        <v>14</v>
      </c>
      <c r="O17" s="24">
        <f t="shared" si="6"/>
        <v>98.756999999999962</v>
      </c>
      <c r="P17" s="34" t="str">
        <f t="shared" si="7"/>
        <v>A</v>
      </c>
      <c r="Q17" s="24">
        <f t="shared" si="8"/>
        <v>95.641433679444276</v>
      </c>
      <c r="R17" s="34" t="str">
        <f t="shared" si="9"/>
        <v>A</v>
      </c>
      <c r="S17" s="24">
        <f t="shared" si="10"/>
        <v>88.895604279314853</v>
      </c>
      <c r="T17" s="34" t="str">
        <f t="shared" si="11"/>
        <v>A</v>
      </c>
      <c r="U17" s="24">
        <f t="shared" si="12"/>
        <v>94.948529556204008</v>
      </c>
      <c r="V17" s="34" t="str">
        <f t="shared" si="13"/>
        <v>A</v>
      </c>
      <c r="W17" s="24">
        <f t="shared" si="14"/>
        <v>92.154945590311556</v>
      </c>
      <c r="X17" s="34" t="str">
        <f t="shared" si="15"/>
        <v>A</v>
      </c>
      <c r="Y17" s="24">
        <f t="shared" si="16"/>
        <v>89.334051078632427</v>
      </c>
      <c r="Z17" s="34" t="str">
        <f t="shared" si="17"/>
        <v>A</v>
      </c>
      <c r="AA17" s="24">
        <f t="shared" si="18"/>
        <v>94.34143243665504</v>
      </c>
      <c r="AB17" s="34" t="str">
        <f t="shared" si="19"/>
        <v>A</v>
      </c>
    </row>
    <row r="18" spans="2:28" x14ac:dyDescent="0.4">
      <c r="B18" s="1">
        <v>2307007</v>
      </c>
      <c r="C18" s="1" t="s">
        <v>53</v>
      </c>
      <c r="D18" s="1">
        <v>16</v>
      </c>
      <c r="E18" s="1" t="s">
        <v>69</v>
      </c>
      <c r="F18" s="7">
        <f>POWER(140*70*VLOOKUP(B18,T_TEST[],5,FALSE)/MAX(T_TEST[語彙])-POWER(70*VLOOKUP(B18,T_TEST[],5,FALSE)/MAX(T_TEST[語彙]),2),0.5)-0.5*(POWER(140*70*VLOOKUP(B18,T_TEST[],5,FALSE)/MAX(T_TEST[語彙])-POWER(70*VLOOKUP(B18,T_TEST[],5,FALSE)/MAX(T_TEST[語彙]),2),0.5)-70*VLOOKUP(B18,T_TEST[],5,FALSE)/MAX(T_TEST[語彙]))</f>
        <v>59.357301305749147</v>
      </c>
      <c r="G18" s="8">
        <f>POWER(140*70*VLOOKUP(B18,T_TEST[],6,FALSE)/MAX(T_TEST[聴解])-POWER(70*VLOOKUP(B18,T_TEST[],6,FALSE)/MAX(T_TEST[聴解]),2),0.5)-0.5*(POWER(140*70*VLOOKUP(B18,T_TEST[],6,FALSE)/MAX(T_TEST[聴解])-POWER(70*VLOOKUP(B18,T_TEST[],6,FALSE)/MAX(T_TEST[聴解]),2),0.5)-70*VLOOKUP(B18,T_TEST[],6,FALSE)/MAX(T_TEST[聴解]))</f>
        <v>55.360062166661606</v>
      </c>
      <c r="H18" s="8">
        <f>POWER(140*70*VLOOKUP(B18,T_TEST[],7,FALSE)/MAX(T_TEST[読解])-POWER(70*VLOOKUP(B18,T_TEST[],7,FALSE)/MAX(T_TEST[読解]),2),0.5)-0.5*(POWER(140*70*VLOOKUP(B18,T_TEST[],7,FALSE)/MAX(T_TEST[読解])-POWER(70*VLOOKUP(B18,T_TEST[],7,FALSE)/MAX(T_TEST[読解]),2),0.5)-70*VLOOKUP(B18,T_TEST[],7,FALSE)/MAX(T_TEST[読解]))</f>
        <v>60.660130090618566</v>
      </c>
      <c r="I18" s="8">
        <f>POWER(140*70*VLOOKUP(B18,T_TEST[],8,FALSE)/MAX(T_TEST[文法])-POWER(70*VLOOKUP(B18,T_TEST[],8,FALSE)/MAX(T_TEST[文法]),2),0.5)-0.5*(POWER(140*70*VLOOKUP(B18,T_TEST[],8,FALSE)/MAX(T_TEST[文法])-POWER(70*VLOOKUP(B18,T_TEST[],8,FALSE)/MAX(T_TEST[文法]),2),0.5)-70*VLOOKUP(B18,T_TEST[],8,FALSE)/MAX(T_TEST[文法]))</f>
        <v>67.502873444974483</v>
      </c>
      <c r="J18" s="14">
        <f>POWER(140*70*VLOOKUP(B18,T_TEST[],9,FALSE)/MAX(T_TEST[作文])-POWER(70*VLOOKUP(B18,T_TEST[],9,FALSE)/MAX(T_TEST[作文]),2),0.5)-0.5*(POWER(140*70*VLOOKUP(B18,T_TEST[],9,FALSE)/MAX(T_TEST[作文])-POWER(70*VLOOKUP(B18,T_TEST[],9,FALSE)/MAX(T_TEST[作文]),2),0.5)-70*VLOOKUP(B18,T_TEST[],9,FALSE)/MAX(T_TEST[作文]))</f>
        <v>59.002578002529944</v>
      </c>
      <c r="K18" s="14">
        <f>POWER(140*70*VLOOKUP(B18,T_TEST[],10,FALSE)/MAX(T_TEST[会話])-POWER(70*VLOOKUP(B18,T_TEST[],10,FALSE)/MAX(T_TEST[会話]),2),0.5)-0.5*(POWER(140*70*VLOOKUP(B18,T_TEST[],10,FALSE)/MAX(T_TEST[会話])-POWER(70*VLOOKUP(B18,T_TEST[],10,FALSE)/MAX(T_TEST[会話]),2),0.5)-70*VLOOKUP(B18,T_TEST[],10,FALSE)/MAX(T_TEST[会話]))</f>
        <v>62.292856398964496</v>
      </c>
      <c r="L18" s="15">
        <f>POWER(140*70*VLOOKUP(B18,T_TEST[],11,FALSE)/MAX(T_TEST[合計])-POWER(70*VLOOKUP(B18,T_TEST[],11,FALSE)/MAX(T_TEST[合計]),2),0.5)-0.5*(POWER(140*70*VLOOKUP(B18,T_TEST[],11,FALSE)/MAX(T_TEST[合計])-POWER(70*VLOOKUP(B18,T_TEST[],11,FALSE)/MAX(T_TEST[合計]),2),0.5)-70*VLOOKUP(B18,T_TEST[],11,FALSE)/MAX(T_TEST[合計]))</f>
        <v>62.108538163991426</v>
      </c>
      <c r="M18" s="9">
        <f>15-((1-VLOOKUP(B18,入力②出席率!$B:$G,6,FALSE))*15)*3</f>
        <v>13.433999999999953</v>
      </c>
      <c r="N18" s="10">
        <f>VLOOKUP(B18,入力③平常点!B:I,8,FALSE)</f>
        <v>15</v>
      </c>
      <c r="O18" s="24">
        <f t="shared" si="6"/>
        <v>87.791301305749101</v>
      </c>
      <c r="P18" s="34" t="str">
        <f t="shared" si="7"/>
        <v>A</v>
      </c>
      <c r="Q18" s="24">
        <f t="shared" si="8"/>
        <v>83.794062166661561</v>
      </c>
      <c r="R18" s="34" t="str">
        <f t="shared" si="9"/>
        <v>A</v>
      </c>
      <c r="S18" s="24">
        <f t="shared" si="10"/>
        <v>89.094130090618521</v>
      </c>
      <c r="T18" s="34" t="str">
        <f t="shared" si="11"/>
        <v>A</v>
      </c>
      <c r="U18" s="24">
        <f t="shared" si="12"/>
        <v>95.936873444974438</v>
      </c>
      <c r="V18" s="34" t="str">
        <f t="shared" si="13"/>
        <v>A</v>
      </c>
      <c r="W18" s="24">
        <f t="shared" si="14"/>
        <v>87.436578002529899</v>
      </c>
      <c r="X18" s="34" t="str">
        <f t="shared" si="15"/>
        <v>A</v>
      </c>
      <c r="Y18" s="24">
        <f t="shared" si="16"/>
        <v>90.726856398964443</v>
      </c>
      <c r="Z18" s="34" t="str">
        <f t="shared" si="17"/>
        <v>A</v>
      </c>
      <c r="AA18" s="24">
        <f t="shared" si="18"/>
        <v>90.542538163991381</v>
      </c>
      <c r="AB18" s="34" t="str">
        <f t="shared" si="19"/>
        <v>A</v>
      </c>
    </row>
    <row r="19" spans="2:28" x14ac:dyDescent="0.4">
      <c r="B19" s="1">
        <v>2307011</v>
      </c>
      <c r="C19" s="1" t="s">
        <v>53</v>
      </c>
      <c r="D19" s="1">
        <v>17</v>
      </c>
      <c r="E19" s="1" t="s">
        <v>70</v>
      </c>
      <c r="F19" s="7">
        <f>POWER(140*70*VLOOKUP(B19,T_TEST[],5,FALSE)/MAX(T_TEST[語彙])-POWER(70*VLOOKUP(B19,T_TEST[],5,FALSE)/MAX(T_TEST[語彙]),2),0.5)-0.5*(POWER(140*70*VLOOKUP(B19,T_TEST[],5,FALSE)/MAX(T_TEST[語彙])-POWER(70*VLOOKUP(B19,T_TEST[],5,FALSE)/MAX(T_TEST[語彙]),2),0.5)-70*VLOOKUP(B19,T_TEST[],5,FALSE)/MAX(T_TEST[語彙]))</f>
        <v>67.972580334966466</v>
      </c>
      <c r="G19" s="8">
        <f>POWER(140*70*VLOOKUP(B19,T_TEST[],6,FALSE)/MAX(T_TEST[聴解])-POWER(70*VLOOKUP(B19,T_TEST[],6,FALSE)/MAX(T_TEST[聴解]),2),0.5)-0.5*(POWER(140*70*VLOOKUP(B19,T_TEST[],6,FALSE)/MAX(T_TEST[聴解])-POWER(70*VLOOKUP(B19,T_TEST[],6,FALSE)/MAX(T_TEST[聴解]),2),0.5)-70*VLOOKUP(B19,T_TEST[],6,FALSE)/MAX(T_TEST[聴解]))</f>
        <v>66.884433679444314</v>
      </c>
      <c r="H19" s="8">
        <f>POWER(140*70*VLOOKUP(B19,T_TEST[],7,FALSE)/MAX(T_TEST[読解])-POWER(70*VLOOKUP(B19,T_TEST[],7,FALSE)/MAX(T_TEST[読解]),2),0.5)-0.5*(POWER(140*70*VLOOKUP(B19,T_TEST[],7,FALSE)/MAX(T_TEST[読解])-POWER(70*VLOOKUP(B19,T_TEST[],7,FALSE)/MAX(T_TEST[読解]),2),0.5)-70*VLOOKUP(B19,T_TEST[],7,FALSE)/MAX(T_TEST[読解]))</f>
        <v>56.892683958907128</v>
      </c>
      <c r="I19" s="8">
        <f>POWER(140*70*VLOOKUP(B19,T_TEST[],8,FALSE)/MAX(T_TEST[文法])-POWER(70*VLOOKUP(B19,T_TEST[],8,FALSE)/MAX(T_TEST[文法]),2),0.5)-0.5*(POWER(140*70*VLOOKUP(B19,T_TEST[],8,FALSE)/MAX(T_TEST[文法])-POWER(70*VLOOKUP(B19,T_TEST[],8,FALSE)/MAX(T_TEST[文法]),2),0.5)-70*VLOOKUP(B19,T_TEST[],8,FALSE)/MAX(T_TEST[文法]))</f>
        <v>69.595389010694447</v>
      </c>
      <c r="J19" s="14">
        <f>POWER(140*70*VLOOKUP(B19,T_TEST[],9,FALSE)/MAX(T_TEST[作文])-POWER(70*VLOOKUP(B19,T_TEST[],9,FALSE)/MAX(T_TEST[作文]),2),0.5)-0.5*(POWER(140*70*VLOOKUP(B19,T_TEST[],9,FALSE)/MAX(T_TEST[作文])-POWER(70*VLOOKUP(B19,T_TEST[],9,FALSE)/MAX(T_TEST[作文]),2),0.5)-70*VLOOKUP(B19,T_TEST[],9,FALSE)/MAX(T_TEST[作文]))</f>
        <v>59.460033745764903</v>
      </c>
      <c r="K19" s="14">
        <f>POWER(140*70*VLOOKUP(B19,T_TEST[],10,FALSE)/MAX(T_TEST[会話])-POWER(70*VLOOKUP(B19,T_TEST[],10,FALSE)/MAX(T_TEST[会話]),2),0.5)-0.5*(POWER(140*70*VLOOKUP(B19,T_TEST[],10,FALSE)/MAX(T_TEST[会話])-POWER(70*VLOOKUP(B19,T_TEST[],10,FALSE)/MAX(T_TEST[会話]),2),0.5)-70*VLOOKUP(B19,T_TEST[],10,FALSE)/MAX(T_TEST[会話]))</f>
        <v>66.324560298731697</v>
      </c>
      <c r="L19" s="15">
        <f>POWER(140*70*VLOOKUP(B19,T_TEST[],11,FALSE)/MAX(T_TEST[合計])-POWER(70*VLOOKUP(B19,T_TEST[],11,FALSE)/MAX(T_TEST[合計]),2),0.5)-0.5*(POWER(140*70*VLOOKUP(B19,T_TEST[],11,FALSE)/MAX(T_TEST[合計])-POWER(70*VLOOKUP(B19,T_TEST[],11,FALSE)/MAX(T_TEST[合計]),2),0.5)-70*VLOOKUP(B19,T_TEST[],11,FALSE)/MAX(T_TEST[合計]))</f>
        <v>65.817111986924203</v>
      </c>
      <c r="M19" s="9">
        <f>15-((1-VLOOKUP(B19,入力②出席率!$B:$G,6,FALSE))*15)*3</f>
        <v>14.487000000000002</v>
      </c>
      <c r="N19" s="10">
        <f>VLOOKUP(B19,入力③平常点!B:I,8,FALSE)</f>
        <v>15</v>
      </c>
      <c r="O19" s="24">
        <f t="shared" si="6"/>
        <v>97.459580334966461</v>
      </c>
      <c r="P19" s="34" t="str">
        <f t="shared" si="7"/>
        <v>A</v>
      </c>
      <c r="Q19" s="24">
        <f t="shared" si="8"/>
        <v>96.371433679444323</v>
      </c>
      <c r="R19" s="34" t="str">
        <f t="shared" si="9"/>
        <v>A</v>
      </c>
      <c r="S19" s="24">
        <f t="shared" si="10"/>
        <v>86.379683958907123</v>
      </c>
      <c r="T19" s="34" t="str">
        <f t="shared" si="11"/>
        <v>A</v>
      </c>
      <c r="U19" s="24">
        <f t="shared" si="12"/>
        <v>99.082389010694442</v>
      </c>
      <c r="V19" s="34" t="str">
        <f t="shared" si="13"/>
        <v>A</v>
      </c>
      <c r="W19" s="24">
        <f t="shared" si="14"/>
        <v>88.947033745764912</v>
      </c>
      <c r="X19" s="34" t="str">
        <f t="shared" si="15"/>
        <v>A</v>
      </c>
      <c r="Y19" s="24">
        <f t="shared" si="16"/>
        <v>95.811560298731706</v>
      </c>
      <c r="Z19" s="34" t="str">
        <f t="shared" si="17"/>
        <v>A</v>
      </c>
      <c r="AA19" s="24">
        <f t="shared" si="18"/>
        <v>95.304111986924198</v>
      </c>
      <c r="AB19" s="34" t="str">
        <f t="shared" si="19"/>
        <v>A</v>
      </c>
    </row>
    <row r="20" spans="2:28" x14ac:dyDescent="0.4">
      <c r="B20" s="1">
        <v>2310016</v>
      </c>
      <c r="C20" s="1" t="s">
        <v>53</v>
      </c>
      <c r="D20" s="1">
        <v>18</v>
      </c>
      <c r="E20" s="1" t="s">
        <v>71</v>
      </c>
      <c r="F20" s="7">
        <f>POWER(140*70*VLOOKUP(B20,T_TEST[],5,FALSE)/MAX(T_TEST[語彙])-POWER(70*VLOOKUP(B20,T_TEST[],5,FALSE)/MAX(T_TEST[語彙]),2),0.5)-0.5*(POWER(140*70*VLOOKUP(B20,T_TEST[],5,FALSE)/MAX(T_TEST[語彙])-POWER(70*VLOOKUP(B20,T_TEST[],5,FALSE)/MAX(T_TEST[語彙]),2),0.5)-70*VLOOKUP(B20,T_TEST[],5,FALSE)/MAX(T_TEST[語彙]))</f>
        <v>69.000195617606494</v>
      </c>
      <c r="G20" s="8">
        <f>POWER(140*70*VLOOKUP(B20,T_TEST[],6,FALSE)/MAX(T_TEST[聴解])-POWER(70*VLOOKUP(B20,T_TEST[],6,FALSE)/MAX(T_TEST[聴解]),2),0.5)-0.5*(POWER(140*70*VLOOKUP(B20,T_TEST[],6,FALSE)/MAX(T_TEST[聴解])-POWER(70*VLOOKUP(B20,T_TEST[],6,FALSE)/MAX(T_TEST[聴解]),2),0.5)-70*VLOOKUP(B20,T_TEST[],6,FALSE)/MAX(T_TEST[聴解]))</f>
        <v>70</v>
      </c>
      <c r="H20" s="8">
        <f>POWER(140*70*VLOOKUP(B20,T_TEST[],7,FALSE)/MAX(T_TEST[読解])-POWER(70*VLOOKUP(B20,T_TEST[],7,FALSE)/MAX(T_TEST[読解]),2),0.5)-0.5*(POWER(140*70*VLOOKUP(B20,T_TEST[],7,FALSE)/MAX(T_TEST[読解])-POWER(70*VLOOKUP(B20,T_TEST[],7,FALSE)/MAX(T_TEST[読解]),2),0.5)-70*VLOOKUP(B20,T_TEST[],7,FALSE)/MAX(T_TEST[読解]))</f>
        <v>66.048527267687632</v>
      </c>
      <c r="I20" s="8">
        <f>POWER(140*70*VLOOKUP(B20,T_TEST[],8,FALSE)/MAX(T_TEST[文法])-POWER(70*VLOOKUP(B20,T_TEST[],8,FALSE)/MAX(T_TEST[文法]),2),0.5)-0.5*(POWER(140*70*VLOOKUP(B20,T_TEST[],8,FALSE)/MAX(T_TEST[文法])-POWER(70*VLOOKUP(B20,T_TEST[],8,FALSE)/MAX(T_TEST[文法]),2),0.5)-70*VLOOKUP(B20,T_TEST[],8,FALSE)/MAX(T_TEST[文法]))</f>
        <v>70</v>
      </c>
      <c r="J20" s="14">
        <f>POWER(140*70*VLOOKUP(B20,T_TEST[],9,FALSE)/MAX(T_TEST[作文])-POWER(70*VLOOKUP(B20,T_TEST[],9,FALSE)/MAX(T_TEST[作文]),2),0.5)-0.5*(POWER(140*70*VLOOKUP(B20,T_TEST[],9,FALSE)/MAX(T_TEST[作文])-POWER(70*VLOOKUP(B20,T_TEST[],9,FALSE)/MAX(T_TEST[作文]),2),0.5)-70*VLOOKUP(B20,T_TEST[],9,FALSE)/MAX(T_TEST[作文]))</f>
        <v>67.410600109422347</v>
      </c>
      <c r="K20" s="14">
        <f>POWER(140*70*VLOOKUP(B20,T_TEST[],10,FALSE)/MAX(T_TEST[会話])-POWER(70*VLOOKUP(B20,T_TEST[],10,FALSE)/MAX(T_TEST[会話]),2),0.5)-0.5*(POWER(140*70*VLOOKUP(B20,T_TEST[],10,FALSE)/MAX(T_TEST[会話])-POWER(70*VLOOKUP(B20,T_TEST[],10,FALSE)/MAX(T_TEST[会話]),2),0.5)-70*VLOOKUP(B20,T_TEST[],10,FALSE)/MAX(T_TEST[会話]))</f>
        <v>70</v>
      </c>
      <c r="L20" s="15">
        <f>POWER(140*70*VLOOKUP(B20,T_TEST[],11,FALSE)/MAX(T_TEST[合計])-POWER(70*VLOOKUP(B20,T_TEST[],11,FALSE)/MAX(T_TEST[合計]),2),0.5)-0.5*(POWER(140*70*VLOOKUP(B20,T_TEST[],11,FALSE)/MAX(T_TEST[合計])-POWER(70*VLOOKUP(B20,T_TEST[],11,FALSE)/MAX(T_TEST[合計]),2),0.5)-70*VLOOKUP(B20,T_TEST[],11,FALSE)/MAX(T_TEST[合計]))</f>
        <v>70</v>
      </c>
      <c r="M20" s="9">
        <f>15-((1-VLOOKUP(B20,入力②出席率!$B:$G,6,FALSE))*15)*3</f>
        <v>15</v>
      </c>
      <c r="N20" s="10">
        <f>VLOOKUP(B20,入力③平常点!B:I,8,FALSE)</f>
        <v>15</v>
      </c>
      <c r="O20" s="24">
        <f t="shared" si="6"/>
        <v>99.000195617606494</v>
      </c>
      <c r="P20" s="34" t="str">
        <f t="shared" si="7"/>
        <v>A</v>
      </c>
      <c r="Q20" s="24">
        <f t="shared" si="8"/>
        <v>100</v>
      </c>
      <c r="R20" s="34" t="str">
        <f t="shared" si="9"/>
        <v>A</v>
      </c>
      <c r="S20" s="24">
        <f t="shared" si="10"/>
        <v>96.048527267687632</v>
      </c>
      <c r="T20" s="34" t="str">
        <f t="shared" si="11"/>
        <v>A</v>
      </c>
      <c r="U20" s="24">
        <f t="shared" si="12"/>
        <v>100</v>
      </c>
      <c r="V20" s="34" t="str">
        <f t="shared" si="13"/>
        <v>A</v>
      </c>
      <c r="W20" s="24">
        <f t="shared" si="14"/>
        <v>97.410600109422347</v>
      </c>
      <c r="X20" s="34" t="str">
        <f t="shared" si="15"/>
        <v>A</v>
      </c>
      <c r="Y20" s="24">
        <f t="shared" si="16"/>
        <v>100</v>
      </c>
      <c r="Z20" s="34" t="str">
        <f t="shared" si="17"/>
        <v>A</v>
      </c>
      <c r="AA20" s="24">
        <f t="shared" si="18"/>
        <v>100</v>
      </c>
      <c r="AB20" s="34" t="str">
        <f t="shared" si="19"/>
        <v>A</v>
      </c>
    </row>
    <row r="21" spans="2:28" x14ac:dyDescent="0.4">
      <c r="B21" s="1">
        <v>2404091</v>
      </c>
      <c r="C21" s="1" t="s">
        <v>53</v>
      </c>
      <c r="D21" s="1">
        <v>19</v>
      </c>
      <c r="E21" s="1" t="s">
        <v>72</v>
      </c>
      <c r="F21" s="7">
        <f>POWER(140*70*VLOOKUP(B21,T_TEST[],5,FALSE)/MAX(T_TEST[語彙])-POWER(70*VLOOKUP(B21,T_TEST[],5,FALSE)/MAX(T_TEST[語彙]),2),0.5)-0.5*(POWER(140*70*VLOOKUP(B21,T_TEST[],5,FALSE)/MAX(T_TEST[語彙])-POWER(70*VLOOKUP(B21,T_TEST[],5,FALSE)/MAX(T_TEST[語彙]),2),0.5)-70*VLOOKUP(B21,T_TEST[],5,FALSE)/MAX(T_TEST[語彙]))</f>
        <v>52.651538654123257</v>
      </c>
      <c r="G21" s="8">
        <f>POWER(140*70*VLOOKUP(B21,T_TEST[],6,FALSE)/MAX(T_TEST[聴解])-POWER(70*VLOOKUP(B21,T_TEST[],6,FALSE)/MAX(T_TEST[聴解]),2),0.5)-0.5*(POWER(140*70*VLOOKUP(B21,T_TEST[],6,FALSE)/MAX(T_TEST[聴解])-POWER(70*VLOOKUP(B21,T_TEST[],6,FALSE)/MAX(T_TEST[聴解]),2),0.5)-70*VLOOKUP(B21,T_TEST[],6,FALSE)/MAX(T_TEST[聴解]))</f>
        <v>64.988531689410337</v>
      </c>
      <c r="H21" s="8">
        <f>POWER(140*70*VLOOKUP(B21,T_TEST[],7,FALSE)/MAX(T_TEST[読解])-POWER(70*VLOOKUP(B21,T_TEST[],7,FALSE)/MAX(T_TEST[読解]),2),0.5)-0.5*(POWER(140*70*VLOOKUP(B21,T_TEST[],7,FALSE)/MAX(T_TEST[読解])-POWER(70*VLOOKUP(B21,T_TEST[],7,FALSE)/MAX(T_TEST[読解]),2),0.5)-70*VLOOKUP(B21,T_TEST[],7,FALSE)/MAX(T_TEST[読解]))</f>
        <v>41.560744326608734</v>
      </c>
      <c r="I21" s="8">
        <f>POWER(140*70*VLOOKUP(B21,T_TEST[],8,FALSE)/MAX(T_TEST[文法])-POWER(70*VLOOKUP(B21,T_TEST[],8,FALSE)/MAX(T_TEST[文法]),2),0.5)-0.5*(POWER(140*70*VLOOKUP(B21,T_TEST[],8,FALSE)/MAX(T_TEST[文法])-POWER(70*VLOOKUP(B21,T_TEST[],8,FALSE)/MAX(T_TEST[文法]),2),0.5)-70*VLOOKUP(B21,T_TEST[],8,FALSE)/MAX(T_TEST[文法]))</f>
        <v>58.46636013609141</v>
      </c>
      <c r="J21" s="14">
        <f>POWER(140*70*VLOOKUP(B21,T_TEST[],9,FALSE)/MAX(T_TEST[作文])-POWER(70*VLOOKUP(B21,T_TEST[],9,FALSE)/MAX(T_TEST[作文]),2),0.5)-0.5*(POWER(140*70*VLOOKUP(B21,T_TEST[],9,FALSE)/MAX(T_TEST[作文])-POWER(70*VLOOKUP(B21,T_TEST[],9,FALSE)/MAX(T_TEST[作文]),2),0.5)-70*VLOOKUP(B21,T_TEST[],9,FALSE)/MAX(T_TEST[作文]))</f>
        <v>58.541019662496844</v>
      </c>
      <c r="K21" s="14">
        <f>POWER(140*70*VLOOKUP(B21,T_TEST[],10,FALSE)/MAX(T_TEST[会話])-POWER(70*VLOOKUP(B21,T_TEST[],10,FALSE)/MAX(T_TEST[会話]),2),0.5)-0.5*(POWER(140*70*VLOOKUP(B21,T_TEST[],10,FALSE)/MAX(T_TEST[会話])-POWER(70*VLOOKUP(B21,T_TEST[],10,FALSE)/MAX(T_TEST[会話]),2),0.5)-70*VLOOKUP(B21,T_TEST[],10,FALSE)/MAX(T_TEST[会話]))</f>
        <v>66.324560298731697</v>
      </c>
      <c r="L21" s="15">
        <f>POWER(140*70*VLOOKUP(B21,T_TEST[],11,FALSE)/MAX(T_TEST[合計])-POWER(70*VLOOKUP(B21,T_TEST[],11,FALSE)/MAX(T_TEST[合計]),2),0.5)-0.5*(POWER(140*70*VLOOKUP(B21,T_TEST[],11,FALSE)/MAX(T_TEST[合計])-POWER(70*VLOOKUP(B21,T_TEST[],11,FALSE)/MAX(T_TEST[合計]),2),0.5)-70*VLOOKUP(B21,T_TEST[],11,FALSE)/MAX(T_TEST[合計]))</f>
        <v>59.257224195784666</v>
      </c>
      <c r="M21" s="9">
        <f>15-((1-VLOOKUP(B21,入力②出席率!$B:$G,6,FALSE))*15)*3</f>
        <v>15</v>
      </c>
      <c r="N21" s="10">
        <f>VLOOKUP(B21,入力③平常点!B:I,8,FALSE)</f>
        <v>15</v>
      </c>
      <c r="O21" s="24">
        <f t="shared" si="6"/>
        <v>82.651538654123257</v>
      </c>
      <c r="P21" s="34" t="str">
        <f t="shared" si="7"/>
        <v>A</v>
      </c>
      <c r="Q21" s="24">
        <f t="shared" si="8"/>
        <v>94.988531689410337</v>
      </c>
      <c r="R21" s="34" t="str">
        <f t="shared" si="9"/>
        <v>A</v>
      </c>
      <c r="S21" s="24">
        <f t="shared" si="10"/>
        <v>71.560744326608727</v>
      </c>
      <c r="T21" s="34" t="str">
        <f t="shared" si="11"/>
        <v>B</v>
      </c>
      <c r="U21" s="24">
        <f t="shared" si="12"/>
        <v>88.46636013609141</v>
      </c>
      <c r="V21" s="34" t="str">
        <f t="shared" si="13"/>
        <v>A</v>
      </c>
      <c r="W21" s="24">
        <f t="shared" si="14"/>
        <v>88.541019662496836</v>
      </c>
      <c r="X21" s="34" t="str">
        <f t="shared" si="15"/>
        <v>A</v>
      </c>
      <c r="Y21" s="24">
        <f t="shared" si="16"/>
        <v>96.324560298731697</v>
      </c>
      <c r="Z21" s="34" t="str">
        <f t="shared" si="17"/>
        <v>A</v>
      </c>
      <c r="AA21" s="24">
        <f t="shared" si="18"/>
        <v>89.257224195784659</v>
      </c>
      <c r="AB21" s="34" t="str">
        <f t="shared" si="19"/>
        <v>A</v>
      </c>
    </row>
    <row r="22" spans="2:28" ht="19.5" thickBot="1" x14ac:dyDescent="0.45">
      <c r="B22" s="1">
        <v>2404159</v>
      </c>
      <c r="C22" s="1" t="s">
        <v>53</v>
      </c>
      <c r="D22" s="1">
        <v>20</v>
      </c>
      <c r="E22" s="1" t="s">
        <v>73</v>
      </c>
      <c r="F22" s="7">
        <f>POWER(140*70*VLOOKUP(B22,T_TEST[],5,FALSE)/MAX(T_TEST[語彙])-POWER(70*VLOOKUP(B22,T_TEST[],5,FALSE)/MAX(T_TEST[語彙]),2),0.5)-0.5*(POWER(140*70*VLOOKUP(B22,T_TEST[],5,FALSE)/MAX(T_TEST[語彙])-POWER(70*VLOOKUP(B22,T_TEST[],5,FALSE)/MAX(T_TEST[語彙]),2),0.5)-70*VLOOKUP(B22,T_TEST[],5,FALSE)/MAX(T_TEST[語彙]))</f>
        <v>55.434572980521985</v>
      </c>
      <c r="G22" s="8">
        <f>POWER(140*70*VLOOKUP(B22,T_TEST[],6,FALSE)/MAX(T_TEST[聴解])-POWER(70*VLOOKUP(B22,T_TEST[],6,FALSE)/MAX(T_TEST[聴解]),2),0.5)-0.5*(POWER(140*70*VLOOKUP(B22,T_TEST[],6,FALSE)/MAX(T_TEST[聴解])-POWER(70*VLOOKUP(B22,T_TEST[],6,FALSE)/MAX(T_TEST[聴解]),2),0.5)-70*VLOOKUP(B22,T_TEST[],6,FALSE)/MAX(T_TEST[聴解]))</f>
        <v>61.463414634146346</v>
      </c>
      <c r="H22" s="8">
        <f>POWER(140*70*VLOOKUP(B22,T_TEST[],7,FALSE)/MAX(T_TEST[読解])-POWER(70*VLOOKUP(B22,T_TEST[],7,FALSE)/MAX(T_TEST[読解]),2),0.5)-0.5*(POWER(140*70*VLOOKUP(B22,T_TEST[],7,FALSE)/MAX(T_TEST[読解])-POWER(70*VLOOKUP(B22,T_TEST[],7,FALSE)/MAX(T_TEST[読解]),2),0.5)-70*VLOOKUP(B22,T_TEST[],7,FALSE)/MAX(T_TEST[読解]))</f>
        <v>52.83810728278587</v>
      </c>
      <c r="I22" s="8">
        <f>POWER(140*70*VLOOKUP(B22,T_TEST[],8,FALSE)/MAX(T_TEST[文法])-POWER(70*VLOOKUP(B22,T_TEST[],8,FALSE)/MAX(T_TEST[文法]),2),0.5)-0.5*(POWER(140*70*VLOOKUP(B22,T_TEST[],8,FALSE)/MAX(T_TEST[文法])-POWER(70*VLOOKUP(B22,T_TEST[],8,FALSE)/MAX(T_TEST[文法]),2),0.5)-70*VLOOKUP(B22,T_TEST[],8,FALSE)/MAX(T_TEST[文法]))</f>
        <v>63.441378620551689</v>
      </c>
      <c r="J22" s="14">
        <f>POWER(140*70*VLOOKUP(B22,T_TEST[],9,FALSE)/MAX(T_TEST[作文])-POWER(70*VLOOKUP(B22,T_TEST[],9,FALSE)/MAX(T_TEST[作文]),2),0.5)-0.5*(POWER(140*70*VLOOKUP(B22,T_TEST[],9,FALSE)/MAX(T_TEST[作文])-POWER(70*VLOOKUP(B22,T_TEST[],9,FALSE)/MAX(T_TEST[作文]),2),0.5)-70*VLOOKUP(B22,T_TEST[],9,FALSE)/MAX(T_TEST[作文]))</f>
        <v>58.541019662496844</v>
      </c>
      <c r="K22" s="14">
        <f>POWER(140*70*VLOOKUP(B22,T_TEST[],10,FALSE)/MAX(T_TEST[会話])-POWER(70*VLOOKUP(B22,T_TEST[],10,FALSE)/MAX(T_TEST[会話]),2),0.5)-0.5*(POWER(140*70*VLOOKUP(B22,T_TEST[],10,FALSE)/MAX(T_TEST[会話])-POWER(70*VLOOKUP(B22,T_TEST[],10,FALSE)/MAX(T_TEST[会話]),2),0.5)-70*VLOOKUP(B22,T_TEST[],10,FALSE)/MAX(T_TEST[会話]))</f>
        <v>63.128331356602217</v>
      </c>
      <c r="L22" s="15">
        <f>POWER(140*70*VLOOKUP(B22,T_TEST[],11,FALSE)/MAX(T_TEST[合計])-POWER(70*VLOOKUP(B22,T_TEST[],11,FALSE)/MAX(T_TEST[合計]),2),0.5)-0.5*(POWER(140*70*VLOOKUP(B22,T_TEST[],11,FALSE)/MAX(T_TEST[合計])-POWER(70*VLOOKUP(B22,T_TEST[],11,FALSE)/MAX(T_TEST[合計]),2),0.5)-70*VLOOKUP(B22,T_TEST[],11,FALSE)/MAX(T_TEST[合計]))</f>
        <v>60.660130090618566</v>
      </c>
      <c r="M22" s="11">
        <f>15-((1-VLOOKUP(B22,入力②出席率!$B:$G,6,FALSE))*15)*3</f>
        <v>15</v>
      </c>
      <c r="N22" s="10">
        <f>VLOOKUP(B22,入力③平常点!B:I,8,FALSE)</f>
        <v>15</v>
      </c>
      <c r="O22" s="24">
        <f t="shared" si="6"/>
        <v>85.434572980521978</v>
      </c>
      <c r="P22" s="34" t="str">
        <f t="shared" si="7"/>
        <v>A</v>
      </c>
      <c r="Q22" s="24">
        <f t="shared" si="8"/>
        <v>91.463414634146346</v>
      </c>
      <c r="R22" s="34" t="str">
        <f t="shared" si="9"/>
        <v>A</v>
      </c>
      <c r="S22" s="24">
        <f t="shared" si="10"/>
        <v>82.83810728278587</v>
      </c>
      <c r="T22" s="34" t="str">
        <f t="shared" si="11"/>
        <v>A</v>
      </c>
      <c r="U22" s="24">
        <f t="shared" si="12"/>
        <v>93.441378620551689</v>
      </c>
      <c r="V22" s="34" t="str">
        <f t="shared" si="13"/>
        <v>A</v>
      </c>
      <c r="W22" s="24">
        <f t="shared" si="14"/>
        <v>88.541019662496836</v>
      </c>
      <c r="X22" s="34" t="str">
        <f t="shared" si="15"/>
        <v>A</v>
      </c>
      <c r="Y22" s="24">
        <f t="shared" si="16"/>
        <v>93.128331356602217</v>
      </c>
      <c r="Z22" s="34" t="str">
        <f t="shared" si="17"/>
        <v>A</v>
      </c>
      <c r="AA22" s="24">
        <f t="shared" si="18"/>
        <v>90.660130090618566</v>
      </c>
      <c r="AB22" s="34" t="str">
        <f t="shared" si="19"/>
        <v>A</v>
      </c>
    </row>
  </sheetData>
  <phoneticPr fontId="1"/>
  <conditionalFormatting sqref="O3:AB22">
    <cfRule type="expression" dxfId="0" priority="1">
      <formula>P3="F"</formula>
    </cfRule>
  </conditionalFormatting>
  <pageMargins left="0.25" right="0.25" top="0.75" bottom="0.75" header="0.3" footer="0.3"/>
  <pageSetup paperSize="8" scale="9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536"/>
  <sheetViews>
    <sheetView view="pageBreakPreview" zoomScale="130" zoomScaleNormal="100" zoomScaleSheetLayoutView="130" workbookViewId="0">
      <selection activeCell="B527" sqref="B527"/>
    </sheetView>
  </sheetViews>
  <sheetFormatPr defaultColWidth="3.75" defaultRowHeight="22.5" customHeight="1" x14ac:dyDescent="0.4"/>
  <cols>
    <col min="1" max="16384" width="3.75" style="36"/>
  </cols>
  <sheetData>
    <row r="1" spans="1:20" ht="22.5" customHeight="1" x14ac:dyDescent="0.4">
      <c r="A1" s="35">
        <v>0</v>
      </c>
      <c r="B1" s="43" t="s">
        <v>29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</row>
    <row r="2" spans="1:20" ht="22.5" customHeight="1" x14ac:dyDescent="0.4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</row>
    <row r="3" spans="1:20" ht="22.5" customHeight="1" x14ac:dyDescent="0.4"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44" t="s">
        <v>49</v>
      </c>
      <c r="O3" s="44"/>
      <c r="P3" s="44"/>
      <c r="Q3" s="45">
        <f ca="1">TODAY()</f>
        <v>45721</v>
      </c>
      <c r="R3" s="46"/>
      <c r="S3" s="46"/>
      <c r="T3" s="46"/>
    </row>
    <row r="4" spans="1:20" ht="33.75" customHeight="1" x14ac:dyDescent="0.4">
      <c r="B4" s="47" t="s">
        <v>50</v>
      </c>
      <c r="C4" s="48"/>
      <c r="D4" s="48"/>
      <c r="E4" s="48"/>
      <c r="F4" s="49">
        <f ca="1">OFFSET(総合成績評価!$B$3,A1,0)</f>
        <v>2304010</v>
      </c>
      <c r="G4" s="49"/>
      <c r="H4" s="49"/>
      <c r="I4" s="49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</row>
    <row r="5" spans="1:20" ht="33.75" customHeight="1" x14ac:dyDescent="0.4">
      <c r="B5" s="47" t="s">
        <v>51</v>
      </c>
      <c r="C5" s="48"/>
      <c r="D5" s="48"/>
      <c r="E5" s="48"/>
      <c r="F5" s="50" t="str">
        <f ca="1">OFFSET(総合成績評価!$B$3,A1,1)</f>
        <v>2-1</v>
      </c>
      <c r="G5" s="50"/>
      <c r="H5" s="50"/>
      <c r="I5" s="50"/>
      <c r="J5" s="38"/>
      <c r="K5" s="38"/>
      <c r="M5" s="47" t="s">
        <v>48</v>
      </c>
      <c r="N5" s="47"/>
      <c r="O5" s="47"/>
      <c r="P5" s="47"/>
      <c r="Q5" s="51">
        <f ca="1">VALUE(VLOOKUP(F4,入力②出席率!B:G,6))</f>
        <v>0.98939999999999895</v>
      </c>
      <c r="R5" s="51"/>
      <c r="S5" s="51"/>
      <c r="T5" s="51"/>
    </row>
    <row r="6" spans="1:20" ht="33.75" customHeight="1" x14ac:dyDescent="0.4">
      <c r="B6" s="47" t="s">
        <v>52</v>
      </c>
      <c r="C6" s="48"/>
      <c r="D6" s="48"/>
      <c r="E6" s="48"/>
      <c r="F6" s="69" t="str">
        <f ca="1">OFFSET(総合成績評価!$B$3,A1,3)</f>
        <v>尹 麗</v>
      </c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</row>
    <row r="7" spans="1:20" ht="22.5" customHeight="1" thickBot="1" x14ac:dyDescent="0.45">
      <c r="B7" s="41" t="s">
        <v>47</v>
      </c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</row>
    <row r="8" spans="1:20" ht="22.5" customHeight="1" x14ac:dyDescent="0.4">
      <c r="F8" s="70" t="s">
        <v>30</v>
      </c>
      <c r="G8" s="70"/>
      <c r="H8" s="70"/>
      <c r="I8" s="70" t="s">
        <v>31</v>
      </c>
      <c r="J8" s="70"/>
      <c r="K8" s="70"/>
      <c r="L8" s="70" t="s">
        <v>32</v>
      </c>
      <c r="M8" s="70"/>
      <c r="N8" s="71"/>
      <c r="O8" s="72" t="s">
        <v>33</v>
      </c>
      <c r="P8" s="73"/>
      <c r="Q8" s="73"/>
      <c r="R8" s="73" t="s">
        <v>34</v>
      </c>
      <c r="S8" s="73"/>
      <c r="T8" s="74"/>
    </row>
    <row r="9" spans="1:20" ht="30" customHeight="1" x14ac:dyDescent="0.4">
      <c r="F9" s="52" t="s">
        <v>35</v>
      </c>
      <c r="G9" s="52"/>
      <c r="H9" s="52"/>
      <c r="I9" s="53" t="s">
        <v>36</v>
      </c>
      <c r="J9" s="53"/>
      <c r="K9" s="53"/>
      <c r="L9" s="53" t="s">
        <v>37</v>
      </c>
      <c r="M9" s="52"/>
      <c r="N9" s="54"/>
      <c r="O9" s="55" t="s">
        <v>38</v>
      </c>
      <c r="P9" s="52"/>
      <c r="Q9" s="52"/>
      <c r="R9" s="52" t="s">
        <v>39</v>
      </c>
      <c r="S9" s="52"/>
      <c r="T9" s="56"/>
    </row>
    <row r="10" spans="1:20" ht="37.5" customHeight="1" x14ac:dyDescent="0.4">
      <c r="B10" s="57" t="s">
        <v>40</v>
      </c>
      <c r="C10" s="57"/>
      <c r="D10" s="57"/>
      <c r="E10" s="57"/>
      <c r="F10" s="58">
        <f ca="1">OFFSET(総合成績評価!$B$3,A1,4)</f>
        <v>62.999858751072125</v>
      </c>
      <c r="G10" s="58"/>
      <c r="H10" s="58"/>
      <c r="I10" s="59">
        <f ca="1">OFFSET(総合成績評価!$B$3,A1,11)</f>
        <v>14.522999999999954</v>
      </c>
      <c r="J10" s="60"/>
      <c r="K10" s="61"/>
      <c r="L10" s="59">
        <f ca="1">OFFSET(総合成績評価!$B$3,A1,12)</f>
        <v>15</v>
      </c>
      <c r="M10" s="60"/>
      <c r="N10" s="60"/>
      <c r="O10" s="68">
        <f ca="1">OFFSET(総合成績評価!$B$3,A1,13)</f>
        <v>92.522858751072079</v>
      </c>
      <c r="P10" s="58"/>
      <c r="Q10" s="58"/>
      <c r="R10" s="75" t="str">
        <f ca="1">OFFSET(総合成績評価!$B$3,A1,14)</f>
        <v>A</v>
      </c>
      <c r="S10" s="75"/>
      <c r="T10" s="76"/>
    </row>
    <row r="11" spans="1:20" ht="37.5" customHeight="1" x14ac:dyDescent="0.4">
      <c r="B11" s="57" t="s">
        <v>41</v>
      </c>
      <c r="C11" s="75"/>
      <c r="D11" s="75"/>
      <c r="E11" s="75"/>
      <c r="F11" s="58">
        <f ca="1">OFFSET(総合成績評価!$B$3,A1,5)</f>
        <v>64.988531689410337</v>
      </c>
      <c r="G11" s="58"/>
      <c r="H11" s="58"/>
      <c r="I11" s="62"/>
      <c r="J11" s="63"/>
      <c r="K11" s="64"/>
      <c r="L11" s="62"/>
      <c r="M11" s="63"/>
      <c r="N11" s="63"/>
      <c r="O11" s="68">
        <f ca="1">OFFSET(総合成績評価!$B$3,A1,15)</f>
        <v>94.51153168941029</v>
      </c>
      <c r="P11" s="58"/>
      <c r="Q11" s="58"/>
      <c r="R11" s="75" t="str">
        <f ca="1">OFFSET(総合成績評価!$B$3,A1,16)</f>
        <v>A</v>
      </c>
      <c r="S11" s="75"/>
      <c r="T11" s="76"/>
    </row>
    <row r="12" spans="1:20" ht="37.5" customHeight="1" x14ac:dyDescent="0.4">
      <c r="B12" s="57" t="s">
        <v>42</v>
      </c>
      <c r="C12" s="75"/>
      <c r="D12" s="75"/>
      <c r="E12" s="75"/>
      <c r="F12" s="58">
        <f ca="1">OFFSET(総合成績評価!$B$3,A1,6)</f>
        <v>60.138604279314897</v>
      </c>
      <c r="G12" s="58"/>
      <c r="H12" s="58"/>
      <c r="I12" s="62"/>
      <c r="J12" s="63"/>
      <c r="K12" s="64"/>
      <c r="L12" s="62"/>
      <c r="M12" s="63"/>
      <c r="N12" s="63"/>
      <c r="O12" s="68">
        <f ca="1">OFFSET(総合成績評価!$B$3,A1,17)</f>
        <v>89.661604279314844</v>
      </c>
      <c r="P12" s="58"/>
      <c r="Q12" s="58"/>
      <c r="R12" s="75" t="str">
        <f ca="1">OFFSET(総合成績評価!$B$3,A1,18)</f>
        <v>A</v>
      </c>
      <c r="S12" s="75"/>
      <c r="T12" s="76"/>
    </row>
    <row r="13" spans="1:20" ht="37.5" customHeight="1" x14ac:dyDescent="0.4">
      <c r="B13" s="57" t="s">
        <v>43</v>
      </c>
      <c r="C13" s="75"/>
      <c r="D13" s="75"/>
      <c r="E13" s="75"/>
      <c r="F13" s="58">
        <f ca="1">OFFSET(総合成績評価!$B$3,A1,7)</f>
        <v>56.873435637121297</v>
      </c>
      <c r="G13" s="58"/>
      <c r="H13" s="58"/>
      <c r="I13" s="62"/>
      <c r="J13" s="63"/>
      <c r="K13" s="64"/>
      <c r="L13" s="62"/>
      <c r="M13" s="63"/>
      <c r="N13" s="63"/>
      <c r="O13" s="68">
        <f ca="1">OFFSET(総合成績評価!$B$3,A1,19)</f>
        <v>86.396435637121243</v>
      </c>
      <c r="P13" s="58"/>
      <c r="Q13" s="58"/>
      <c r="R13" s="75" t="str">
        <f ca="1">OFFSET(総合成績評価!$B$3,A1,20)</f>
        <v>A</v>
      </c>
      <c r="S13" s="75"/>
      <c r="T13" s="76"/>
    </row>
    <row r="14" spans="1:20" ht="37.5" customHeight="1" x14ac:dyDescent="0.4">
      <c r="B14" s="57" t="s">
        <v>44</v>
      </c>
      <c r="C14" s="75"/>
      <c r="D14" s="75"/>
      <c r="E14" s="75"/>
      <c r="F14" s="58">
        <f ca="1">OFFSET(総合成績評価!$B$3,A1,8)</f>
        <v>55.191742076555052</v>
      </c>
      <c r="G14" s="58"/>
      <c r="H14" s="58"/>
      <c r="I14" s="62"/>
      <c r="J14" s="63"/>
      <c r="K14" s="64"/>
      <c r="L14" s="62"/>
      <c r="M14" s="63"/>
      <c r="N14" s="63"/>
      <c r="O14" s="68">
        <f ca="1">OFFSET(総合成績評価!$B$3,A1,21)</f>
        <v>84.714742076555012</v>
      </c>
      <c r="P14" s="58"/>
      <c r="Q14" s="58"/>
      <c r="R14" s="75" t="str">
        <f ca="1">OFFSET(総合成績評価!$B$3,A1,22)</f>
        <v>A</v>
      </c>
      <c r="S14" s="75"/>
      <c r="T14" s="76"/>
    </row>
    <row r="15" spans="1:20" ht="37.5" customHeight="1" thickBot="1" x14ac:dyDescent="0.45">
      <c r="B15" s="77" t="s">
        <v>45</v>
      </c>
      <c r="C15" s="70"/>
      <c r="D15" s="70"/>
      <c r="E15" s="70"/>
      <c r="F15" s="78">
        <f ca="1">OFFSET(総合成績評価!$B$3,A1,9)</f>
        <v>65.547086208774402</v>
      </c>
      <c r="G15" s="78"/>
      <c r="H15" s="78"/>
      <c r="I15" s="62"/>
      <c r="J15" s="63"/>
      <c r="K15" s="64"/>
      <c r="L15" s="62"/>
      <c r="M15" s="63"/>
      <c r="N15" s="63"/>
      <c r="O15" s="79">
        <f ca="1">OFFSET(総合成績評価!$B$3,A1,23)</f>
        <v>95.070086208774356</v>
      </c>
      <c r="P15" s="78"/>
      <c r="Q15" s="78"/>
      <c r="R15" s="70" t="str">
        <f ca="1">OFFSET(総合成績評価!$B$3,A1,24)</f>
        <v>A</v>
      </c>
      <c r="S15" s="70"/>
      <c r="T15" s="80"/>
    </row>
    <row r="16" spans="1:20" ht="37.5" customHeight="1" thickTop="1" thickBot="1" x14ac:dyDescent="0.45">
      <c r="B16" s="81" t="s">
        <v>46</v>
      </c>
      <c r="C16" s="82"/>
      <c r="D16" s="82"/>
      <c r="E16" s="82"/>
      <c r="F16" s="83">
        <f ca="1">OFFSET(総合成績評価!$B$3,A1,10)</f>
        <v>62.192407196798015</v>
      </c>
      <c r="G16" s="83"/>
      <c r="H16" s="83"/>
      <c r="I16" s="65"/>
      <c r="J16" s="66"/>
      <c r="K16" s="67"/>
      <c r="L16" s="65"/>
      <c r="M16" s="66"/>
      <c r="N16" s="66"/>
      <c r="O16" s="84">
        <f ca="1">OFFSET(総合成績評価!$B$3,A1,25)</f>
        <v>91.715407196797969</v>
      </c>
      <c r="P16" s="85"/>
      <c r="Q16" s="85"/>
      <c r="R16" s="86" t="str">
        <f ca="1">OFFSET(総合成績評価!$B$3,A1,26)</f>
        <v>A</v>
      </c>
      <c r="S16" s="86"/>
      <c r="T16" s="87"/>
    </row>
    <row r="27" spans="1:20" ht="22.5" customHeight="1" x14ac:dyDescent="0.4">
      <c r="A27" s="35">
        <f>A1+1</f>
        <v>1</v>
      </c>
      <c r="B27" s="43" t="s">
        <v>29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</row>
    <row r="28" spans="1:20" ht="22.5" customHeight="1" x14ac:dyDescent="0.4"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</row>
    <row r="29" spans="1:20" ht="22.5" customHeight="1" x14ac:dyDescent="0.4"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44" t="s">
        <v>49</v>
      </c>
      <c r="O29" s="44"/>
      <c r="P29" s="44"/>
      <c r="Q29" s="45">
        <f ca="1">TODAY()</f>
        <v>45721</v>
      </c>
      <c r="R29" s="46"/>
      <c r="S29" s="46"/>
      <c r="T29" s="46"/>
    </row>
    <row r="30" spans="1:20" ht="33.75" customHeight="1" x14ac:dyDescent="0.4">
      <c r="B30" s="47" t="s">
        <v>50</v>
      </c>
      <c r="C30" s="48"/>
      <c r="D30" s="48"/>
      <c r="E30" s="48"/>
      <c r="F30" s="49">
        <f ca="1">OFFSET(総合成績評価!$B$3,A27,0)</f>
        <v>2304067</v>
      </c>
      <c r="G30" s="49"/>
      <c r="H30" s="49"/>
      <c r="I30" s="4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</row>
    <row r="31" spans="1:20" ht="33.75" customHeight="1" x14ac:dyDescent="0.4">
      <c r="B31" s="47" t="s">
        <v>51</v>
      </c>
      <c r="C31" s="48"/>
      <c r="D31" s="48"/>
      <c r="E31" s="48"/>
      <c r="F31" s="50" t="str">
        <f ca="1">OFFSET(総合成績評価!$B$3,A27,1)</f>
        <v>2-1</v>
      </c>
      <c r="G31" s="50"/>
      <c r="H31" s="50"/>
      <c r="I31" s="50"/>
      <c r="J31" s="38"/>
      <c r="K31" s="38"/>
      <c r="L31" s="38"/>
      <c r="M31" s="47" t="s">
        <v>48</v>
      </c>
      <c r="N31" s="47"/>
      <c r="O31" s="47"/>
      <c r="P31" s="47"/>
      <c r="Q31" s="51">
        <f ca="1">VALUE(VLOOKUP(F30,入力②出席率!B:G,6))</f>
        <v>0.99470000000000003</v>
      </c>
      <c r="R31" s="51"/>
      <c r="S31" s="51"/>
      <c r="T31" s="51"/>
    </row>
    <row r="32" spans="1:20" ht="33.75" customHeight="1" x14ac:dyDescent="0.4">
      <c r="B32" s="47" t="s">
        <v>52</v>
      </c>
      <c r="C32" s="48"/>
      <c r="D32" s="48"/>
      <c r="E32" s="48"/>
      <c r="F32" s="69" t="str">
        <f ca="1">OFFSET(総合成績評価!$B$3,A27,3)</f>
        <v>HTET HTOO KHIN</v>
      </c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</row>
    <row r="33" spans="2:20" ht="22.5" customHeight="1" thickBot="1" x14ac:dyDescent="0.45">
      <c r="B33" s="41" t="s">
        <v>47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</row>
    <row r="34" spans="2:20" ht="22.5" customHeight="1" x14ac:dyDescent="0.4">
      <c r="F34" s="70" t="s">
        <v>30</v>
      </c>
      <c r="G34" s="70"/>
      <c r="H34" s="70"/>
      <c r="I34" s="70" t="s">
        <v>31</v>
      </c>
      <c r="J34" s="70"/>
      <c r="K34" s="70"/>
      <c r="L34" s="70" t="s">
        <v>32</v>
      </c>
      <c r="M34" s="70"/>
      <c r="N34" s="71"/>
      <c r="O34" s="72" t="s">
        <v>33</v>
      </c>
      <c r="P34" s="73"/>
      <c r="Q34" s="73"/>
      <c r="R34" s="73" t="s">
        <v>34</v>
      </c>
      <c r="S34" s="73"/>
      <c r="T34" s="74"/>
    </row>
    <row r="35" spans="2:20" ht="30" customHeight="1" x14ac:dyDescent="0.4">
      <c r="F35" s="54" t="s">
        <v>35</v>
      </c>
      <c r="G35" s="88"/>
      <c r="H35" s="89"/>
      <c r="I35" s="53" t="s">
        <v>36</v>
      </c>
      <c r="J35" s="53"/>
      <c r="K35" s="53"/>
      <c r="L35" s="53" t="s">
        <v>37</v>
      </c>
      <c r="M35" s="52"/>
      <c r="N35" s="54"/>
      <c r="O35" s="55" t="s">
        <v>38</v>
      </c>
      <c r="P35" s="52"/>
      <c r="Q35" s="52"/>
      <c r="R35" s="52" t="s">
        <v>39</v>
      </c>
      <c r="S35" s="52"/>
      <c r="T35" s="56"/>
    </row>
    <row r="36" spans="2:20" ht="37.5" customHeight="1" x14ac:dyDescent="0.4">
      <c r="B36" s="57" t="s">
        <v>40</v>
      </c>
      <c r="C36" s="57"/>
      <c r="D36" s="57"/>
      <c r="E36" s="57"/>
      <c r="F36" s="58">
        <f ca="1">OFFSET(総合成績評価!$B$3,A27,4)</f>
        <v>50.468919195052329</v>
      </c>
      <c r="G36" s="58"/>
      <c r="H36" s="58"/>
      <c r="I36" s="59">
        <f ca="1">OFFSET(総合成績評価!$B$3,A27,11)</f>
        <v>14.761500000000002</v>
      </c>
      <c r="J36" s="60"/>
      <c r="K36" s="61"/>
      <c r="L36" s="59">
        <f ca="1">OFFSET(総合成績評価!$B$3,A27,12)</f>
        <v>15</v>
      </c>
      <c r="M36" s="60"/>
      <c r="N36" s="60"/>
      <c r="O36" s="68">
        <f ca="1">OFFSET(総合成績評価!$B$3,A27,13)</f>
        <v>80.230419195052335</v>
      </c>
      <c r="P36" s="58"/>
      <c r="Q36" s="58"/>
      <c r="R36" s="75" t="str">
        <f ca="1">OFFSET(総合成績評価!$B$3,A27,14)</f>
        <v>A</v>
      </c>
      <c r="S36" s="75"/>
      <c r="T36" s="76"/>
    </row>
    <row r="37" spans="2:20" ht="37.5" customHeight="1" x14ac:dyDescent="0.4">
      <c r="B37" s="57" t="s">
        <v>41</v>
      </c>
      <c r="C37" s="75"/>
      <c r="D37" s="75"/>
      <c r="E37" s="75"/>
      <c r="F37" s="58">
        <f ca="1">OFFSET(総合成績評価!$B$3,A27,5)</f>
        <v>63.006989545973497</v>
      </c>
      <c r="G37" s="58"/>
      <c r="H37" s="58"/>
      <c r="I37" s="62"/>
      <c r="J37" s="63"/>
      <c r="K37" s="64"/>
      <c r="L37" s="62"/>
      <c r="M37" s="63"/>
      <c r="N37" s="63"/>
      <c r="O37" s="68">
        <f ca="1">OFFSET(総合成績評価!$B$3,A27,15)</f>
        <v>92.768489545973495</v>
      </c>
      <c r="P37" s="58"/>
      <c r="Q37" s="58"/>
      <c r="R37" s="75" t="str">
        <f ca="1">OFFSET(総合成績評価!$B$3,A27,16)</f>
        <v>A</v>
      </c>
      <c r="S37" s="75"/>
      <c r="T37" s="76"/>
    </row>
    <row r="38" spans="2:20" ht="37.5" customHeight="1" x14ac:dyDescent="0.4">
      <c r="B38" s="57" t="s">
        <v>42</v>
      </c>
      <c r="C38" s="75"/>
      <c r="D38" s="75"/>
      <c r="E38" s="75"/>
      <c r="F38" s="58">
        <f ca="1">OFFSET(総合成績評価!$B$3,A27,6)</f>
        <v>55.764696372503749</v>
      </c>
      <c r="G38" s="58"/>
      <c r="H38" s="58"/>
      <c r="I38" s="62"/>
      <c r="J38" s="63"/>
      <c r="K38" s="64"/>
      <c r="L38" s="62"/>
      <c r="M38" s="63"/>
      <c r="N38" s="63"/>
      <c r="O38" s="68">
        <f ca="1">OFFSET(総合成績評価!$B$3,A27,17)</f>
        <v>85.526196372503748</v>
      </c>
      <c r="P38" s="58"/>
      <c r="Q38" s="58"/>
      <c r="R38" s="75" t="str">
        <f ca="1">OFFSET(総合成績評価!$B$3,A27,18)</f>
        <v>A</v>
      </c>
      <c r="S38" s="75"/>
      <c r="T38" s="76"/>
    </row>
    <row r="39" spans="2:20" ht="37.5" customHeight="1" x14ac:dyDescent="0.4">
      <c r="B39" s="57" t="s">
        <v>43</v>
      </c>
      <c r="C39" s="75"/>
      <c r="D39" s="75"/>
      <c r="E39" s="75"/>
      <c r="F39" s="58">
        <f ca="1">OFFSET(総合成績評価!$B$3,A27,7)</f>
        <v>58.986730708056719</v>
      </c>
      <c r="G39" s="58"/>
      <c r="H39" s="58"/>
      <c r="I39" s="62"/>
      <c r="J39" s="63"/>
      <c r="K39" s="64"/>
      <c r="L39" s="62"/>
      <c r="M39" s="63"/>
      <c r="N39" s="63"/>
      <c r="O39" s="68">
        <f ca="1">OFFSET(総合成績評価!$B$3,A27,19)</f>
        <v>88.748230708056724</v>
      </c>
      <c r="P39" s="58"/>
      <c r="Q39" s="58"/>
      <c r="R39" s="75" t="str">
        <f ca="1">OFFSET(総合成績評価!$B$3,A27,20)</f>
        <v>A</v>
      </c>
      <c r="S39" s="75"/>
      <c r="T39" s="76"/>
    </row>
    <row r="40" spans="2:20" ht="37.5" customHeight="1" x14ac:dyDescent="0.4">
      <c r="B40" s="57" t="s">
        <v>44</v>
      </c>
      <c r="C40" s="75"/>
      <c r="D40" s="75"/>
      <c r="E40" s="75"/>
      <c r="F40" s="58">
        <f ca="1">OFFSET(総合成績評価!$B$3,A27,8)</f>
        <v>62.120528443461311</v>
      </c>
      <c r="G40" s="58"/>
      <c r="H40" s="58"/>
      <c r="I40" s="62"/>
      <c r="J40" s="63"/>
      <c r="K40" s="64"/>
      <c r="L40" s="62"/>
      <c r="M40" s="63"/>
      <c r="N40" s="63"/>
      <c r="O40" s="68">
        <f ca="1">OFFSET(総合成績評価!$B$3,A27,21)</f>
        <v>91.882028443461309</v>
      </c>
      <c r="P40" s="58"/>
      <c r="Q40" s="58"/>
      <c r="R40" s="75" t="str">
        <f ca="1">OFFSET(総合成績評価!$B$3,A27,22)</f>
        <v>A</v>
      </c>
      <c r="S40" s="75"/>
      <c r="T40" s="76"/>
    </row>
    <row r="41" spans="2:20" ht="37.5" customHeight="1" thickBot="1" x14ac:dyDescent="0.45">
      <c r="B41" s="77" t="s">
        <v>45</v>
      </c>
      <c r="C41" s="70"/>
      <c r="D41" s="70"/>
      <c r="E41" s="70"/>
      <c r="F41" s="78">
        <f ca="1">OFFSET(総合成績評価!$B$3,A27,9)</f>
        <v>63.949095501908587</v>
      </c>
      <c r="G41" s="78"/>
      <c r="H41" s="78"/>
      <c r="I41" s="62"/>
      <c r="J41" s="63"/>
      <c r="K41" s="64"/>
      <c r="L41" s="62"/>
      <c r="M41" s="63"/>
      <c r="N41" s="63"/>
      <c r="O41" s="79">
        <f ca="1">OFFSET(総合成績評価!$B$3,A27,23)</f>
        <v>93.710595501908585</v>
      </c>
      <c r="P41" s="78"/>
      <c r="Q41" s="78"/>
      <c r="R41" s="70" t="str">
        <f ca="1">OFFSET(総合成績評価!$B$3,A27,24)</f>
        <v>A</v>
      </c>
      <c r="S41" s="70"/>
      <c r="T41" s="80"/>
    </row>
    <row r="42" spans="2:20" ht="37.5" customHeight="1" thickTop="1" thickBot="1" x14ac:dyDescent="0.45">
      <c r="B42" s="81" t="s">
        <v>46</v>
      </c>
      <c r="C42" s="82"/>
      <c r="D42" s="82"/>
      <c r="E42" s="82"/>
      <c r="F42" s="83">
        <f ca="1">OFFSET(総合成績評価!$B$3,A27,10)</f>
        <v>60.832766435187075</v>
      </c>
      <c r="G42" s="83"/>
      <c r="H42" s="83"/>
      <c r="I42" s="65"/>
      <c r="J42" s="66"/>
      <c r="K42" s="67"/>
      <c r="L42" s="65"/>
      <c r="M42" s="66"/>
      <c r="N42" s="66"/>
      <c r="O42" s="84">
        <f ca="1">OFFSET(総合成績評価!$B$3,A27,25)</f>
        <v>90.59426643518708</v>
      </c>
      <c r="P42" s="85"/>
      <c r="Q42" s="85"/>
      <c r="R42" s="86" t="str">
        <f ca="1">OFFSET(総合成績評価!$B$3,A27,26)</f>
        <v>A</v>
      </c>
      <c r="S42" s="86"/>
      <c r="T42" s="87"/>
    </row>
    <row r="53" spans="1:20" ht="22.5" customHeight="1" x14ac:dyDescent="0.4">
      <c r="A53" s="35">
        <f>A27+1</f>
        <v>2</v>
      </c>
      <c r="B53" s="43" t="s">
        <v>29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</row>
    <row r="54" spans="1:20" ht="22.5" customHeight="1" x14ac:dyDescent="0.4"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</row>
    <row r="55" spans="1:20" ht="22.5" customHeight="1" x14ac:dyDescent="0.4"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44" t="s">
        <v>49</v>
      </c>
      <c r="O55" s="44"/>
      <c r="P55" s="44"/>
      <c r="Q55" s="45">
        <f ca="1">TODAY()</f>
        <v>45721</v>
      </c>
      <c r="R55" s="46"/>
      <c r="S55" s="46"/>
      <c r="T55" s="46"/>
    </row>
    <row r="56" spans="1:20" ht="33.75" customHeight="1" x14ac:dyDescent="0.4">
      <c r="B56" s="47" t="s">
        <v>50</v>
      </c>
      <c r="C56" s="48"/>
      <c r="D56" s="48"/>
      <c r="E56" s="48"/>
      <c r="F56" s="49">
        <f ca="1">OFFSET(総合成績評価!$B$3,A53,0)</f>
        <v>2304069</v>
      </c>
      <c r="G56" s="49"/>
      <c r="H56" s="49"/>
      <c r="I56" s="49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</row>
    <row r="57" spans="1:20" ht="33.75" customHeight="1" x14ac:dyDescent="0.4">
      <c r="B57" s="47" t="s">
        <v>51</v>
      </c>
      <c r="C57" s="48"/>
      <c r="D57" s="48"/>
      <c r="E57" s="48"/>
      <c r="F57" s="50" t="str">
        <f ca="1">OFFSET(総合成績評価!$B$3,A53,1)</f>
        <v>2-1</v>
      </c>
      <c r="G57" s="50"/>
      <c r="H57" s="50"/>
      <c r="I57" s="50"/>
      <c r="J57" s="38"/>
      <c r="K57" s="38"/>
      <c r="L57" s="38"/>
      <c r="M57" s="47" t="s">
        <v>48</v>
      </c>
      <c r="N57" s="47"/>
      <c r="O57" s="47"/>
      <c r="P57" s="47"/>
      <c r="Q57" s="51">
        <f ca="1">VALUE(VLOOKUP(F56,入力②出席率!B:G,6))</f>
        <v>0.98609999999999898</v>
      </c>
      <c r="R57" s="51"/>
      <c r="S57" s="51"/>
      <c r="T57" s="51"/>
    </row>
    <row r="58" spans="1:20" ht="33.75" customHeight="1" x14ac:dyDescent="0.4">
      <c r="B58" s="47" t="s">
        <v>52</v>
      </c>
      <c r="C58" s="48"/>
      <c r="D58" s="48"/>
      <c r="E58" s="48"/>
      <c r="F58" s="69" t="str">
        <f ca="1">OFFSET(総合成績評価!$B$3,A53,3)</f>
        <v>THIRI HNIN HTET</v>
      </c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</row>
    <row r="59" spans="1:20" ht="22.5" customHeight="1" thickBot="1" x14ac:dyDescent="0.45">
      <c r="B59" s="41" t="s">
        <v>47</v>
      </c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</row>
    <row r="60" spans="1:20" ht="22.5" customHeight="1" x14ac:dyDescent="0.4">
      <c r="F60" s="70" t="s">
        <v>30</v>
      </c>
      <c r="G60" s="70"/>
      <c r="H60" s="70"/>
      <c r="I60" s="70" t="s">
        <v>31</v>
      </c>
      <c r="J60" s="70"/>
      <c r="K60" s="70"/>
      <c r="L60" s="70" t="s">
        <v>32</v>
      </c>
      <c r="M60" s="70"/>
      <c r="N60" s="71"/>
      <c r="O60" s="72" t="s">
        <v>33</v>
      </c>
      <c r="P60" s="73"/>
      <c r="Q60" s="73"/>
      <c r="R60" s="73" t="s">
        <v>34</v>
      </c>
      <c r="S60" s="73"/>
      <c r="T60" s="74"/>
    </row>
    <row r="61" spans="1:20" ht="30" customHeight="1" x14ac:dyDescent="0.4">
      <c r="F61" s="54" t="s">
        <v>35</v>
      </c>
      <c r="G61" s="88"/>
      <c r="H61" s="89"/>
      <c r="I61" s="53" t="s">
        <v>36</v>
      </c>
      <c r="J61" s="53"/>
      <c r="K61" s="53"/>
      <c r="L61" s="53" t="s">
        <v>37</v>
      </c>
      <c r="M61" s="52"/>
      <c r="N61" s="54"/>
      <c r="O61" s="55" t="s">
        <v>38</v>
      </c>
      <c r="P61" s="52"/>
      <c r="Q61" s="52"/>
      <c r="R61" s="52" t="s">
        <v>39</v>
      </c>
      <c r="S61" s="52"/>
      <c r="T61" s="56"/>
    </row>
    <row r="62" spans="1:20" ht="37.5" customHeight="1" x14ac:dyDescent="0.4">
      <c r="B62" s="57" t="s">
        <v>40</v>
      </c>
      <c r="C62" s="57"/>
      <c r="D62" s="57"/>
      <c r="E62" s="57"/>
      <c r="F62" s="58">
        <f ca="1">OFFSET(総合成績評価!$B$3,A53,4)</f>
        <v>54.751903271580993</v>
      </c>
      <c r="G62" s="58"/>
      <c r="H62" s="58"/>
      <c r="I62" s="59">
        <f ca="1">OFFSET(総合成績評価!$B$3,A53,11)</f>
        <v>14.374499999999953</v>
      </c>
      <c r="J62" s="60"/>
      <c r="K62" s="61"/>
      <c r="L62" s="59">
        <f ca="1">OFFSET(総合成績評価!$B$3,A53,12)</f>
        <v>15</v>
      </c>
      <c r="M62" s="60"/>
      <c r="N62" s="60"/>
      <c r="O62" s="68">
        <f ca="1">OFFSET(総合成績評価!$B$3,A53,13)</f>
        <v>84.126403271580941</v>
      </c>
      <c r="P62" s="58"/>
      <c r="Q62" s="58"/>
      <c r="R62" s="75" t="str">
        <f ca="1">OFFSET(総合成績評価!$B$3,A53,14)</f>
        <v>A</v>
      </c>
      <c r="S62" s="75"/>
      <c r="T62" s="76"/>
    </row>
    <row r="63" spans="1:20" ht="37.5" customHeight="1" x14ac:dyDescent="0.4">
      <c r="B63" s="57" t="s">
        <v>41</v>
      </c>
      <c r="C63" s="75"/>
      <c r="D63" s="75"/>
      <c r="E63" s="75"/>
      <c r="F63" s="58">
        <f ca="1">OFFSET(総合成績評価!$B$3,A53,5)</f>
        <v>70</v>
      </c>
      <c r="G63" s="58"/>
      <c r="H63" s="58"/>
      <c r="I63" s="62"/>
      <c r="J63" s="63"/>
      <c r="K63" s="64"/>
      <c r="L63" s="62"/>
      <c r="M63" s="63"/>
      <c r="N63" s="63"/>
      <c r="O63" s="68">
        <f ca="1">OFFSET(総合成績評価!$B$3,A53,15)</f>
        <v>99.374499999999955</v>
      </c>
      <c r="P63" s="58"/>
      <c r="Q63" s="58"/>
      <c r="R63" s="75" t="str">
        <f ca="1">OFFSET(総合成績評価!$B$3,A53,16)</f>
        <v>A</v>
      </c>
      <c r="S63" s="75"/>
      <c r="T63" s="76"/>
    </row>
    <row r="64" spans="1:20" ht="37.5" customHeight="1" x14ac:dyDescent="0.4">
      <c r="B64" s="57" t="s">
        <v>42</v>
      </c>
      <c r="C64" s="75"/>
      <c r="D64" s="75"/>
      <c r="E64" s="75"/>
      <c r="F64" s="58">
        <f ca="1">OFFSET(総合成績評価!$B$3,A53,6)</f>
        <v>61.68698582794336</v>
      </c>
      <c r="G64" s="58"/>
      <c r="H64" s="58"/>
      <c r="I64" s="62"/>
      <c r="J64" s="63"/>
      <c r="K64" s="64"/>
      <c r="L64" s="62"/>
      <c r="M64" s="63"/>
      <c r="N64" s="63"/>
      <c r="O64" s="68">
        <f ca="1">OFFSET(総合成績評価!$B$3,A53,17)</f>
        <v>91.061485827943315</v>
      </c>
      <c r="P64" s="58"/>
      <c r="Q64" s="58"/>
      <c r="R64" s="75" t="str">
        <f ca="1">OFFSET(総合成績評価!$B$3,A53,18)</f>
        <v>A</v>
      </c>
      <c r="S64" s="75"/>
      <c r="T64" s="76"/>
    </row>
    <row r="65" spans="1:20" ht="37.5" customHeight="1" x14ac:dyDescent="0.4">
      <c r="B65" s="57" t="s">
        <v>43</v>
      </c>
      <c r="C65" s="75"/>
      <c r="D65" s="75"/>
      <c r="E65" s="75"/>
      <c r="F65" s="58">
        <f ca="1">OFFSET(総合成績評価!$B$3,A53,7)</f>
        <v>61.016645523045071</v>
      </c>
      <c r="G65" s="58"/>
      <c r="H65" s="58"/>
      <c r="I65" s="62"/>
      <c r="J65" s="63"/>
      <c r="K65" s="64"/>
      <c r="L65" s="62"/>
      <c r="M65" s="63"/>
      <c r="N65" s="63"/>
      <c r="O65" s="68">
        <f ca="1">OFFSET(総合成績評価!$B$3,A53,19)</f>
        <v>90.391145523045026</v>
      </c>
      <c r="P65" s="58"/>
      <c r="Q65" s="58"/>
      <c r="R65" s="75" t="str">
        <f ca="1">OFFSET(総合成績評価!$B$3,A53,20)</f>
        <v>A</v>
      </c>
      <c r="S65" s="75"/>
      <c r="T65" s="76"/>
    </row>
    <row r="66" spans="1:20" ht="37.5" customHeight="1" x14ac:dyDescent="0.4">
      <c r="B66" s="57" t="s">
        <v>44</v>
      </c>
      <c r="C66" s="75"/>
      <c r="D66" s="75"/>
      <c r="E66" s="75"/>
      <c r="F66" s="58">
        <f ca="1">OFFSET(総合成績評価!$B$3,A53,8)</f>
        <v>59.002578002529944</v>
      </c>
      <c r="G66" s="58"/>
      <c r="H66" s="58"/>
      <c r="I66" s="62"/>
      <c r="J66" s="63"/>
      <c r="K66" s="64"/>
      <c r="L66" s="62"/>
      <c r="M66" s="63"/>
      <c r="N66" s="63"/>
      <c r="O66" s="68">
        <f ca="1">OFFSET(総合成績評価!$B$3,A53,21)</f>
        <v>88.377078002529899</v>
      </c>
      <c r="P66" s="58"/>
      <c r="Q66" s="58"/>
      <c r="R66" s="75" t="str">
        <f ca="1">OFFSET(総合成績評価!$B$3,A53,22)</f>
        <v>A</v>
      </c>
      <c r="S66" s="75"/>
      <c r="T66" s="76"/>
    </row>
    <row r="67" spans="1:20" ht="37.5" customHeight="1" thickBot="1" x14ac:dyDescent="0.45">
      <c r="B67" s="77" t="s">
        <v>45</v>
      </c>
      <c r="C67" s="70"/>
      <c r="D67" s="70"/>
      <c r="E67" s="70"/>
      <c r="F67" s="78">
        <f ca="1">OFFSET(総合成績評価!$B$3,A53,9)</f>
        <v>60.577051078632472</v>
      </c>
      <c r="G67" s="78"/>
      <c r="H67" s="78"/>
      <c r="I67" s="62"/>
      <c r="J67" s="63"/>
      <c r="K67" s="64"/>
      <c r="L67" s="62"/>
      <c r="M67" s="63"/>
      <c r="N67" s="63"/>
      <c r="O67" s="79">
        <f ca="1">OFFSET(総合成績評価!$B$3,A53,23)</f>
        <v>89.95155107863242</v>
      </c>
      <c r="P67" s="78"/>
      <c r="Q67" s="78"/>
      <c r="R67" s="70" t="str">
        <f ca="1">OFFSET(総合成績評価!$B$3,A53,24)</f>
        <v>A</v>
      </c>
      <c r="S67" s="70"/>
      <c r="T67" s="80"/>
    </row>
    <row r="68" spans="1:20" ht="37.5" customHeight="1" thickTop="1" thickBot="1" x14ac:dyDescent="0.45">
      <c r="B68" s="81" t="s">
        <v>46</v>
      </c>
      <c r="C68" s="82"/>
      <c r="D68" s="82"/>
      <c r="E68" s="82"/>
      <c r="F68" s="83">
        <f ca="1">OFFSET(総合成績評価!$B$3,A53,10)</f>
        <v>62.609555385533923</v>
      </c>
      <c r="G68" s="83"/>
      <c r="H68" s="83"/>
      <c r="I68" s="65"/>
      <c r="J68" s="66"/>
      <c r="K68" s="67"/>
      <c r="L68" s="65"/>
      <c r="M68" s="66"/>
      <c r="N68" s="66"/>
      <c r="O68" s="84">
        <f ca="1">OFFSET(総合成績評価!$B$3,A53,25)</f>
        <v>91.984055385533878</v>
      </c>
      <c r="P68" s="85"/>
      <c r="Q68" s="85"/>
      <c r="R68" s="86" t="str">
        <f ca="1">OFFSET(総合成績評価!$B$3,A53,26)</f>
        <v>A</v>
      </c>
      <c r="S68" s="86"/>
      <c r="T68" s="87"/>
    </row>
    <row r="79" spans="1:20" ht="22.5" customHeight="1" x14ac:dyDescent="0.4">
      <c r="A79" s="35">
        <f>A53+1</f>
        <v>3</v>
      </c>
      <c r="B79" s="43" t="s">
        <v>29</v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</row>
    <row r="80" spans="1:20" ht="22.5" customHeight="1" x14ac:dyDescent="0.4"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</row>
    <row r="81" spans="2:20" ht="22.5" customHeight="1" x14ac:dyDescent="0.4"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44" t="s">
        <v>49</v>
      </c>
      <c r="O81" s="44"/>
      <c r="P81" s="44"/>
      <c r="Q81" s="45">
        <f ca="1">TODAY()</f>
        <v>45721</v>
      </c>
      <c r="R81" s="46"/>
      <c r="S81" s="46"/>
      <c r="T81" s="46"/>
    </row>
    <row r="82" spans="2:20" ht="33.75" customHeight="1" x14ac:dyDescent="0.4">
      <c r="B82" s="47" t="s">
        <v>50</v>
      </c>
      <c r="C82" s="48"/>
      <c r="D82" s="48"/>
      <c r="E82" s="48"/>
      <c r="F82" s="49">
        <f ca="1">OFFSET(総合成績評価!$B$3,A79,0)</f>
        <v>2304070</v>
      </c>
      <c r="G82" s="49"/>
      <c r="H82" s="49"/>
      <c r="I82" s="49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</row>
    <row r="83" spans="2:20" ht="33.75" customHeight="1" x14ac:dyDescent="0.4">
      <c r="B83" s="47" t="s">
        <v>51</v>
      </c>
      <c r="C83" s="48"/>
      <c r="D83" s="48"/>
      <c r="E83" s="48"/>
      <c r="F83" s="50" t="str">
        <f ca="1">OFFSET(総合成績評価!$B$3,A79,1)</f>
        <v>2-1</v>
      </c>
      <c r="G83" s="50"/>
      <c r="H83" s="50"/>
      <c r="I83" s="50"/>
      <c r="J83" s="38"/>
      <c r="K83" s="38"/>
      <c r="L83" s="38"/>
      <c r="M83" s="47" t="s">
        <v>48</v>
      </c>
      <c r="N83" s="47"/>
      <c r="O83" s="47"/>
      <c r="P83" s="47"/>
      <c r="Q83" s="51">
        <f ca="1">VALUE(VLOOKUP(F82,入力②出席率!B:G,6))</f>
        <v>0.98349999999999904</v>
      </c>
      <c r="R83" s="51"/>
      <c r="S83" s="51"/>
      <c r="T83" s="51"/>
    </row>
    <row r="84" spans="2:20" ht="33.75" customHeight="1" x14ac:dyDescent="0.4">
      <c r="B84" s="47" t="s">
        <v>52</v>
      </c>
      <c r="C84" s="48"/>
      <c r="D84" s="48"/>
      <c r="E84" s="48"/>
      <c r="F84" s="69" t="str">
        <f ca="1">OFFSET(総合成績評価!$B$3,A79,3)</f>
        <v>YOON LAE LAE TUN</v>
      </c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9"/>
    </row>
    <row r="85" spans="2:20" ht="22.5" customHeight="1" thickBot="1" x14ac:dyDescent="0.45">
      <c r="B85" s="41" t="s">
        <v>47</v>
      </c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</row>
    <row r="86" spans="2:20" ht="22.5" customHeight="1" x14ac:dyDescent="0.4">
      <c r="F86" s="70" t="s">
        <v>30</v>
      </c>
      <c r="G86" s="70"/>
      <c r="H86" s="70"/>
      <c r="I86" s="70" t="s">
        <v>31</v>
      </c>
      <c r="J86" s="70"/>
      <c r="K86" s="70"/>
      <c r="L86" s="70" t="s">
        <v>32</v>
      </c>
      <c r="M86" s="70"/>
      <c r="N86" s="71"/>
      <c r="O86" s="72" t="s">
        <v>33</v>
      </c>
      <c r="P86" s="73"/>
      <c r="Q86" s="73"/>
      <c r="R86" s="73" t="s">
        <v>34</v>
      </c>
      <c r="S86" s="73"/>
      <c r="T86" s="74"/>
    </row>
    <row r="87" spans="2:20" ht="30" customHeight="1" x14ac:dyDescent="0.4">
      <c r="F87" s="54" t="s">
        <v>35</v>
      </c>
      <c r="G87" s="88"/>
      <c r="H87" s="89"/>
      <c r="I87" s="53" t="s">
        <v>36</v>
      </c>
      <c r="J87" s="53"/>
      <c r="K87" s="53"/>
      <c r="L87" s="53" t="s">
        <v>37</v>
      </c>
      <c r="M87" s="52"/>
      <c r="N87" s="54"/>
      <c r="O87" s="55" t="s">
        <v>38</v>
      </c>
      <c r="P87" s="52"/>
      <c r="Q87" s="52"/>
      <c r="R87" s="52" t="s">
        <v>39</v>
      </c>
      <c r="S87" s="52"/>
      <c r="T87" s="56"/>
    </row>
    <row r="88" spans="2:20" ht="37.5" customHeight="1" x14ac:dyDescent="0.4">
      <c r="B88" s="57" t="s">
        <v>40</v>
      </c>
      <c r="C88" s="57"/>
      <c r="D88" s="57"/>
      <c r="E88" s="57"/>
      <c r="F88" s="58">
        <f ca="1">OFFSET(総合成績評価!$B$3,A79,4)</f>
        <v>39.889214513865312</v>
      </c>
      <c r="G88" s="58"/>
      <c r="H88" s="58"/>
      <c r="I88" s="59">
        <f ca="1">OFFSET(総合成績評価!$B$3,A79,11)</f>
        <v>14.257499999999958</v>
      </c>
      <c r="J88" s="60"/>
      <c r="K88" s="61"/>
      <c r="L88" s="59">
        <f ca="1">OFFSET(総合成績評価!$B$3,A79,12)</f>
        <v>15</v>
      </c>
      <c r="M88" s="60"/>
      <c r="N88" s="60"/>
      <c r="O88" s="68">
        <f ca="1">OFFSET(総合成績評価!$B$3,A79,13)</f>
        <v>69.146714513865277</v>
      </c>
      <c r="P88" s="58"/>
      <c r="Q88" s="58"/>
      <c r="R88" s="75" t="str">
        <f ca="1">OFFSET(総合成績評価!$B$3,A79,14)</f>
        <v>C</v>
      </c>
      <c r="S88" s="75"/>
      <c r="T88" s="76"/>
    </row>
    <row r="89" spans="2:20" ht="37.5" customHeight="1" x14ac:dyDescent="0.4">
      <c r="B89" s="57" t="s">
        <v>41</v>
      </c>
      <c r="C89" s="75"/>
      <c r="D89" s="75"/>
      <c r="E89" s="75"/>
      <c r="F89" s="58">
        <f ca="1">OFFSET(総合成績評価!$B$3,A79,5)</f>
        <v>57.662967229801474</v>
      </c>
      <c r="G89" s="58"/>
      <c r="H89" s="58"/>
      <c r="I89" s="62"/>
      <c r="J89" s="63"/>
      <c r="K89" s="64"/>
      <c r="L89" s="62"/>
      <c r="M89" s="63"/>
      <c r="N89" s="63"/>
      <c r="O89" s="68">
        <f ca="1">OFFSET(総合成績評価!$B$3,A79,15)</f>
        <v>86.920467229801432</v>
      </c>
      <c r="P89" s="58"/>
      <c r="Q89" s="58"/>
      <c r="R89" s="75" t="str">
        <f ca="1">OFFSET(総合成績評価!$B$3,A79,16)</f>
        <v>A</v>
      </c>
      <c r="S89" s="75"/>
      <c r="T89" s="76"/>
    </row>
    <row r="90" spans="2:20" ht="37.5" customHeight="1" x14ac:dyDescent="0.4">
      <c r="B90" s="57" t="s">
        <v>42</v>
      </c>
      <c r="C90" s="75"/>
      <c r="D90" s="75"/>
      <c r="E90" s="75"/>
      <c r="F90" s="58">
        <f ca="1">OFFSET(総合成績評価!$B$3,A79,6)</f>
        <v>44.425166378915755</v>
      </c>
      <c r="G90" s="58"/>
      <c r="H90" s="58"/>
      <c r="I90" s="62"/>
      <c r="J90" s="63"/>
      <c r="K90" s="64"/>
      <c r="L90" s="62"/>
      <c r="M90" s="63"/>
      <c r="N90" s="63"/>
      <c r="O90" s="68">
        <f ca="1">OFFSET(総合成績評価!$B$3,A79,17)</f>
        <v>73.682666378915712</v>
      </c>
      <c r="P90" s="58"/>
      <c r="Q90" s="58"/>
      <c r="R90" s="75" t="str">
        <f ca="1">OFFSET(総合成績評価!$B$3,A79,18)</f>
        <v>B</v>
      </c>
      <c r="S90" s="75"/>
      <c r="T90" s="76"/>
    </row>
    <row r="91" spans="2:20" ht="37.5" customHeight="1" x14ac:dyDescent="0.4">
      <c r="B91" s="57" t="s">
        <v>43</v>
      </c>
      <c r="C91" s="75"/>
      <c r="D91" s="75"/>
      <c r="E91" s="75"/>
      <c r="F91" s="58">
        <f ca="1">OFFSET(総合成績評価!$B$3,A79,7)</f>
        <v>43.527492546963899</v>
      </c>
      <c r="G91" s="58"/>
      <c r="H91" s="58"/>
      <c r="I91" s="62"/>
      <c r="J91" s="63"/>
      <c r="K91" s="64"/>
      <c r="L91" s="62"/>
      <c r="M91" s="63"/>
      <c r="N91" s="63"/>
      <c r="O91" s="68">
        <f ca="1">OFFSET(総合成績評価!$B$3,A79,19)</f>
        <v>72.784992546963849</v>
      </c>
      <c r="P91" s="58"/>
      <c r="Q91" s="58"/>
      <c r="R91" s="75" t="str">
        <f ca="1">OFFSET(総合成績評価!$B$3,A79,20)</f>
        <v>B</v>
      </c>
      <c r="S91" s="75"/>
      <c r="T91" s="76"/>
    </row>
    <row r="92" spans="2:20" ht="37.5" customHeight="1" x14ac:dyDescent="0.4">
      <c r="B92" s="57" t="s">
        <v>44</v>
      </c>
      <c r="C92" s="75"/>
      <c r="D92" s="75"/>
      <c r="E92" s="75"/>
      <c r="F92" s="58">
        <f ca="1">OFFSET(総合成績評価!$B$3,A79,8)</f>
        <v>59.460033745764903</v>
      </c>
      <c r="G92" s="58"/>
      <c r="H92" s="58"/>
      <c r="I92" s="62"/>
      <c r="J92" s="63"/>
      <c r="K92" s="64"/>
      <c r="L92" s="62"/>
      <c r="M92" s="63"/>
      <c r="N92" s="63"/>
      <c r="O92" s="68">
        <f ca="1">OFFSET(総合成績評価!$B$3,A79,21)</f>
        <v>88.717533745764854</v>
      </c>
      <c r="P92" s="58"/>
      <c r="Q92" s="58"/>
      <c r="R92" s="75" t="str">
        <f ca="1">OFFSET(総合成績評価!$B$3,A79,22)</f>
        <v>A</v>
      </c>
      <c r="S92" s="75"/>
      <c r="T92" s="76"/>
    </row>
    <row r="93" spans="2:20" ht="37.5" customHeight="1" thickBot="1" x14ac:dyDescent="0.45">
      <c r="B93" s="77" t="s">
        <v>45</v>
      </c>
      <c r="C93" s="70"/>
      <c r="D93" s="70"/>
      <c r="E93" s="70"/>
      <c r="F93" s="78">
        <f ca="1">OFFSET(総合成績評価!$B$3,A79,9)</f>
        <v>66.324560298731697</v>
      </c>
      <c r="G93" s="78"/>
      <c r="H93" s="78"/>
      <c r="I93" s="62"/>
      <c r="J93" s="63"/>
      <c r="K93" s="64"/>
      <c r="L93" s="62"/>
      <c r="M93" s="63"/>
      <c r="N93" s="63"/>
      <c r="O93" s="79">
        <f ca="1">OFFSET(総合成績評価!$B$3,A79,23)</f>
        <v>95.582060298731648</v>
      </c>
      <c r="P93" s="78"/>
      <c r="Q93" s="78"/>
      <c r="R93" s="70" t="str">
        <f ca="1">OFFSET(総合成績評価!$B$3,A79,24)</f>
        <v>A</v>
      </c>
      <c r="S93" s="70"/>
      <c r="T93" s="80"/>
    </row>
    <row r="94" spans="2:20" ht="37.5" customHeight="1" thickTop="1" thickBot="1" x14ac:dyDescent="0.45">
      <c r="B94" s="81" t="s">
        <v>46</v>
      </c>
      <c r="C94" s="82"/>
      <c r="D94" s="82"/>
      <c r="E94" s="82"/>
      <c r="F94" s="83">
        <f ca="1">OFFSET(総合成績評価!$B$3,A79,10)</f>
        <v>54.709633909364548</v>
      </c>
      <c r="G94" s="83"/>
      <c r="H94" s="83"/>
      <c r="I94" s="65"/>
      <c r="J94" s="66"/>
      <c r="K94" s="67"/>
      <c r="L94" s="65"/>
      <c r="M94" s="66"/>
      <c r="N94" s="66"/>
      <c r="O94" s="84">
        <f ca="1">OFFSET(総合成績評価!$B$3,A79,25)</f>
        <v>83.967133909364506</v>
      </c>
      <c r="P94" s="85"/>
      <c r="Q94" s="85"/>
      <c r="R94" s="86" t="str">
        <f ca="1">OFFSET(総合成績評価!$B$3,A79,26)</f>
        <v>A</v>
      </c>
      <c r="S94" s="86"/>
      <c r="T94" s="87"/>
    </row>
    <row r="105" spans="1:20" ht="22.5" customHeight="1" x14ac:dyDescent="0.4">
      <c r="A105" s="35">
        <f>A79+1</f>
        <v>4</v>
      </c>
      <c r="B105" s="43" t="s">
        <v>29</v>
      </c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</row>
    <row r="106" spans="1:20" ht="22.5" customHeight="1" x14ac:dyDescent="0.4"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</row>
    <row r="107" spans="1:20" ht="22.5" customHeight="1" x14ac:dyDescent="0.4"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44" t="s">
        <v>49</v>
      </c>
      <c r="O107" s="44"/>
      <c r="P107" s="44"/>
      <c r="Q107" s="45">
        <f ca="1">TODAY()</f>
        <v>45721</v>
      </c>
      <c r="R107" s="46"/>
      <c r="S107" s="46"/>
      <c r="T107" s="46"/>
    </row>
    <row r="108" spans="1:20" ht="33.75" customHeight="1" x14ac:dyDescent="0.4">
      <c r="B108" s="47" t="s">
        <v>50</v>
      </c>
      <c r="C108" s="48"/>
      <c r="D108" s="48"/>
      <c r="E108" s="48"/>
      <c r="F108" s="49">
        <f ca="1">OFFSET(総合成績評価!$B$3,A105,0)</f>
        <v>2304071</v>
      </c>
      <c r="G108" s="49"/>
      <c r="H108" s="49"/>
      <c r="I108" s="4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</row>
    <row r="109" spans="1:20" ht="33.75" customHeight="1" x14ac:dyDescent="0.4">
      <c r="B109" s="47" t="s">
        <v>51</v>
      </c>
      <c r="C109" s="48"/>
      <c r="D109" s="48"/>
      <c r="E109" s="48"/>
      <c r="F109" s="50" t="str">
        <f ca="1">OFFSET(総合成績評価!$B$3,A105,1)</f>
        <v>2-1</v>
      </c>
      <c r="G109" s="50"/>
      <c r="H109" s="50"/>
      <c r="I109" s="50"/>
      <c r="J109" s="38"/>
      <c r="K109" s="38"/>
      <c r="L109" s="38"/>
      <c r="M109" s="47" t="s">
        <v>48</v>
      </c>
      <c r="N109" s="47"/>
      <c r="O109" s="47"/>
      <c r="P109" s="47"/>
      <c r="Q109" s="51">
        <f ca="1">VALUE(VLOOKUP(F108,入力②出席率!B:G,6))</f>
        <v>1</v>
      </c>
      <c r="R109" s="51"/>
      <c r="S109" s="51"/>
      <c r="T109" s="51"/>
    </row>
    <row r="110" spans="1:20" ht="33.75" customHeight="1" x14ac:dyDescent="0.4">
      <c r="B110" s="47" t="s">
        <v>52</v>
      </c>
      <c r="C110" s="48"/>
      <c r="D110" s="48"/>
      <c r="E110" s="48"/>
      <c r="F110" s="69" t="str">
        <f ca="1">OFFSET(総合成績評価!$B$3,A105,3)</f>
        <v>AYE WAI PHYO</v>
      </c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/>
      <c r="T110" s="69"/>
    </row>
    <row r="111" spans="1:20" ht="22.5" customHeight="1" thickBot="1" x14ac:dyDescent="0.45">
      <c r="B111" s="41" t="s">
        <v>47</v>
      </c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</row>
    <row r="112" spans="1:20" ht="22.5" customHeight="1" x14ac:dyDescent="0.4">
      <c r="F112" s="70" t="s">
        <v>30</v>
      </c>
      <c r="G112" s="70"/>
      <c r="H112" s="70"/>
      <c r="I112" s="70" t="s">
        <v>31</v>
      </c>
      <c r="J112" s="70"/>
      <c r="K112" s="70"/>
      <c r="L112" s="70" t="s">
        <v>32</v>
      </c>
      <c r="M112" s="70"/>
      <c r="N112" s="71"/>
      <c r="O112" s="72" t="s">
        <v>33</v>
      </c>
      <c r="P112" s="73"/>
      <c r="Q112" s="73"/>
      <c r="R112" s="73" t="s">
        <v>34</v>
      </c>
      <c r="S112" s="73"/>
      <c r="T112" s="74"/>
    </row>
    <row r="113" spans="2:20" ht="30" customHeight="1" x14ac:dyDescent="0.4">
      <c r="F113" s="54" t="s">
        <v>35</v>
      </c>
      <c r="G113" s="88"/>
      <c r="H113" s="89"/>
      <c r="I113" s="53" t="s">
        <v>36</v>
      </c>
      <c r="J113" s="53"/>
      <c r="K113" s="53"/>
      <c r="L113" s="53" t="s">
        <v>37</v>
      </c>
      <c r="M113" s="52"/>
      <c r="N113" s="54"/>
      <c r="O113" s="55" t="s">
        <v>38</v>
      </c>
      <c r="P113" s="52"/>
      <c r="Q113" s="52"/>
      <c r="R113" s="52" t="s">
        <v>39</v>
      </c>
      <c r="S113" s="52"/>
      <c r="T113" s="56"/>
    </row>
    <row r="114" spans="2:20" ht="37.5" customHeight="1" x14ac:dyDescent="0.4">
      <c r="B114" s="57" t="s">
        <v>40</v>
      </c>
      <c r="C114" s="57"/>
      <c r="D114" s="57"/>
      <c r="E114" s="57"/>
      <c r="F114" s="58">
        <f ca="1">OFFSET(総合成績評価!$B$3,A105,4)</f>
        <v>64.154857864014446</v>
      </c>
      <c r="G114" s="58"/>
      <c r="H114" s="58"/>
      <c r="I114" s="59">
        <f ca="1">OFFSET(総合成績評価!$B$3,A105,11)</f>
        <v>15</v>
      </c>
      <c r="J114" s="60"/>
      <c r="K114" s="61"/>
      <c r="L114" s="59">
        <f ca="1">OFFSET(総合成績評価!$B$3,A105,12)</f>
        <v>15</v>
      </c>
      <c r="M114" s="60"/>
      <c r="N114" s="60"/>
      <c r="O114" s="68">
        <f ca="1">OFFSET(総合成績評価!$B$3,A105,13)</f>
        <v>94.154857864014446</v>
      </c>
      <c r="P114" s="58"/>
      <c r="Q114" s="58"/>
      <c r="R114" s="75" t="str">
        <f ca="1">OFFSET(総合成績評価!$B$3,A105,14)</f>
        <v>A</v>
      </c>
      <c r="S114" s="75"/>
      <c r="T114" s="76"/>
    </row>
    <row r="115" spans="2:20" ht="37.5" customHeight="1" x14ac:dyDescent="0.4">
      <c r="B115" s="57" t="s">
        <v>41</v>
      </c>
      <c r="C115" s="75"/>
      <c r="D115" s="75"/>
      <c r="E115" s="75"/>
      <c r="F115" s="58">
        <f ca="1">OFFSET(総合成績評価!$B$3,A105,5)</f>
        <v>70</v>
      </c>
      <c r="G115" s="58"/>
      <c r="H115" s="58"/>
      <c r="I115" s="62"/>
      <c r="J115" s="63"/>
      <c r="K115" s="64"/>
      <c r="L115" s="62"/>
      <c r="M115" s="63"/>
      <c r="N115" s="63"/>
      <c r="O115" s="68">
        <f ca="1">OFFSET(総合成績評価!$B$3,A105,15)</f>
        <v>100</v>
      </c>
      <c r="P115" s="58"/>
      <c r="Q115" s="58"/>
      <c r="R115" s="75" t="str">
        <f ca="1">OFFSET(総合成績評価!$B$3,A105,16)</f>
        <v>A</v>
      </c>
      <c r="S115" s="75"/>
      <c r="T115" s="76"/>
    </row>
    <row r="116" spans="2:20" ht="37.5" customHeight="1" x14ac:dyDescent="0.4">
      <c r="B116" s="57" t="s">
        <v>42</v>
      </c>
      <c r="C116" s="75"/>
      <c r="D116" s="75"/>
      <c r="E116" s="75"/>
      <c r="F116" s="58">
        <f ca="1">OFFSET(総合成績評価!$B$3,A105,6)</f>
        <v>57.997298311401337</v>
      </c>
      <c r="G116" s="58"/>
      <c r="H116" s="58"/>
      <c r="I116" s="62"/>
      <c r="J116" s="63"/>
      <c r="K116" s="64"/>
      <c r="L116" s="62"/>
      <c r="M116" s="63"/>
      <c r="N116" s="63"/>
      <c r="O116" s="68">
        <f ca="1">OFFSET(総合成績評価!$B$3,A105,17)</f>
        <v>87.997298311401337</v>
      </c>
      <c r="P116" s="58"/>
      <c r="Q116" s="58"/>
      <c r="R116" s="75" t="str">
        <f ca="1">OFFSET(総合成績評価!$B$3,A105,18)</f>
        <v>A</v>
      </c>
      <c r="S116" s="75"/>
      <c r="T116" s="76"/>
    </row>
    <row r="117" spans="2:20" ht="37.5" customHeight="1" x14ac:dyDescent="0.4">
      <c r="B117" s="57" t="s">
        <v>43</v>
      </c>
      <c r="C117" s="75"/>
      <c r="D117" s="75"/>
      <c r="E117" s="75"/>
      <c r="F117" s="58">
        <f ca="1">OFFSET(総合成績評価!$B$3,A105,7)</f>
        <v>69.186152827230273</v>
      </c>
      <c r="G117" s="58"/>
      <c r="H117" s="58"/>
      <c r="I117" s="62"/>
      <c r="J117" s="63"/>
      <c r="K117" s="64"/>
      <c r="L117" s="62"/>
      <c r="M117" s="63"/>
      <c r="N117" s="63"/>
      <c r="O117" s="68">
        <f ca="1">OFFSET(総合成績評価!$B$3,A105,19)</f>
        <v>99.186152827230273</v>
      </c>
      <c r="P117" s="58"/>
      <c r="Q117" s="58"/>
      <c r="R117" s="75" t="str">
        <f ca="1">OFFSET(総合成績評価!$B$3,A105,20)</f>
        <v>A</v>
      </c>
      <c r="S117" s="75"/>
      <c r="T117" s="76"/>
    </row>
    <row r="118" spans="2:20" ht="37.5" customHeight="1" x14ac:dyDescent="0.4">
      <c r="B118" s="57" t="s">
        <v>44</v>
      </c>
      <c r="C118" s="75"/>
      <c r="D118" s="75"/>
      <c r="E118" s="75"/>
      <c r="F118" s="58">
        <f ca="1">OFFSET(総合成績評価!$B$3,A105,8)</f>
        <v>54.695796757445265</v>
      </c>
      <c r="G118" s="58"/>
      <c r="H118" s="58"/>
      <c r="I118" s="62"/>
      <c r="J118" s="63"/>
      <c r="K118" s="64"/>
      <c r="L118" s="62"/>
      <c r="M118" s="63"/>
      <c r="N118" s="63"/>
      <c r="O118" s="68">
        <f ca="1">OFFSET(総合成績評価!$B$3,A105,21)</f>
        <v>84.695796757445265</v>
      </c>
      <c r="P118" s="58"/>
      <c r="Q118" s="58"/>
      <c r="R118" s="75" t="str">
        <f ca="1">OFFSET(総合成績評価!$B$3,A105,22)</f>
        <v>A</v>
      </c>
      <c r="S118" s="75"/>
      <c r="T118" s="76"/>
    </row>
    <row r="119" spans="2:20" ht="37.5" customHeight="1" thickBot="1" x14ac:dyDescent="0.45">
      <c r="B119" s="77" t="s">
        <v>45</v>
      </c>
      <c r="C119" s="70"/>
      <c r="D119" s="70"/>
      <c r="E119" s="70"/>
      <c r="F119" s="78">
        <f ca="1">OFFSET(総合成績評価!$B$3,A105,9)</f>
        <v>63.128331356602217</v>
      </c>
      <c r="G119" s="78"/>
      <c r="H119" s="78"/>
      <c r="I119" s="62"/>
      <c r="J119" s="63"/>
      <c r="K119" s="64"/>
      <c r="L119" s="62"/>
      <c r="M119" s="63"/>
      <c r="N119" s="63"/>
      <c r="O119" s="79">
        <f ca="1">OFFSET(総合成績評価!$B$3,A105,23)</f>
        <v>93.128331356602217</v>
      </c>
      <c r="P119" s="78"/>
      <c r="Q119" s="78"/>
      <c r="R119" s="70" t="str">
        <f ca="1">OFFSET(総合成績評価!$B$3,A105,24)</f>
        <v>A</v>
      </c>
      <c r="S119" s="70"/>
      <c r="T119" s="80"/>
    </row>
    <row r="120" spans="2:20" ht="37.5" customHeight="1" thickTop="1" thickBot="1" x14ac:dyDescent="0.45">
      <c r="B120" s="81" t="s">
        <v>46</v>
      </c>
      <c r="C120" s="82"/>
      <c r="D120" s="82"/>
      <c r="E120" s="82"/>
      <c r="F120" s="83">
        <f ca="1">OFFSET(総合成績評価!$B$3,A105,10)</f>
        <v>64.481795982841405</v>
      </c>
      <c r="G120" s="83"/>
      <c r="H120" s="83"/>
      <c r="I120" s="65"/>
      <c r="J120" s="66"/>
      <c r="K120" s="67"/>
      <c r="L120" s="65"/>
      <c r="M120" s="66"/>
      <c r="N120" s="66"/>
      <c r="O120" s="84">
        <f ca="1">OFFSET(総合成績評価!$B$3,A105,25)</f>
        <v>94.481795982841405</v>
      </c>
      <c r="P120" s="85"/>
      <c r="Q120" s="85"/>
      <c r="R120" s="86" t="str">
        <f ca="1">OFFSET(総合成績評価!$B$3,A105,26)</f>
        <v>A</v>
      </c>
      <c r="S120" s="86"/>
      <c r="T120" s="87"/>
    </row>
    <row r="131" spans="1:20" ht="22.5" customHeight="1" x14ac:dyDescent="0.4">
      <c r="A131" s="35">
        <f>A105+1</f>
        <v>5</v>
      </c>
      <c r="B131" s="43" t="s">
        <v>29</v>
      </c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</row>
    <row r="132" spans="1:20" ht="22.5" customHeight="1" x14ac:dyDescent="0.4"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</row>
    <row r="133" spans="1:20" ht="22.5" customHeight="1" x14ac:dyDescent="0.4"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44" t="s">
        <v>49</v>
      </c>
      <c r="O133" s="44"/>
      <c r="P133" s="44"/>
      <c r="Q133" s="45">
        <f ca="1">TODAY()</f>
        <v>45721</v>
      </c>
      <c r="R133" s="46"/>
      <c r="S133" s="46"/>
      <c r="T133" s="46"/>
    </row>
    <row r="134" spans="1:20" ht="33.75" customHeight="1" x14ac:dyDescent="0.4">
      <c r="B134" s="47" t="s">
        <v>50</v>
      </c>
      <c r="C134" s="48"/>
      <c r="D134" s="48"/>
      <c r="E134" s="48"/>
      <c r="F134" s="49">
        <f ca="1">OFFSET(総合成績評価!$B$3,A131,0)</f>
        <v>2304072</v>
      </c>
      <c r="G134" s="49"/>
      <c r="H134" s="49"/>
      <c r="I134" s="4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</row>
    <row r="135" spans="1:20" ht="33.75" customHeight="1" x14ac:dyDescent="0.4">
      <c r="B135" s="47" t="s">
        <v>51</v>
      </c>
      <c r="C135" s="48"/>
      <c r="D135" s="48"/>
      <c r="E135" s="48"/>
      <c r="F135" s="50" t="str">
        <f ca="1">OFFSET(総合成績評価!$B$3,A131,1)</f>
        <v>2-1</v>
      </c>
      <c r="G135" s="50"/>
      <c r="H135" s="50"/>
      <c r="I135" s="50"/>
      <c r="J135" s="38"/>
      <c r="K135" s="38"/>
      <c r="L135" s="38"/>
      <c r="M135" s="47" t="s">
        <v>48</v>
      </c>
      <c r="N135" s="47"/>
      <c r="O135" s="47"/>
      <c r="P135" s="47"/>
      <c r="Q135" s="51">
        <f ca="1">VALUE(VLOOKUP(F134,入力②出席率!B:G,6))</f>
        <v>0.98809999999999898</v>
      </c>
      <c r="R135" s="51"/>
      <c r="S135" s="51"/>
      <c r="T135" s="51"/>
    </row>
    <row r="136" spans="1:20" ht="33.75" customHeight="1" x14ac:dyDescent="0.4">
      <c r="B136" s="47" t="s">
        <v>52</v>
      </c>
      <c r="C136" s="48"/>
      <c r="D136" s="48"/>
      <c r="E136" s="48"/>
      <c r="F136" s="69" t="str">
        <f ca="1">OFFSET(総合成績評価!$B$3,A131,3)</f>
        <v>ARKAR HEIN</v>
      </c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69"/>
    </row>
    <row r="137" spans="1:20" ht="22.5" customHeight="1" thickBot="1" x14ac:dyDescent="0.45">
      <c r="B137" s="41" t="s">
        <v>47</v>
      </c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</row>
    <row r="138" spans="1:20" ht="22.5" customHeight="1" x14ac:dyDescent="0.4">
      <c r="F138" s="70" t="s">
        <v>30</v>
      </c>
      <c r="G138" s="70"/>
      <c r="H138" s="70"/>
      <c r="I138" s="70" t="s">
        <v>31</v>
      </c>
      <c r="J138" s="70"/>
      <c r="K138" s="70"/>
      <c r="L138" s="70" t="s">
        <v>32</v>
      </c>
      <c r="M138" s="70"/>
      <c r="N138" s="71"/>
      <c r="O138" s="72" t="s">
        <v>33</v>
      </c>
      <c r="P138" s="73"/>
      <c r="Q138" s="73"/>
      <c r="R138" s="73" t="s">
        <v>34</v>
      </c>
      <c r="S138" s="73"/>
      <c r="T138" s="74"/>
    </row>
    <row r="139" spans="1:20" ht="30" customHeight="1" x14ac:dyDescent="0.4">
      <c r="F139" s="54" t="s">
        <v>35</v>
      </c>
      <c r="G139" s="88"/>
      <c r="H139" s="89"/>
      <c r="I139" s="53" t="s">
        <v>36</v>
      </c>
      <c r="J139" s="53"/>
      <c r="K139" s="53"/>
      <c r="L139" s="53" t="s">
        <v>37</v>
      </c>
      <c r="M139" s="52"/>
      <c r="N139" s="54"/>
      <c r="O139" s="55" t="s">
        <v>38</v>
      </c>
      <c r="P139" s="52"/>
      <c r="Q139" s="52"/>
      <c r="R139" s="52" t="s">
        <v>39</v>
      </c>
      <c r="S139" s="52"/>
      <c r="T139" s="56"/>
    </row>
    <row r="140" spans="1:20" ht="37.5" customHeight="1" x14ac:dyDescent="0.4">
      <c r="B140" s="57" t="s">
        <v>40</v>
      </c>
      <c r="C140" s="57"/>
      <c r="D140" s="57"/>
      <c r="E140" s="57"/>
      <c r="F140" s="58">
        <f ca="1">OFFSET(総合成績評価!$B$3,A131,4)</f>
        <v>60.601638190788336</v>
      </c>
      <c r="G140" s="58"/>
      <c r="H140" s="58"/>
      <c r="I140" s="59">
        <f ca="1">OFFSET(総合成績評価!$B$3,A131,11)</f>
        <v>14.464499999999955</v>
      </c>
      <c r="J140" s="60"/>
      <c r="K140" s="61"/>
      <c r="L140" s="59">
        <f ca="1">OFFSET(総合成績評価!$B$3,A131,12)</f>
        <v>15</v>
      </c>
      <c r="M140" s="60"/>
      <c r="N140" s="60"/>
      <c r="O140" s="68">
        <f ca="1">OFFSET(総合成績評価!$B$3,A131,13)</f>
        <v>90.066138190788294</v>
      </c>
      <c r="P140" s="58"/>
      <c r="Q140" s="58"/>
      <c r="R140" s="75" t="str">
        <f ca="1">OFFSET(総合成績評価!$B$3,A131,14)</f>
        <v>A</v>
      </c>
      <c r="S140" s="75"/>
      <c r="T140" s="76"/>
    </row>
    <row r="141" spans="1:20" ht="37.5" customHeight="1" x14ac:dyDescent="0.4">
      <c r="B141" s="57" t="s">
        <v>41</v>
      </c>
      <c r="C141" s="75"/>
      <c r="D141" s="75"/>
      <c r="E141" s="75"/>
      <c r="F141" s="58">
        <f ca="1">OFFSET(総合成績評価!$B$3,A131,5)</f>
        <v>63.006989545973497</v>
      </c>
      <c r="G141" s="58"/>
      <c r="H141" s="58"/>
      <c r="I141" s="62"/>
      <c r="J141" s="63"/>
      <c r="K141" s="64"/>
      <c r="L141" s="62"/>
      <c r="M141" s="63"/>
      <c r="N141" s="63"/>
      <c r="O141" s="68">
        <f ca="1">OFFSET(総合成績評価!$B$3,A131,15)</f>
        <v>92.471489545973455</v>
      </c>
      <c r="P141" s="58"/>
      <c r="Q141" s="58"/>
      <c r="R141" s="75" t="str">
        <f ca="1">OFFSET(総合成績評価!$B$3,A131,16)</f>
        <v>A</v>
      </c>
      <c r="S141" s="75"/>
      <c r="T141" s="76"/>
    </row>
    <row r="142" spans="1:20" ht="37.5" customHeight="1" x14ac:dyDescent="0.4">
      <c r="B142" s="57" t="s">
        <v>42</v>
      </c>
      <c r="C142" s="75"/>
      <c r="D142" s="75"/>
      <c r="E142" s="75"/>
      <c r="F142" s="58">
        <f ca="1">OFFSET(総合成績評価!$B$3,A131,6)</f>
        <v>54.612700407136387</v>
      </c>
      <c r="G142" s="58"/>
      <c r="H142" s="58"/>
      <c r="I142" s="62"/>
      <c r="J142" s="63"/>
      <c r="K142" s="64"/>
      <c r="L142" s="62"/>
      <c r="M142" s="63"/>
      <c r="N142" s="63"/>
      <c r="O142" s="68">
        <f ca="1">OFFSET(総合成績評価!$B$3,A131,17)</f>
        <v>84.077200407136345</v>
      </c>
      <c r="P142" s="58"/>
      <c r="Q142" s="58"/>
      <c r="R142" s="75" t="str">
        <f ca="1">OFFSET(総合成績評価!$B$3,A131,18)</f>
        <v>A</v>
      </c>
      <c r="S142" s="75"/>
      <c r="T142" s="76"/>
    </row>
    <row r="143" spans="1:20" ht="37.5" customHeight="1" x14ac:dyDescent="0.4">
      <c r="B143" s="57" t="s">
        <v>43</v>
      </c>
      <c r="C143" s="75"/>
      <c r="D143" s="75"/>
      <c r="E143" s="75"/>
      <c r="F143" s="58">
        <f ca="1">OFFSET(総合成績評価!$B$3,A131,7)</f>
        <v>62.001319556475082</v>
      </c>
      <c r="G143" s="58"/>
      <c r="H143" s="58"/>
      <c r="I143" s="62"/>
      <c r="J143" s="63"/>
      <c r="K143" s="64"/>
      <c r="L143" s="62"/>
      <c r="M143" s="63"/>
      <c r="N143" s="63"/>
      <c r="O143" s="68">
        <f ca="1">OFFSET(総合成績評価!$B$3,A131,19)</f>
        <v>91.46581955647504</v>
      </c>
      <c r="P143" s="58"/>
      <c r="Q143" s="58"/>
      <c r="R143" s="75" t="str">
        <f ca="1">OFFSET(総合成績評価!$B$3,A131,20)</f>
        <v>A</v>
      </c>
      <c r="S143" s="75"/>
      <c r="T143" s="76"/>
    </row>
    <row r="144" spans="1:20" ht="37.5" customHeight="1" x14ac:dyDescent="0.4">
      <c r="B144" s="57" t="s">
        <v>44</v>
      </c>
      <c r="C144" s="75"/>
      <c r="D144" s="75"/>
      <c r="E144" s="75"/>
      <c r="F144" s="58">
        <f ca="1">OFFSET(総合成績評価!$B$3,A131,8)</f>
        <v>59.913423374408168</v>
      </c>
      <c r="G144" s="58"/>
      <c r="H144" s="58"/>
      <c r="I144" s="62"/>
      <c r="J144" s="63"/>
      <c r="K144" s="64"/>
      <c r="L144" s="62"/>
      <c r="M144" s="63"/>
      <c r="N144" s="63"/>
      <c r="O144" s="68">
        <f ca="1">OFFSET(総合成績評価!$B$3,A131,21)</f>
        <v>89.377923374408127</v>
      </c>
      <c r="P144" s="58"/>
      <c r="Q144" s="58"/>
      <c r="R144" s="75" t="str">
        <f ca="1">OFFSET(総合成績評価!$B$3,A131,22)</f>
        <v>A</v>
      </c>
      <c r="S144" s="75"/>
      <c r="T144" s="76"/>
    </row>
    <row r="145" spans="1:20" ht="37.5" customHeight="1" thickBot="1" x14ac:dyDescent="0.45">
      <c r="B145" s="77" t="s">
        <v>45</v>
      </c>
      <c r="C145" s="70"/>
      <c r="D145" s="70"/>
      <c r="E145" s="70"/>
      <c r="F145" s="78">
        <f ca="1">OFFSET(総合成績評価!$B$3,A131,9)</f>
        <v>63.128331356602217</v>
      </c>
      <c r="G145" s="78"/>
      <c r="H145" s="78"/>
      <c r="I145" s="62"/>
      <c r="J145" s="63"/>
      <c r="K145" s="64"/>
      <c r="L145" s="62"/>
      <c r="M145" s="63"/>
      <c r="N145" s="63"/>
      <c r="O145" s="79">
        <f ca="1">OFFSET(総合成績評価!$B$3,A131,23)</f>
        <v>92.592831356602176</v>
      </c>
      <c r="P145" s="78"/>
      <c r="Q145" s="78"/>
      <c r="R145" s="70" t="str">
        <f ca="1">OFFSET(総合成績評価!$B$3,A131,24)</f>
        <v>A</v>
      </c>
      <c r="S145" s="70"/>
      <c r="T145" s="80"/>
    </row>
    <row r="146" spans="1:20" ht="37.5" customHeight="1" thickTop="1" thickBot="1" x14ac:dyDescent="0.45">
      <c r="B146" s="81" t="s">
        <v>46</v>
      </c>
      <c r="C146" s="82"/>
      <c r="D146" s="82"/>
      <c r="E146" s="82"/>
      <c r="F146" s="83">
        <f ca="1">OFFSET(総合成績評価!$B$3,A131,10)</f>
        <v>61.85604895821487</v>
      </c>
      <c r="G146" s="83"/>
      <c r="H146" s="83"/>
      <c r="I146" s="65"/>
      <c r="J146" s="66"/>
      <c r="K146" s="67"/>
      <c r="L146" s="65"/>
      <c r="M146" s="66"/>
      <c r="N146" s="66"/>
      <c r="O146" s="84">
        <f ca="1">OFFSET(総合成績評価!$B$3,A131,25)</f>
        <v>91.320548958214829</v>
      </c>
      <c r="P146" s="85"/>
      <c r="Q146" s="85"/>
      <c r="R146" s="86" t="str">
        <f ca="1">OFFSET(総合成績評価!$B$3,A131,26)</f>
        <v>A</v>
      </c>
      <c r="S146" s="86"/>
      <c r="T146" s="87"/>
    </row>
    <row r="157" spans="1:20" ht="22.5" customHeight="1" x14ac:dyDescent="0.4">
      <c r="A157" s="35">
        <f>A131+1</f>
        <v>6</v>
      </c>
      <c r="B157" s="43" t="s">
        <v>29</v>
      </c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</row>
    <row r="158" spans="1:20" ht="22.5" customHeight="1" x14ac:dyDescent="0.4"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</row>
    <row r="159" spans="1:20" ht="22.5" customHeight="1" x14ac:dyDescent="0.4"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44" t="s">
        <v>49</v>
      </c>
      <c r="O159" s="44"/>
      <c r="P159" s="44"/>
      <c r="Q159" s="45">
        <f ca="1">TODAY()</f>
        <v>45721</v>
      </c>
      <c r="R159" s="46"/>
      <c r="S159" s="46"/>
      <c r="T159" s="46"/>
    </row>
    <row r="160" spans="1:20" ht="33.75" customHeight="1" x14ac:dyDescent="0.4">
      <c r="B160" s="47" t="s">
        <v>50</v>
      </c>
      <c r="C160" s="48"/>
      <c r="D160" s="48"/>
      <c r="E160" s="48"/>
      <c r="F160" s="49">
        <f ca="1">OFFSET(総合成績評価!$B$3,A157,0)</f>
        <v>2304073</v>
      </c>
      <c r="G160" s="49"/>
      <c r="H160" s="49"/>
      <c r="I160" s="4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</row>
    <row r="161" spans="2:20" ht="33.75" customHeight="1" x14ac:dyDescent="0.4">
      <c r="B161" s="47" t="s">
        <v>51</v>
      </c>
      <c r="C161" s="48"/>
      <c r="D161" s="48"/>
      <c r="E161" s="48"/>
      <c r="F161" s="50" t="str">
        <f ca="1">OFFSET(総合成績評価!$B$3,A157,1)</f>
        <v>2-1</v>
      </c>
      <c r="G161" s="50"/>
      <c r="H161" s="50"/>
      <c r="I161" s="50"/>
      <c r="J161" s="38"/>
      <c r="K161" s="38"/>
      <c r="L161" s="38"/>
      <c r="M161" s="47" t="s">
        <v>48</v>
      </c>
      <c r="N161" s="47"/>
      <c r="O161" s="47"/>
      <c r="P161" s="47"/>
      <c r="Q161" s="51">
        <f ca="1">VALUE(VLOOKUP(F160,入力②出席率!B:G,6))</f>
        <v>0.98939999999999895</v>
      </c>
      <c r="R161" s="51"/>
      <c r="S161" s="51"/>
      <c r="T161" s="51"/>
    </row>
    <row r="162" spans="2:20" ht="33.75" customHeight="1" x14ac:dyDescent="0.4">
      <c r="B162" s="47" t="s">
        <v>52</v>
      </c>
      <c r="C162" s="48"/>
      <c r="D162" s="48"/>
      <c r="E162" s="48"/>
      <c r="F162" s="69" t="str">
        <f ca="1">OFFSET(総合成績評価!$B$3,A157,3)</f>
        <v>WIN THEINGI SHWE</v>
      </c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</row>
    <row r="163" spans="2:20" ht="22.5" customHeight="1" thickBot="1" x14ac:dyDescent="0.45">
      <c r="B163" s="41" t="s">
        <v>47</v>
      </c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</row>
    <row r="164" spans="2:20" ht="22.5" customHeight="1" x14ac:dyDescent="0.4">
      <c r="F164" s="70" t="s">
        <v>30</v>
      </c>
      <c r="G164" s="70"/>
      <c r="H164" s="70"/>
      <c r="I164" s="70" t="s">
        <v>31</v>
      </c>
      <c r="J164" s="70"/>
      <c r="K164" s="70"/>
      <c r="L164" s="70" t="s">
        <v>32</v>
      </c>
      <c r="M164" s="70"/>
      <c r="N164" s="71"/>
      <c r="O164" s="72" t="s">
        <v>33</v>
      </c>
      <c r="P164" s="73"/>
      <c r="Q164" s="73"/>
      <c r="R164" s="73" t="s">
        <v>34</v>
      </c>
      <c r="S164" s="73"/>
      <c r="T164" s="74"/>
    </row>
    <row r="165" spans="2:20" ht="30" customHeight="1" x14ac:dyDescent="0.4">
      <c r="F165" s="54" t="s">
        <v>35</v>
      </c>
      <c r="G165" s="88"/>
      <c r="H165" s="89"/>
      <c r="I165" s="53" t="s">
        <v>36</v>
      </c>
      <c r="J165" s="53"/>
      <c r="K165" s="53"/>
      <c r="L165" s="53" t="s">
        <v>37</v>
      </c>
      <c r="M165" s="52"/>
      <c r="N165" s="54"/>
      <c r="O165" s="55" t="s">
        <v>38</v>
      </c>
      <c r="P165" s="52"/>
      <c r="Q165" s="52"/>
      <c r="R165" s="52" t="s">
        <v>39</v>
      </c>
      <c r="S165" s="52"/>
      <c r="T165" s="56"/>
    </row>
    <row r="166" spans="2:20" ht="37.5" customHeight="1" x14ac:dyDescent="0.4">
      <c r="B166" s="57" t="s">
        <v>40</v>
      </c>
      <c r="C166" s="57"/>
      <c r="D166" s="57"/>
      <c r="E166" s="57"/>
      <c r="F166" s="58">
        <f ca="1">OFFSET(総合成績評価!$B$3,A157,4)</f>
        <v>64.154857864014446</v>
      </c>
      <c r="G166" s="58"/>
      <c r="H166" s="58"/>
      <c r="I166" s="59">
        <f ca="1">OFFSET(総合成績評価!$B$3,A157,11)</f>
        <v>14.522999999999954</v>
      </c>
      <c r="J166" s="60"/>
      <c r="K166" s="61"/>
      <c r="L166" s="59">
        <f ca="1">OFFSET(総合成績評価!$B$3,A157,12)</f>
        <v>15</v>
      </c>
      <c r="M166" s="60"/>
      <c r="N166" s="60"/>
      <c r="O166" s="68">
        <f ca="1">OFFSET(総合成績評価!$B$3,A157,13)</f>
        <v>93.677857864014399</v>
      </c>
      <c r="P166" s="58"/>
      <c r="Q166" s="58"/>
      <c r="R166" s="75" t="str">
        <f ca="1">OFFSET(総合成績評価!$B$3,A157,14)</f>
        <v>A</v>
      </c>
      <c r="S166" s="75"/>
      <c r="T166" s="76"/>
    </row>
    <row r="167" spans="2:20" ht="37.5" customHeight="1" x14ac:dyDescent="0.4">
      <c r="B167" s="57" t="s">
        <v>41</v>
      </c>
      <c r="C167" s="75"/>
      <c r="D167" s="75"/>
      <c r="E167" s="75"/>
      <c r="F167" s="58">
        <f ca="1">OFFSET(総合成績評価!$B$3,A157,5)</f>
        <v>63.006989545973497</v>
      </c>
      <c r="G167" s="58"/>
      <c r="H167" s="58"/>
      <c r="I167" s="62"/>
      <c r="J167" s="63"/>
      <c r="K167" s="64"/>
      <c r="L167" s="62"/>
      <c r="M167" s="63"/>
      <c r="N167" s="63"/>
      <c r="O167" s="68">
        <f ca="1">OFFSET(総合成績評価!$B$3,A157,15)</f>
        <v>92.52998954597345</v>
      </c>
      <c r="P167" s="58"/>
      <c r="Q167" s="58"/>
      <c r="R167" s="75" t="str">
        <f ca="1">OFFSET(総合成績評価!$B$3,A157,16)</f>
        <v>A</v>
      </c>
      <c r="S167" s="75"/>
      <c r="T167" s="76"/>
    </row>
    <row r="168" spans="2:20" ht="37.5" customHeight="1" x14ac:dyDescent="0.4">
      <c r="B168" s="57" t="s">
        <v>42</v>
      </c>
      <c r="C168" s="75"/>
      <c r="D168" s="75"/>
      <c r="E168" s="75"/>
      <c r="F168" s="58">
        <f ca="1">OFFSET(総合成績評価!$B$3,A157,6)</f>
        <v>65.115269744536462</v>
      </c>
      <c r="G168" s="58"/>
      <c r="H168" s="58"/>
      <c r="I168" s="62"/>
      <c r="J168" s="63"/>
      <c r="K168" s="64"/>
      <c r="L168" s="62"/>
      <c r="M168" s="63"/>
      <c r="N168" s="63"/>
      <c r="O168" s="68">
        <f ca="1">OFFSET(総合成績評価!$B$3,A157,17)</f>
        <v>94.638269744536416</v>
      </c>
      <c r="P168" s="58"/>
      <c r="Q168" s="58"/>
      <c r="R168" s="75" t="str">
        <f ca="1">OFFSET(総合成績評価!$B$3,A157,18)</f>
        <v>A</v>
      </c>
      <c r="S168" s="75"/>
      <c r="T168" s="76"/>
    </row>
    <row r="169" spans="2:20" ht="37.5" customHeight="1" x14ac:dyDescent="0.4">
      <c r="B169" s="57" t="s">
        <v>43</v>
      </c>
      <c r="C169" s="75"/>
      <c r="D169" s="75"/>
      <c r="E169" s="75"/>
      <c r="F169" s="58">
        <f ca="1">OFFSET(総合成績評価!$B$3,A157,7)</f>
        <v>64.377170614539295</v>
      </c>
      <c r="G169" s="58"/>
      <c r="H169" s="58"/>
      <c r="I169" s="62"/>
      <c r="J169" s="63"/>
      <c r="K169" s="64"/>
      <c r="L169" s="62"/>
      <c r="M169" s="63"/>
      <c r="N169" s="63"/>
      <c r="O169" s="68">
        <f ca="1">OFFSET(総合成績評価!$B$3,A157,19)</f>
        <v>93.900170614539249</v>
      </c>
      <c r="P169" s="58"/>
      <c r="Q169" s="58"/>
      <c r="R169" s="75" t="str">
        <f ca="1">OFFSET(総合成績評価!$B$3,A157,20)</f>
        <v>A</v>
      </c>
      <c r="S169" s="75"/>
      <c r="T169" s="76"/>
    </row>
    <row r="170" spans="2:20" ht="37.5" customHeight="1" x14ac:dyDescent="0.4">
      <c r="B170" s="57" t="s">
        <v>44</v>
      </c>
      <c r="C170" s="75"/>
      <c r="D170" s="75"/>
      <c r="E170" s="75"/>
      <c r="F170" s="58">
        <f ca="1">OFFSET(総合成績評価!$B$3,A157,8)</f>
        <v>63.816091329348062</v>
      </c>
      <c r="G170" s="58"/>
      <c r="H170" s="58"/>
      <c r="I170" s="62"/>
      <c r="J170" s="63"/>
      <c r="K170" s="64"/>
      <c r="L170" s="62"/>
      <c r="M170" s="63"/>
      <c r="N170" s="63"/>
      <c r="O170" s="68">
        <f ca="1">OFFSET(総合成績評価!$B$3,A157,21)</f>
        <v>93.339091329348008</v>
      </c>
      <c r="P170" s="58"/>
      <c r="Q170" s="58"/>
      <c r="R170" s="75" t="str">
        <f ca="1">OFFSET(総合成績評価!$B$3,A157,22)</f>
        <v>A</v>
      </c>
      <c r="S170" s="75"/>
      <c r="T170" s="76"/>
    </row>
    <row r="171" spans="2:20" ht="37.5" customHeight="1" thickBot="1" x14ac:dyDescent="0.45">
      <c r="B171" s="77" t="s">
        <v>45</v>
      </c>
      <c r="C171" s="70"/>
      <c r="D171" s="70"/>
      <c r="E171" s="70"/>
      <c r="F171" s="78">
        <f ca="1">OFFSET(総合成績評価!$B$3,A157,9)</f>
        <v>65.547086208774402</v>
      </c>
      <c r="G171" s="78"/>
      <c r="H171" s="78"/>
      <c r="I171" s="62"/>
      <c r="J171" s="63"/>
      <c r="K171" s="64"/>
      <c r="L171" s="62"/>
      <c r="M171" s="63"/>
      <c r="N171" s="63"/>
      <c r="O171" s="79">
        <f ca="1">OFFSET(総合成績評価!$B$3,A157,23)</f>
        <v>95.070086208774356</v>
      </c>
      <c r="P171" s="78"/>
      <c r="Q171" s="78"/>
      <c r="R171" s="70" t="str">
        <f ca="1">OFFSET(総合成績評価!$B$3,A157,24)</f>
        <v>A</v>
      </c>
      <c r="S171" s="70"/>
      <c r="T171" s="80"/>
    </row>
    <row r="172" spans="2:20" ht="37.5" customHeight="1" thickTop="1" thickBot="1" x14ac:dyDescent="0.45">
      <c r="B172" s="81" t="s">
        <v>46</v>
      </c>
      <c r="C172" s="82"/>
      <c r="D172" s="82"/>
      <c r="E172" s="82"/>
      <c r="F172" s="83">
        <f ca="1">OFFSET(総合成績評価!$B$3,A157,10)</f>
        <v>65.584432436655078</v>
      </c>
      <c r="G172" s="83"/>
      <c r="H172" s="83"/>
      <c r="I172" s="65"/>
      <c r="J172" s="66"/>
      <c r="K172" s="67"/>
      <c r="L172" s="65"/>
      <c r="M172" s="66"/>
      <c r="N172" s="66"/>
      <c r="O172" s="84">
        <f ca="1">OFFSET(総合成績評価!$B$3,A157,25)</f>
        <v>95.107432436655031</v>
      </c>
      <c r="P172" s="85"/>
      <c r="Q172" s="85"/>
      <c r="R172" s="86" t="str">
        <f ca="1">OFFSET(総合成績評価!$B$3,A157,26)</f>
        <v>A</v>
      </c>
      <c r="S172" s="86"/>
      <c r="T172" s="87"/>
    </row>
    <row r="183" spans="1:20" ht="22.5" customHeight="1" x14ac:dyDescent="0.4">
      <c r="A183" s="35">
        <f>A157+1</f>
        <v>7</v>
      </c>
      <c r="B183" s="43" t="s">
        <v>29</v>
      </c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</row>
    <row r="184" spans="1:20" ht="22.5" customHeight="1" x14ac:dyDescent="0.4"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</row>
    <row r="185" spans="1:20" ht="22.5" customHeight="1" x14ac:dyDescent="0.4"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44" t="s">
        <v>49</v>
      </c>
      <c r="O185" s="44"/>
      <c r="P185" s="44"/>
      <c r="Q185" s="45">
        <f ca="1">TODAY()</f>
        <v>45721</v>
      </c>
      <c r="R185" s="46"/>
      <c r="S185" s="46"/>
      <c r="T185" s="46"/>
    </row>
    <row r="186" spans="1:20" ht="33.75" customHeight="1" x14ac:dyDescent="0.4">
      <c r="B186" s="47" t="s">
        <v>50</v>
      </c>
      <c r="C186" s="48"/>
      <c r="D186" s="48"/>
      <c r="E186" s="48"/>
      <c r="F186" s="49">
        <f ca="1">OFFSET(総合成績評価!$B$3,A183,0)</f>
        <v>2304074</v>
      </c>
      <c r="G186" s="49"/>
      <c r="H186" s="49"/>
      <c r="I186" s="49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</row>
    <row r="187" spans="1:20" ht="33.75" customHeight="1" x14ac:dyDescent="0.4">
      <c r="B187" s="47" t="s">
        <v>51</v>
      </c>
      <c r="C187" s="48"/>
      <c r="D187" s="48"/>
      <c r="E187" s="48"/>
      <c r="F187" s="50" t="str">
        <f ca="1">OFFSET(総合成績評価!$B$3,A183,1)</f>
        <v>2-1</v>
      </c>
      <c r="G187" s="50"/>
      <c r="H187" s="50"/>
      <c r="I187" s="50"/>
      <c r="J187" s="38"/>
      <c r="K187" s="38"/>
      <c r="L187" s="38"/>
      <c r="M187" s="47" t="s">
        <v>48</v>
      </c>
      <c r="N187" s="47"/>
      <c r="O187" s="47"/>
      <c r="P187" s="47"/>
      <c r="Q187" s="51">
        <f ca="1">VALUE(VLOOKUP(F186,入力②出席率!B:G,6))</f>
        <v>0.97770000000000001</v>
      </c>
      <c r="R187" s="51"/>
      <c r="S187" s="51"/>
      <c r="T187" s="51"/>
    </row>
    <row r="188" spans="1:20" ht="33.75" customHeight="1" x14ac:dyDescent="0.4">
      <c r="B188" s="47" t="s">
        <v>52</v>
      </c>
      <c r="C188" s="48"/>
      <c r="D188" s="48"/>
      <c r="E188" s="48"/>
      <c r="F188" s="69" t="str">
        <f ca="1">OFFSET(総合成績評価!$B$3,A183,3)</f>
        <v>MAY THINZAR KYAW</v>
      </c>
      <c r="G188" s="69"/>
      <c r="H188" s="69"/>
      <c r="I188" s="69"/>
      <c r="J188" s="69"/>
      <c r="K188" s="69"/>
      <c r="L188" s="69"/>
      <c r="M188" s="69"/>
      <c r="N188" s="69"/>
      <c r="O188" s="69"/>
      <c r="P188" s="69"/>
      <c r="Q188" s="69"/>
      <c r="R188" s="69"/>
      <c r="S188" s="69"/>
      <c r="T188" s="69"/>
    </row>
    <row r="189" spans="1:20" ht="22.5" customHeight="1" thickBot="1" x14ac:dyDescent="0.45">
      <c r="B189" s="41" t="s">
        <v>47</v>
      </c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</row>
    <row r="190" spans="1:20" ht="22.5" customHeight="1" x14ac:dyDescent="0.4">
      <c r="F190" s="70" t="s">
        <v>30</v>
      </c>
      <c r="G190" s="70"/>
      <c r="H190" s="70"/>
      <c r="I190" s="70" t="s">
        <v>31</v>
      </c>
      <c r="J190" s="70"/>
      <c r="K190" s="70"/>
      <c r="L190" s="70" t="s">
        <v>32</v>
      </c>
      <c r="M190" s="70"/>
      <c r="N190" s="71"/>
      <c r="O190" s="72" t="s">
        <v>33</v>
      </c>
      <c r="P190" s="73"/>
      <c r="Q190" s="73"/>
      <c r="R190" s="73" t="s">
        <v>34</v>
      </c>
      <c r="S190" s="73"/>
      <c r="T190" s="74"/>
    </row>
    <row r="191" spans="1:20" ht="30" customHeight="1" x14ac:dyDescent="0.4">
      <c r="F191" s="54" t="s">
        <v>35</v>
      </c>
      <c r="G191" s="88"/>
      <c r="H191" s="89"/>
      <c r="I191" s="53" t="s">
        <v>36</v>
      </c>
      <c r="J191" s="53"/>
      <c r="K191" s="53"/>
      <c r="L191" s="53" t="s">
        <v>37</v>
      </c>
      <c r="M191" s="52"/>
      <c r="N191" s="54"/>
      <c r="O191" s="55" t="s">
        <v>38</v>
      </c>
      <c r="P191" s="52"/>
      <c r="Q191" s="52"/>
      <c r="R191" s="52" t="s">
        <v>39</v>
      </c>
      <c r="S191" s="52"/>
      <c r="T191" s="56"/>
    </row>
    <row r="192" spans="1:20" ht="37.5" customHeight="1" x14ac:dyDescent="0.4">
      <c r="B192" s="57" t="s">
        <v>40</v>
      </c>
      <c r="C192" s="57"/>
      <c r="D192" s="57"/>
      <c r="E192" s="57"/>
      <c r="F192" s="58">
        <f ca="1">OFFSET(総合成績評価!$B$3,A183,4)</f>
        <v>52.651538654123257</v>
      </c>
      <c r="G192" s="58"/>
      <c r="H192" s="58"/>
      <c r="I192" s="59">
        <f ca="1">OFFSET(総合成績評価!$B$3,A183,11)</f>
        <v>13.996500000000001</v>
      </c>
      <c r="J192" s="60"/>
      <c r="K192" s="61"/>
      <c r="L192" s="59">
        <f ca="1">OFFSET(総合成績評価!$B$3,A183,12)</f>
        <v>15</v>
      </c>
      <c r="M192" s="60"/>
      <c r="N192" s="60"/>
      <c r="O192" s="68">
        <f ca="1">OFFSET(総合成績評価!$B$3,A183,13)</f>
        <v>81.648038654123255</v>
      </c>
      <c r="P192" s="58"/>
      <c r="Q192" s="58"/>
      <c r="R192" s="75" t="str">
        <f ca="1">OFFSET(総合成績評価!$B$3,A183,14)</f>
        <v>A</v>
      </c>
      <c r="S192" s="75"/>
      <c r="T192" s="76"/>
    </row>
    <row r="193" spans="2:20" ht="37.5" customHeight="1" x14ac:dyDescent="0.4">
      <c r="B193" s="57" t="s">
        <v>41</v>
      </c>
      <c r="C193" s="75"/>
      <c r="D193" s="75"/>
      <c r="E193" s="75"/>
      <c r="F193" s="58">
        <f ca="1">OFFSET(総合成績評価!$B$3,A183,5)</f>
        <v>66.884433679444314</v>
      </c>
      <c r="G193" s="58"/>
      <c r="H193" s="58"/>
      <c r="I193" s="62"/>
      <c r="J193" s="63"/>
      <c r="K193" s="64"/>
      <c r="L193" s="62"/>
      <c r="M193" s="63"/>
      <c r="N193" s="63"/>
      <c r="O193" s="68">
        <f ca="1">OFFSET(総合成績評価!$B$3,A183,15)</f>
        <v>95.880933679444311</v>
      </c>
      <c r="P193" s="58"/>
      <c r="Q193" s="58"/>
      <c r="R193" s="75" t="str">
        <f ca="1">OFFSET(総合成績評価!$B$3,A183,16)</f>
        <v>A</v>
      </c>
      <c r="S193" s="75"/>
      <c r="T193" s="76"/>
    </row>
    <row r="194" spans="2:20" ht="37.5" customHeight="1" x14ac:dyDescent="0.4">
      <c r="B194" s="57" t="s">
        <v>42</v>
      </c>
      <c r="C194" s="75"/>
      <c r="D194" s="75"/>
      <c r="E194" s="75"/>
      <c r="F194" s="58">
        <f ca="1">OFFSET(総合成績評価!$B$3,A183,6)</f>
        <v>70</v>
      </c>
      <c r="G194" s="58"/>
      <c r="H194" s="58"/>
      <c r="I194" s="62"/>
      <c r="J194" s="63"/>
      <c r="K194" s="64"/>
      <c r="L194" s="62"/>
      <c r="M194" s="63"/>
      <c r="N194" s="63"/>
      <c r="O194" s="68">
        <f ca="1">OFFSET(総合成績評価!$B$3,A183,17)</f>
        <v>98.996499999999997</v>
      </c>
      <c r="P194" s="58"/>
      <c r="Q194" s="58"/>
      <c r="R194" s="75" t="str">
        <f ca="1">OFFSET(総合成績評価!$B$3,A183,18)</f>
        <v>A</v>
      </c>
      <c r="S194" s="75"/>
      <c r="T194" s="76"/>
    </row>
    <row r="195" spans="2:20" ht="37.5" customHeight="1" x14ac:dyDescent="0.4">
      <c r="B195" s="57" t="s">
        <v>43</v>
      </c>
      <c r="C195" s="75"/>
      <c r="D195" s="75"/>
      <c r="E195" s="75"/>
      <c r="F195" s="58">
        <f ca="1">OFFSET(総合成績評価!$B$3,A183,7)</f>
        <v>64.837878039453628</v>
      </c>
      <c r="G195" s="58"/>
      <c r="H195" s="58"/>
      <c r="I195" s="62"/>
      <c r="J195" s="63"/>
      <c r="K195" s="64"/>
      <c r="L195" s="62"/>
      <c r="M195" s="63"/>
      <c r="N195" s="63"/>
      <c r="O195" s="68">
        <f ca="1">OFFSET(総合成績評価!$B$3,A183,19)</f>
        <v>93.834378039453625</v>
      </c>
      <c r="P195" s="58"/>
      <c r="Q195" s="58"/>
      <c r="R195" s="75" t="str">
        <f ca="1">OFFSET(総合成績評価!$B$3,A183,20)</f>
        <v>A</v>
      </c>
      <c r="S195" s="75"/>
      <c r="T195" s="76"/>
    </row>
    <row r="196" spans="2:20" ht="37.5" customHeight="1" x14ac:dyDescent="0.4">
      <c r="B196" s="57" t="s">
        <v>44</v>
      </c>
      <c r="C196" s="75"/>
      <c r="D196" s="75"/>
      <c r="E196" s="75"/>
      <c r="F196" s="58">
        <f ca="1">OFFSET(総合成績評価!$B$3,A183,8)</f>
        <v>63.397945590311593</v>
      </c>
      <c r="G196" s="58"/>
      <c r="H196" s="58"/>
      <c r="I196" s="62"/>
      <c r="J196" s="63"/>
      <c r="K196" s="64"/>
      <c r="L196" s="62"/>
      <c r="M196" s="63"/>
      <c r="N196" s="63"/>
      <c r="O196" s="68">
        <f ca="1">OFFSET(総合成績評価!$B$3,A183,21)</f>
        <v>92.394445590311591</v>
      </c>
      <c r="P196" s="58"/>
      <c r="Q196" s="58"/>
      <c r="R196" s="75" t="str">
        <f ca="1">OFFSET(総合成績評価!$B$3,A183,22)</f>
        <v>A</v>
      </c>
      <c r="S196" s="75"/>
      <c r="T196" s="76"/>
    </row>
    <row r="197" spans="2:20" ht="37.5" customHeight="1" thickBot="1" x14ac:dyDescent="0.45">
      <c r="B197" s="77" t="s">
        <v>45</v>
      </c>
      <c r="C197" s="70"/>
      <c r="D197" s="70"/>
      <c r="E197" s="70"/>
      <c r="F197" s="78">
        <f ca="1">OFFSET(総合成績評価!$B$3,A183,9)</f>
        <v>63.949095501908587</v>
      </c>
      <c r="G197" s="78"/>
      <c r="H197" s="78"/>
      <c r="I197" s="62"/>
      <c r="J197" s="63"/>
      <c r="K197" s="64"/>
      <c r="L197" s="62"/>
      <c r="M197" s="63"/>
      <c r="N197" s="63"/>
      <c r="O197" s="79">
        <f ca="1">OFFSET(総合成績評価!$B$3,A183,23)</f>
        <v>92.945595501908585</v>
      </c>
      <c r="P197" s="78"/>
      <c r="Q197" s="78"/>
      <c r="R197" s="70" t="str">
        <f ca="1">OFFSET(総合成績評価!$B$3,A183,24)</f>
        <v>A</v>
      </c>
      <c r="S197" s="70"/>
      <c r="T197" s="80"/>
    </row>
    <row r="198" spans="2:20" ht="37.5" customHeight="1" thickTop="1" thickBot="1" x14ac:dyDescent="0.45">
      <c r="B198" s="81" t="s">
        <v>46</v>
      </c>
      <c r="C198" s="82"/>
      <c r="D198" s="82"/>
      <c r="E198" s="82"/>
      <c r="F198" s="83">
        <f ca="1">OFFSET(総合成績評価!$B$3,A183,10)</f>
        <v>65.350485957722753</v>
      </c>
      <c r="G198" s="83"/>
      <c r="H198" s="83"/>
      <c r="I198" s="65"/>
      <c r="J198" s="66"/>
      <c r="K198" s="67"/>
      <c r="L198" s="65"/>
      <c r="M198" s="66"/>
      <c r="N198" s="66"/>
      <c r="O198" s="84">
        <f ca="1">OFFSET(総合成績評価!$B$3,A183,25)</f>
        <v>94.346985957722751</v>
      </c>
      <c r="P198" s="85"/>
      <c r="Q198" s="85"/>
      <c r="R198" s="86" t="str">
        <f ca="1">OFFSET(総合成績評価!$B$3,A183,26)</f>
        <v>A</v>
      </c>
      <c r="S198" s="86"/>
      <c r="T198" s="87"/>
    </row>
    <row r="209" spans="1:20" ht="22.5" customHeight="1" x14ac:dyDescent="0.4">
      <c r="A209" s="35">
        <f>A183+1</f>
        <v>8</v>
      </c>
      <c r="B209" s="43" t="s">
        <v>29</v>
      </c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</row>
    <row r="210" spans="1:20" ht="22.5" customHeight="1" x14ac:dyDescent="0.4"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</row>
    <row r="211" spans="1:20" ht="22.5" customHeight="1" x14ac:dyDescent="0.4"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44" t="s">
        <v>49</v>
      </c>
      <c r="O211" s="44"/>
      <c r="P211" s="44"/>
      <c r="Q211" s="45">
        <f ca="1">TODAY()</f>
        <v>45721</v>
      </c>
      <c r="R211" s="46"/>
      <c r="S211" s="46"/>
      <c r="T211" s="46"/>
    </row>
    <row r="212" spans="1:20" ht="33.75" customHeight="1" x14ac:dyDescent="0.4">
      <c r="B212" s="47" t="s">
        <v>50</v>
      </c>
      <c r="C212" s="48"/>
      <c r="D212" s="48"/>
      <c r="E212" s="48"/>
      <c r="F212" s="49">
        <f ca="1">OFFSET(総合成績評価!$B$3,A209,0)</f>
        <v>2304075</v>
      </c>
      <c r="G212" s="49"/>
      <c r="H212" s="49"/>
      <c r="I212" s="49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</row>
    <row r="213" spans="1:20" ht="33.75" customHeight="1" x14ac:dyDescent="0.4">
      <c r="B213" s="47" t="s">
        <v>51</v>
      </c>
      <c r="C213" s="48"/>
      <c r="D213" s="48"/>
      <c r="E213" s="48"/>
      <c r="F213" s="50" t="str">
        <f ca="1">OFFSET(総合成績評価!$B$3,A209,1)</f>
        <v>2-1</v>
      </c>
      <c r="G213" s="50"/>
      <c r="H213" s="50"/>
      <c r="I213" s="50"/>
      <c r="J213" s="38"/>
      <c r="K213" s="38"/>
      <c r="L213" s="38"/>
      <c r="M213" s="47" t="s">
        <v>48</v>
      </c>
      <c r="N213" s="47"/>
      <c r="O213" s="47"/>
      <c r="P213" s="47"/>
      <c r="Q213" s="51">
        <f ca="1">VALUE(VLOOKUP(F212,入力②出席率!B:G,6))</f>
        <v>1</v>
      </c>
      <c r="R213" s="51"/>
      <c r="S213" s="51"/>
      <c r="T213" s="51"/>
    </row>
    <row r="214" spans="1:20" ht="33.75" customHeight="1" x14ac:dyDescent="0.4">
      <c r="B214" s="47" t="s">
        <v>52</v>
      </c>
      <c r="C214" s="48"/>
      <c r="D214" s="48"/>
      <c r="E214" s="48"/>
      <c r="F214" s="69" t="str">
        <f ca="1">OFFSET(総合成績評価!$B$3,A209,3)</f>
        <v>EI THAE PHYU</v>
      </c>
      <c r="G214" s="69"/>
      <c r="H214" s="69"/>
      <c r="I214" s="69"/>
      <c r="J214" s="69"/>
      <c r="K214" s="69"/>
      <c r="L214" s="69"/>
      <c r="M214" s="69"/>
      <c r="N214" s="69"/>
      <c r="O214" s="69"/>
      <c r="P214" s="69"/>
      <c r="Q214" s="69"/>
      <c r="R214" s="69"/>
      <c r="S214" s="69"/>
      <c r="T214" s="69"/>
    </row>
    <row r="215" spans="1:20" ht="22.5" customHeight="1" thickBot="1" x14ac:dyDescent="0.45">
      <c r="B215" s="41" t="s">
        <v>47</v>
      </c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</row>
    <row r="216" spans="1:20" ht="22.5" customHeight="1" x14ac:dyDescent="0.4">
      <c r="F216" s="70" t="s">
        <v>30</v>
      </c>
      <c r="G216" s="70"/>
      <c r="H216" s="70"/>
      <c r="I216" s="70" t="s">
        <v>31</v>
      </c>
      <c r="J216" s="70"/>
      <c r="K216" s="70"/>
      <c r="L216" s="70" t="s">
        <v>32</v>
      </c>
      <c r="M216" s="70"/>
      <c r="N216" s="71"/>
      <c r="O216" s="72" t="s">
        <v>33</v>
      </c>
      <c r="P216" s="73"/>
      <c r="Q216" s="73"/>
      <c r="R216" s="73" t="s">
        <v>34</v>
      </c>
      <c r="S216" s="73"/>
      <c r="T216" s="74"/>
    </row>
    <row r="217" spans="1:20" ht="30" customHeight="1" x14ac:dyDescent="0.4">
      <c r="F217" s="54" t="s">
        <v>35</v>
      </c>
      <c r="G217" s="88"/>
      <c r="H217" s="89"/>
      <c r="I217" s="53" t="s">
        <v>36</v>
      </c>
      <c r="J217" s="53"/>
      <c r="K217" s="53"/>
      <c r="L217" s="53" t="s">
        <v>37</v>
      </c>
      <c r="M217" s="52"/>
      <c r="N217" s="54"/>
      <c r="O217" s="55" t="s">
        <v>38</v>
      </c>
      <c r="P217" s="52"/>
      <c r="Q217" s="52"/>
      <c r="R217" s="52" t="s">
        <v>39</v>
      </c>
      <c r="S217" s="52"/>
      <c r="T217" s="56"/>
    </row>
    <row r="218" spans="1:20" ht="37.5" customHeight="1" x14ac:dyDescent="0.4">
      <c r="B218" s="57" t="s">
        <v>40</v>
      </c>
      <c r="C218" s="57"/>
      <c r="D218" s="57"/>
      <c r="E218" s="57"/>
      <c r="F218" s="58">
        <f ca="1">OFFSET(総合成績評価!$B$3,A209,4)</f>
        <v>66.917054391765618</v>
      </c>
      <c r="G218" s="58"/>
      <c r="H218" s="58"/>
      <c r="I218" s="59">
        <f ca="1">OFFSET(総合成績評価!$B$3,A209,11)</f>
        <v>15</v>
      </c>
      <c r="J218" s="60"/>
      <c r="K218" s="61"/>
      <c r="L218" s="59">
        <f ca="1">OFFSET(総合成績評価!$B$3,A209,12)</f>
        <v>15</v>
      </c>
      <c r="M218" s="60"/>
      <c r="N218" s="60"/>
      <c r="O218" s="68">
        <f ca="1">OFFSET(総合成績評価!$B$3,A209,13)</f>
        <v>96.917054391765618</v>
      </c>
      <c r="P218" s="58"/>
      <c r="Q218" s="58"/>
      <c r="R218" s="75" t="str">
        <f ca="1">OFFSET(総合成績評価!$B$3,A209,14)</f>
        <v>A</v>
      </c>
      <c r="S218" s="75"/>
      <c r="T218" s="76"/>
    </row>
    <row r="219" spans="1:20" ht="37.5" customHeight="1" x14ac:dyDescent="0.4">
      <c r="B219" s="57" t="s">
        <v>41</v>
      </c>
      <c r="C219" s="75"/>
      <c r="D219" s="75"/>
      <c r="E219" s="75"/>
      <c r="F219" s="58">
        <f ca="1">OFFSET(総合成績評価!$B$3,A209,5)</f>
        <v>63.006989545973497</v>
      </c>
      <c r="G219" s="58"/>
      <c r="H219" s="58"/>
      <c r="I219" s="62"/>
      <c r="J219" s="63"/>
      <c r="K219" s="64"/>
      <c r="L219" s="62"/>
      <c r="M219" s="63"/>
      <c r="N219" s="63"/>
      <c r="O219" s="68">
        <f ca="1">OFFSET(総合成績評価!$B$3,A209,15)</f>
        <v>93.006989545973497</v>
      </c>
      <c r="P219" s="58"/>
      <c r="Q219" s="58"/>
      <c r="R219" s="75" t="str">
        <f ca="1">OFFSET(総合成績評価!$B$3,A209,16)</f>
        <v>A</v>
      </c>
      <c r="S219" s="75"/>
      <c r="T219" s="76"/>
    </row>
    <row r="220" spans="1:20" ht="37.5" customHeight="1" x14ac:dyDescent="0.4">
      <c r="B220" s="57" t="s">
        <v>42</v>
      </c>
      <c r="C220" s="75"/>
      <c r="D220" s="75"/>
      <c r="E220" s="75"/>
      <c r="F220" s="58">
        <f ca="1">OFFSET(総合成績評価!$B$3,A209,6)</f>
        <v>64.161646221937687</v>
      </c>
      <c r="G220" s="58"/>
      <c r="H220" s="58"/>
      <c r="I220" s="62"/>
      <c r="J220" s="63"/>
      <c r="K220" s="64"/>
      <c r="L220" s="62"/>
      <c r="M220" s="63"/>
      <c r="N220" s="63"/>
      <c r="O220" s="68">
        <f ca="1">OFFSET(総合成績評価!$B$3,A209,17)</f>
        <v>94.161646221937687</v>
      </c>
      <c r="P220" s="58"/>
      <c r="Q220" s="58"/>
      <c r="R220" s="75" t="str">
        <f ca="1">OFFSET(総合成績評価!$B$3,A209,18)</f>
        <v>A</v>
      </c>
      <c r="S220" s="75"/>
      <c r="T220" s="76"/>
    </row>
    <row r="221" spans="1:20" ht="37.5" customHeight="1" x14ac:dyDescent="0.4">
      <c r="B221" s="57" t="s">
        <v>43</v>
      </c>
      <c r="C221" s="75"/>
      <c r="D221" s="75"/>
      <c r="E221" s="75"/>
      <c r="F221" s="58">
        <f ca="1">OFFSET(総合成績評価!$B$3,A209,7)</f>
        <v>69.595389010694447</v>
      </c>
      <c r="G221" s="58"/>
      <c r="H221" s="58"/>
      <c r="I221" s="62"/>
      <c r="J221" s="63"/>
      <c r="K221" s="64"/>
      <c r="L221" s="62"/>
      <c r="M221" s="63"/>
      <c r="N221" s="63"/>
      <c r="O221" s="68">
        <f ca="1">OFFSET(総合成績評価!$B$3,A209,19)</f>
        <v>99.595389010694447</v>
      </c>
      <c r="P221" s="58"/>
      <c r="Q221" s="58"/>
      <c r="R221" s="75" t="str">
        <f ca="1">OFFSET(総合成績評価!$B$3,A209,20)</f>
        <v>A</v>
      </c>
      <c r="S221" s="75"/>
      <c r="T221" s="76"/>
    </row>
    <row r="222" spans="1:20" ht="37.5" customHeight="1" x14ac:dyDescent="0.4">
      <c r="B222" s="57" t="s">
        <v>44</v>
      </c>
      <c r="C222" s="75"/>
      <c r="D222" s="75"/>
      <c r="E222" s="75"/>
      <c r="F222" s="58">
        <f ca="1">OFFSET(総合成績評価!$B$3,A209,8)</f>
        <v>59.002578002529944</v>
      </c>
      <c r="G222" s="58"/>
      <c r="H222" s="58"/>
      <c r="I222" s="62"/>
      <c r="J222" s="63"/>
      <c r="K222" s="64"/>
      <c r="L222" s="62"/>
      <c r="M222" s="63"/>
      <c r="N222" s="63"/>
      <c r="O222" s="68">
        <f ca="1">OFFSET(総合成績評価!$B$3,A209,21)</f>
        <v>89.002578002529944</v>
      </c>
      <c r="P222" s="58"/>
      <c r="Q222" s="58"/>
      <c r="R222" s="75" t="str">
        <f ca="1">OFFSET(総合成績評価!$B$3,A209,22)</f>
        <v>A</v>
      </c>
      <c r="S222" s="75"/>
      <c r="T222" s="76"/>
    </row>
    <row r="223" spans="1:20" ht="37.5" customHeight="1" thickBot="1" x14ac:dyDescent="0.45">
      <c r="B223" s="77" t="s">
        <v>45</v>
      </c>
      <c r="C223" s="70"/>
      <c r="D223" s="70"/>
      <c r="E223" s="70"/>
      <c r="F223" s="78">
        <f ca="1">OFFSET(総合成績評価!$B$3,A209,9)</f>
        <v>64.755302624562376</v>
      </c>
      <c r="G223" s="78"/>
      <c r="H223" s="78"/>
      <c r="I223" s="62"/>
      <c r="J223" s="63"/>
      <c r="K223" s="64"/>
      <c r="L223" s="62"/>
      <c r="M223" s="63"/>
      <c r="N223" s="63"/>
      <c r="O223" s="79">
        <f ca="1">OFFSET(総合成績評価!$B$3,A209,23)</f>
        <v>94.755302624562376</v>
      </c>
      <c r="P223" s="78"/>
      <c r="Q223" s="78"/>
      <c r="R223" s="70" t="str">
        <f ca="1">OFFSET(総合成績評価!$B$3,A209,24)</f>
        <v>A</v>
      </c>
      <c r="S223" s="70"/>
      <c r="T223" s="80"/>
    </row>
    <row r="224" spans="1:20" ht="37.5" customHeight="1" thickTop="1" thickBot="1" x14ac:dyDescent="0.45">
      <c r="B224" s="81" t="s">
        <v>46</v>
      </c>
      <c r="C224" s="82"/>
      <c r="D224" s="82"/>
      <c r="E224" s="82"/>
      <c r="F224" s="83">
        <f ca="1">OFFSET(総合成績評価!$B$3,A209,10)</f>
        <v>65.739692739544012</v>
      </c>
      <c r="G224" s="83"/>
      <c r="H224" s="83"/>
      <c r="I224" s="65"/>
      <c r="J224" s="66"/>
      <c r="K224" s="67"/>
      <c r="L224" s="65"/>
      <c r="M224" s="66"/>
      <c r="N224" s="66"/>
      <c r="O224" s="84">
        <f ca="1">OFFSET(総合成績評価!$B$3,A209,25)</f>
        <v>95.739692739544012</v>
      </c>
      <c r="P224" s="85"/>
      <c r="Q224" s="85"/>
      <c r="R224" s="86" t="str">
        <f ca="1">OFFSET(総合成績評価!$B$3,A209,26)</f>
        <v>A</v>
      </c>
      <c r="S224" s="86"/>
      <c r="T224" s="87"/>
    </row>
    <row r="235" spans="1:20" ht="22.5" customHeight="1" x14ac:dyDescent="0.4">
      <c r="A235" s="35">
        <f>A209+1</f>
        <v>9</v>
      </c>
      <c r="B235" s="43" t="s">
        <v>29</v>
      </c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</row>
    <row r="236" spans="1:20" ht="22.5" customHeight="1" x14ac:dyDescent="0.4"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</row>
    <row r="237" spans="1:20" ht="22.5" customHeight="1" x14ac:dyDescent="0.4"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44" t="s">
        <v>49</v>
      </c>
      <c r="O237" s="44"/>
      <c r="P237" s="44"/>
      <c r="Q237" s="45">
        <f ca="1">TODAY()</f>
        <v>45721</v>
      </c>
      <c r="R237" s="46"/>
      <c r="S237" s="46"/>
      <c r="T237" s="46"/>
    </row>
    <row r="238" spans="1:20" ht="33.75" customHeight="1" x14ac:dyDescent="0.4">
      <c r="B238" s="47" t="s">
        <v>50</v>
      </c>
      <c r="C238" s="48"/>
      <c r="D238" s="48"/>
      <c r="E238" s="48"/>
      <c r="F238" s="49">
        <f ca="1">OFFSET(総合成績評価!$B$3,A235,0)</f>
        <v>2304090</v>
      </c>
      <c r="G238" s="49"/>
      <c r="H238" s="49"/>
      <c r="I238" s="49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</row>
    <row r="239" spans="1:20" ht="33.75" customHeight="1" x14ac:dyDescent="0.4">
      <c r="B239" s="47" t="s">
        <v>51</v>
      </c>
      <c r="C239" s="48"/>
      <c r="D239" s="48"/>
      <c r="E239" s="48"/>
      <c r="F239" s="50" t="str">
        <f ca="1">OFFSET(総合成績評価!$B$3,A235,1)</f>
        <v>2-1</v>
      </c>
      <c r="G239" s="50"/>
      <c r="H239" s="50"/>
      <c r="I239" s="50"/>
      <c r="J239" s="38"/>
      <c r="K239" s="38"/>
      <c r="L239" s="38"/>
      <c r="M239" s="47" t="s">
        <v>48</v>
      </c>
      <c r="N239" s="47"/>
      <c r="O239" s="47"/>
      <c r="P239" s="47"/>
      <c r="Q239" s="51">
        <f ca="1">VALUE(VLOOKUP(F238,入力②出席率!B:G,6))</f>
        <v>0.99470000000000003</v>
      </c>
      <c r="R239" s="51"/>
      <c r="S239" s="51"/>
      <c r="T239" s="51"/>
    </row>
    <row r="240" spans="1:20" ht="33.75" customHeight="1" x14ac:dyDescent="0.4">
      <c r="B240" s="47" t="s">
        <v>52</v>
      </c>
      <c r="C240" s="48"/>
      <c r="D240" s="48"/>
      <c r="E240" s="48"/>
      <c r="F240" s="69" t="str">
        <f ca="1">OFFSET(総合成績評価!$B$3,A235,3)</f>
        <v>HTET NAING WIN</v>
      </c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/>
      <c r="T240" s="69"/>
    </row>
    <row r="241" spans="2:20" ht="22.5" customHeight="1" thickBot="1" x14ac:dyDescent="0.45">
      <c r="B241" s="41" t="s">
        <v>47</v>
      </c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</row>
    <row r="242" spans="2:20" ht="22.5" customHeight="1" x14ac:dyDescent="0.4">
      <c r="F242" s="70" t="s">
        <v>30</v>
      </c>
      <c r="G242" s="70"/>
      <c r="H242" s="70"/>
      <c r="I242" s="70" t="s">
        <v>31</v>
      </c>
      <c r="J242" s="70"/>
      <c r="K242" s="70"/>
      <c r="L242" s="70" t="s">
        <v>32</v>
      </c>
      <c r="M242" s="70"/>
      <c r="N242" s="71"/>
      <c r="O242" s="72" t="s">
        <v>33</v>
      </c>
      <c r="P242" s="73"/>
      <c r="Q242" s="73"/>
      <c r="R242" s="73" t="s">
        <v>34</v>
      </c>
      <c r="S242" s="73"/>
      <c r="T242" s="74"/>
    </row>
    <row r="243" spans="2:20" ht="30" customHeight="1" x14ac:dyDescent="0.4">
      <c r="F243" s="54" t="s">
        <v>35</v>
      </c>
      <c r="G243" s="88"/>
      <c r="H243" s="89"/>
      <c r="I243" s="53" t="s">
        <v>36</v>
      </c>
      <c r="J243" s="53"/>
      <c r="K243" s="53"/>
      <c r="L243" s="53" t="s">
        <v>37</v>
      </c>
      <c r="M243" s="52"/>
      <c r="N243" s="54"/>
      <c r="O243" s="55" t="s">
        <v>38</v>
      </c>
      <c r="P243" s="52"/>
      <c r="Q243" s="52"/>
      <c r="R243" s="52" t="s">
        <v>39</v>
      </c>
      <c r="S243" s="52"/>
      <c r="T243" s="56"/>
    </row>
    <row r="244" spans="2:20" ht="37.5" customHeight="1" x14ac:dyDescent="0.4">
      <c r="B244" s="57" t="s">
        <v>40</v>
      </c>
      <c r="C244" s="57"/>
      <c r="D244" s="57"/>
      <c r="E244" s="57"/>
      <c r="F244" s="58">
        <f ca="1">OFFSET(総合成績評価!$B$3,A235,4)</f>
        <v>56.774644891894823</v>
      </c>
      <c r="G244" s="58"/>
      <c r="H244" s="58"/>
      <c r="I244" s="59">
        <f ca="1">OFFSET(総合成績評価!$B$3,A235,11)</f>
        <v>14.761500000000002</v>
      </c>
      <c r="J244" s="60"/>
      <c r="K244" s="61"/>
      <c r="L244" s="59">
        <f ca="1">OFFSET(総合成績評価!$B$3,A235,12)</f>
        <v>15</v>
      </c>
      <c r="M244" s="60"/>
      <c r="N244" s="60"/>
      <c r="O244" s="68">
        <f ca="1">OFFSET(総合成績評価!$B$3,A235,13)</f>
        <v>86.536144891894821</v>
      </c>
      <c r="P244" s="58"/>
      <c r="Q244" s="58"/>
      <c r="R244" s="75" t="str">
        <f ca="1">OFFSET(総合成績評価!$B$3,A235,14)</f>
        <v>A</v>
      </c>
      <c r="S244" s="75"/>
      <c r="T244" s="76"/>
    </row>
    <row r="245" spans="2:20" ht="37.5" customHeight="1" x14ac:dyDescent="0.4">
      <c r="B245" s="57" t="s">
        <v>41</v>
      </c>
      <c r="C245" s="75"/>
      <c r="D245" s="75"/>
      <c r="E245" s="75"/>
      <c r="F245" s="58">
        <f ca="1">OFFSET(総合成績評価!$B$3,A235,5)</f>
        <v>59.326566733395239</v>
      </c>
      <c r="G245" s="58"/>
      <c r="H245" s="58"/>
      <c r="I245" s="62"/>
      <c r="J245" s="63"/>
      <c r="K245" s="64"/>
      <c r="L245" s="62"/>
      <c r="M245" s="63"/>
      <c r="N245" s="63"/>
      <c r="O245" s="68">
        <f ca="1">OFFSET(総合成績評価!$B$3,A235,15)</f>
        <v>89.088066733395237</v>
      </c>
      <c r="P245" s="58"/>
      <c r="Q245" s="58"/>
      <c r="R245" s="75" t="str">
        <f ca="1">OFFSET(総合成績評価!$B$3,A235,16)</f>
        <v>A</v>
      </c>
      <c r="S245" s="75"/>
      <c r="T245" s="76"/>
    </row>
    <row r="246" spans="2:20" ht="37.5" customHeight="1" x14ac:dyDescent="0.4">
      <c r="B246" s="57" t="s">
        <v>42</v>
      </c>
      <c r="C246" s="75"/>
      <c r="D246" s="75"/>
      <c r="E246" s="75"/>
      <c r="F246" s="58">
        <f ca="1">OFFSET(総合成績評価!$B$3,A235,6)</f>
        <v>57.447875912859772</v>
      </c>
      <c r="G246" s="58"/>
      <c r="H246" s="58"/>
      <c r="I246" s="62"/>
      <c r="J246" s="63"/>
      <c r="K246" s="64"/>
      <c r="L246" s="62"/>
      <c r="M246" s="63"/>
      <c r="N246" s="63"/>
      <c r="O246" s="68">
        <f ca="1">OFFSET(総合成績評価!$B$3,A235,17)</f>
        <v>87.20937591285977</v>
      </c>
      <c r="P246" s="58"/>
      <c r="Q246" s="58"/>
      <c r="R246" s="75" t="str">
        <f ca="1">OFFSET(総合成績評価!$B$3,A235,18)</f>
        <v>A</v>
      </c>
      <c r="S246" s="75"/>
      <c r="T246" s="76"/>
    </row>
    <row r="247" spans="2:20" ht="37.5" customHeight="1" x14ac:dyDescent="0.4">
      <c r="B247" s="57" t="s">
        <v>43</v>
      </c>
      <c r="C247" s="75"/>
      <c r="D247" s="75"/>
      <c r="E247" s="75"/>
      <c r="F247" s="58">
        <f ca="1">OFFSET(総合成績評価!$B$3,A235,7)</f>
        <v>61.51147056035353</v>
      </c>
      <c r="G247" s="58"/>
      <c r="H247" s="58"/>
      <c r="I247" s="62"/>
      <c r="J247" s="63"/>
      <c r="K247" s="64"/>
      <c r="L247" s="62"/>
      <c r="M247" s="63"/>
      <c r="N247" s="63"/>
      <c r="O247" s="68">
        <f ca="1">OFFSET(総合成績評価!$B$3,A235,19)</f>
        <v>91.272970560353528</v>
      </c>
      <c r="P247" s="58"/>
      <c r="Q247" s="58"/>
      <c r="R247" s="75" t="str">
        <f ca="1">OFFSET(総合成績評価!$B$3,A235,20)</f>
        <v>A</v>
      </c>
      <c r="S247" s="75"/>
      <c r="T247" s="76"/>
    </row>
    <row r="248" spans="2:20" ht="37.5" customHeight="1" x14ac:dyDescent="0.4">
      <c r="B248" s="57" t="s">
        <v>44</v>
      </c>
      <c r="C248" s="75"/>
      <c r="D248" s="75"/>
      <c r="E248" s="75"/>
      <c r="F248" s="58">
        <f ca="1">OFFSET(総合成績評価!$B$3,A235,8)</f>
        <v>59.002578002529944</v>
      </c>
      <c r="G248" s="58"/>
      <c r="H248" s="58"/>
      <c r="I248" s="62"/>
      <c r="J248" s="63"/>
      <c r="K248" s="64"/>
      <c r="L248" s="62"/>
      <c r="M248" s="63"/>
      <c r="N248" s="63"/>
      <c r="O248" s="68">
        <f ca="1">OFFSET(総合成績評価!$B$3,A235,21)</f>
        <v>88.764078002529942</v>
      </c>
      <c r="P248" s="58"/>
      <c r="Q248" s="58"/>
      <c r="R248" s="75" t="str">
        <f ca="1">OFFSET(総合成績評価!$B$3,A235,22)</f>
        <v>A</v>
      </c>
      <c r="S248" s="75"/>
      <c r="T248" s="76"/>
    </row>
    <row r="249" spans="2:20" ht="37.5" customHeight="1" thickBot="1" x14ac:dyDescent="0.45">
      <c r="B249" s="77" t="s">
        <v>45</v>
      </c>
      <c r="C249" s="70"/>
      <c r="D249" s="70"/>
      <c r="E249" s="70"/>
      <c r="F249" s="78">
        <f ca="1">OFFSET(総合成績評価!$B$3,A235,9)</f>
        <v>65.547086208774402</v>
      </c>
      <c r="G249" s="78"/>
      <c r="H249" s="78"/>
      <c r="I249" s="62"/>
      <c r="J249" s="63"/>
      <c r="K249" s="64"/>
      <c r="L249" s="62"/>
      <c r="M249" s="63"/>
      <c r="N249" s="63"/>
      <c r="O249" s="79">
        <f ca="1">OFFSET(総合成績評価!$B$3,A235,23)</f>
        <v>95.3085862087744</v>
      </c>
      <c r="P249" s="78"/>
      <c r="Q249" s="78"/>
      <c r="R249" s="70" t="str">
        <f ca="1">OFFSET(総合成績評価!$B$3,A235,24)</f>
        <v>A</v>
      </c>
      <c r="S249" s="70"/>
      <c r="T249" s="80"/>
    </row>
    <row r="250" spans="2:20" ht="37.5" customHeight="1" thickTop="1" thickBot="1" x14ac:dyDescent="0.45">
      <c r="B250" s="81" t="s">
        <v>46</v>
      </c>
      <c r="C250" s="82"/>
      <c r="D250" s="82"/>
      <c r="E250" s="82"/>
      <c r="F250" s="83">
        <f ca="1">OFFSET(総合成績評価!$B$3,A235,10)</f>
        <v>61.432281734679464</v>
      </c>
      <c r="G250" s="83"/>
      <c r="H250" s="83"/>
      <c r="I250" s="65"/>
      <c r="J250" s="66"/>
      <c r="K250" s="67"/>
      <c r="L250" s="65"/>
      <c r="M250" s="66"/>
      <c r="N250" s="66"/>
      <c r="O250" s="84">
        <f ca="1">OFFSET(総合成績評価!$B$3,A235,25)</f>
        <v>91.193781734679462</v>
      </c>
      <c r="P250" s="85"/>
      <c r="Q250" s="85"/>
      <c r="R250" s="86" t="str">
        <f ca="1">OFFSET(総合成績評価!$B$3,A235,26)</f>
        <v>A</v>
      </c>
      <c r="S250" s="86"/>
      <c r="T250" s="87"/>
    </row>
    <row r="261" spans="1:20" ht="22.5" customHeight="1" x14ac:dyDescent="0.4">
      <c r="A261" s="35">
        <f>A235+1</f>
        <v>10</v>
      </c>
      <c r="B261" s="43" t="s">
        <v>29</v>
      </c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</row>
    <row r="262" spans="1:20" ht="22.5" customHeight="1" x14ac:dyDescent="0.4"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</row>
    <row r="263" spans="1:20" ht="22.5" customHeight="1" x14ac:dyDescent="0.4"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44" t="s">
        <v>49</v>
      </c>
      <c r="O263" s="44"/>
      <c r="P263" s="44"/>
      <c r="Q263" s="45">
        <f ca="1">TODAY()</f>
        <v>45721</v>
      </c>
      <c r="R263" s="46"/>
      <c r="S263" s="46"/>
      <c r="T263" s="46"/>
    </row>
    <row r="264" spans="1:20" ht="33.75" customHeight="1" x14ac:dyDescent="0.4">
      <c r="B264" s="47" t="s">
        <v>50</v>
      </c>
      <c r="C264" s="48"/>
      <c r="D264" s="48"/>
      <c r="E264" s="48"/>
      <c r="F264" s="49">
        <f ca="1">OFFSET(総合成績評価!$B$3,A261,0)</f>
        <v>2304092</v>
      </c>
      <c r="G264" s="49"/>
      <c r="H264" s="49"/>
      <c r="I264" s="49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</row>
    <row r="265" spans="1:20" ht="33.75" customHeight="1" x14ac:dyDescent="0.4">
      <c r="B265" s="47" t="s">
        <v>51</v>
      </c>
      <c r="C265" s="48"/>
      <c r="D265" s="48"/>
      <c r="E265" s="48"/>
      <c r="F265" s="50" t="str">
        <f ca="1">OFFSET(総合成績評価!$B$3,A261,1)</f>
        <v>2-1</v>
      </c>
      <c r="G265" s="50"/>
      <c r="H265" s="50"/>
      <c r="I265" s="50"/>
      <c r="J265" s="38"/>
      <c r="K265" s="38"/>
      <c r="L265" s="38"/>
      <c r="M265" s="47" t="s">
        <v>48</v>
      </c>
      <c r="N265" s="47"/>
      <c r="O265" s="47"/>
      <c r="P265" s="47"/>
      <c r="Q265" s="51">
        <f ca="1">VALUE(VLOOKUP(F264,入力②出席率!B:G,6))</f>
        <v>0.94589999999999996</v>
      </c>
      <c r="R265" s="51"/>
      <c r="S265" s="51"/>
      <c r="T265" s="51"/>
    </row>
    <row r="266" spans="1:20" ht="33.75" customHeight="1" x14ac:dyDescent="0.4">
      <c r="B266" s="47" t="s">
        <v>52</v>
      </c>
      <c r="C266" s="48"/>
      <c r="D266" s="48"/>
      <c r="E266" s="48"/>
      <c r="F266" s="69" t="str">
        <f ca="1">OFFSET(総合成績評価!$B$3,A261,3)</f>
        <v>HTET MYAT AUNG</v>
      </c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69"/>
      <c r="R266" s="69"/>
      <c r="S266" s="69"/>
      <c r="T266" s="69"/>
    </row>
    <row r="267" spans="1:20" ht="22.5" customHeight="1" thickBot="1" x14ac:dyDescent="0.45">
      <c r="B267" s="41" t="s">
        <v>47</v>
      </c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</row>
    <row r="268" spans="1:20" ht="22.5" customHeight="1" x14ac:dyDescent="0.4">
      <c r="F268" s="70" t="s">
        <v>30</v>
      </c>
      <c r="G268" s="70"/>
      <c r="H268" s="70"/>
      <c r="I268" s="70" t="s">
        <v>31</v>
      </c>
      <c r="J268" s="70"/>
      <c r="K268" s="70"/>
      <c r="L268" s="70" t="s">
        <v>32</v>
      </c>
      <c r="M268" s="70"/>
      <c r="N268" s="71"/>
      <c r="O268" s="72" t="s">
        <v>33</v>
      </c>
      <c r="P268" s="73"/>
      <c r="Q268" s="73"/>
      <c r="R268" s="73" t="s">
        <v>34</v>
      </c>
      <c r="S268" s="73"/>
      <c r="T268" s="74"/>
    </row>
    <row r="269" spans="1:20" ht="30" customHeight="1" x14ac:dyDescent="0.4">
      <c r="F269" s="54" t="s">
        <v>35</v>
      </c>
      <c r="G269" s="88"/>
      <c r="H269" s="89"/>
      <c r="I269" s="53" t="s">
        <v>36</v>
      </c>
      <c r="J269" s="53"/>
      <c r="K269" s="53"/>
      <c r="L269" s="53" t="s">
        <v>37</v>
      </c>
      <c r="M269" s="52"/>
      <c r="N269" s="54"/>
      <c r="O269" s="55" t="s">
        <v>38</v>
      </c>
      <c r="P269" s="52"/>
      <c r="Q269" s="52"/>
      <c r="R269" s="52" t="s">
        <v>39</v>
      </c>
      <c r="S269" s="52"/>
      <c r="T269" s="56"/>
    </row>
    <row r="270" spans="1:20" ht="37.5" customHeight="1" x14ac:dyDescent="0.4">
      <c r="B270" s="57" t="s">
        <v>40</v>
      </c>
      <c r="C270" s="57"/>
      <c r="D270" s="57"/>
      <c r="E270" s="57"/>
      <c r="F270" s="58">
        <f ca="1">OFFSET(総合成績評価!$B$3,A261,4)</f>
        <v>50.468919195052329</v>
      </c>
      <c r="G270" s="58"/>
      <c r="H270" s="58"/>
      <c r="I270" s="59">
        <f ca="1">OFFSET(総合成績評価!$B$3,A261,11)</f>
        <v>12.565499999999998</v>
      </c>
      <c r="J270" s="60"/>
      <c r="K270" s="61"/>
      <c r="L270" s="59">
        <f ca="1">OFFSET(総合成績評価!$B$3,A261,12)</f>
        <v>15</v>
      </c>
      <c r="M270" s="60"/>
      <c r="N270" s="60"/>
      <c r="O270" s="68">
        <f ca="1">OFFSET(総合成績評価!$B$3,A261,13)</f>
        <v>78.034419195052322</v>
      </c>
      <c r="P270" s="58"/>
      <c r="Q270" s="58"/>
      <c r="R270" s="75" t="str">
        <f ca="1">OFFSET(総合成績評価!$B$3,A261,14)</f>
        <v>B</v>
      </c>
      <c r="S270" s="75"/>
      <c r="T270" s="76"/>
    </row>
    <row r="271" spans="1:20" ht="37.5" customHeight="1" x14ac:dyDescent="0.4">
      <c r="B271" s="57" t="s">
        <v>41</v>
      </c>
      <c r="C271" s="75"/>
      <c r="D271" s="75"/>
      <c r="E271" s="75"/>
      <c r="F271" s="58">
        <f ca="1">OFFSET(総合成績評価!$B$3,A261,5)</f>
        <v>57.662967229801474</v>
      </c>
      <c r="G271" s="58"/>
      <c r="H271" s="58"/>
      <c r="I271" s="62"/>
      <c r="J271" s="63"/>
      <c r="K271" s="64"/>
      <c r="L271" s="62"/>
      <c r="M271" s="63"/>
      <c r="N271" s="63"/>
      <c r="O271" s="68">
        <f ca="1">OFFSET(総合成績評価!$B$3,A261,15)</f>
        <v>85.228467229801467</v>
      </c>
      <c r="P271" s="58"/>
      <c r="Q271" s="58"/>
      <c r="R271" s="75" t="str">
        <f ca="1">OFFSET(総合成績評価!$B$3,A261,16)</f>
        <v>A</v>
      </c>
      <c r="S271" s="75"/>
      <c r="T271" s="76"/>
    </row>
    <row r="272" spans="1:20" ht="37.5" customHeight="1" x14ac:dyDescent="0.4">
      <c r="B272" s="57" t="s">
        <v>42</v>
      </c>
      <c r="C272" s="75"/>
      <c r="D272" s="75"/>
      <c r="E272" s="75"/>
      <c r="F272" s="58">
        <f ca="1">OFFSET(総合成績評価!$B$3,A261,6)</f>
        <v>57.997298311401337</v>
      </c>
      <c r="G272" s="58"/>
      <c r="H272" s="58"/>
      <c r="I272" s="62"/>
      <c r="J272" s="63"/>
      <c r="K272" s="64"/>
      <c r="L272" s="62"/>
      <c r="M272" s="63"/>
      <c r="N272" s="63"/>
      <c r="O272" s="68">
        <f ca="1">OFFSET(総合成績評価!$B$3,A261,17)</f>
        <v>85.562798311401338</v>
      </c>
      <c r="P272" s="58"/>
      <c r="Q272" s="58"/>
      <c r="R272" s="75" t="str">
        <f ca="1">OFFSET(総合成績評価!$B$3,A261,18)</f>
        <v>A</v>
      </c>
      <c r="S272" s="75"/>
      <c r="T272" s="76"/>
    </row>
    <row r="273" spans="1:20" ht="37.5" customHeight="1" x14ac:dyDescent="0.4">
      <c r="B273" s="57" t="s">
        <v>43</v>
      </c>
      <c r="C273" s="75"/>
      <c r="D273" s="75"/>
      <c r="E273" s="75"/>
      <c r="F273" s="58">
        <f ca="1">OFFSET(総合成績評価!$B$3,A261,7)</f>
        <v>61.51147056035353</v>
      </c>
      <c r="G273" s="58"/>
      <c r="H273" s="58"/>
      <c r="I273" s="62"/>
      <c r="J273" s="63"/>
      <c r="K273" s="64"/>
      <c r="L273" s="62"/>
      <c r="M273" s="63"/>
      <c r="N273" s="63"/>
      <c r="O273" s="68">
        <f ca="1">OFFSET(総合成績評価!$B$3,A261,19)</f>
        <v>89.07697056035353</v>
      </c>
      <c r="P273" s="58"/>
      <c r="Q273" s="58"/>
      <c r="R273" s="75" t="str">
        <f ca="1">OFFSET(総合成績評価!$B$3,A261,20)</f>
        <v>A</v>
      </c>
      <c r="S273" s="75"/>
      <c r="T273" s="76"/>
    </row>
    <row r="274" spans="1:20" ht="37.5" customHeight="1" x14ac:dyDescent="0.4">
      <c r="B274" s="57" t="s">
        <v>44</v>
      </c>
      <c r="C274" s="75"/>
      <c r="D274" s="75"/>
      <c r="E274" s="75"/>
      <c r="F274" s="58">
        <f ca="1">OFFSET(総合成績評価!$B$3,A261,8)</f>
        <v>51.093742078981052</v>
      </c>
      <c r="G274" s="58"/>
      <c r="H274" s="58"/>
      <c r="I274" s="62"/>
      <c r="J274" s="63"/>
      <c r="K274" s="64"/>
      <c r="L274" s="62"/>
      <c r="M274" s="63"/>
      <c r="N274" s="63"/>
      <c r="O274" s="68">
        <f ca="1">OFFSET(総合成績評価!$B$3,A261,21)</f>
        <v>78.659242078981052</v>
      </c>
      <c r="P274" s="58"/>
      <c r="Q274" s="58"/>
      <c r="R274" s="75" t="str">
        <f ca="1">OFFSET(総合成績評価!$B$3,A261,22)</f>
        <v>B</v>
      </c>
      <c r="S274" s="75"/>
      <c r="T274" s="76"/>
    </row>
    <row r="275" spans="1:20" ht="37.5" customHeight="1" thickBot="1" x14ac:dyDescent="0.45">
      <c r="B275" s="77" t="s">
        <v>45</v>
      </c>
      <c r="C275" s="70"/>
      <c r="D275" s="70"/>
      <c r="E275" s="70"/>
      <c r="F275" s="78">
        <f ca="1">OFFSET(総合成績評価!$B$3,A261,9)</f>
        <v>63.128331356602217</v>
      </c>
      <c r="G275" s="78"/>
      <c r="H275" s="78"/>
      <c r="I275" s="62"/>
      <c r="J275" s="63"/>
      <c r="K275" s="64"/>
      <c r="L275" s="62"/>
      <c r="M275" s="63"/>
      <c r="N275" s="63"/>
      <c r="O275" s="79">
        <f ca="1">OFFSET(総合成績評価!$B$3,A261,23)</f>
        <v>90.693831356602217</v>
      </c>
      <c r="P275" s="78"/>
      <c r="Q275" s="78"/>
      <c r="R275" s="70" t="str">
        <f ca="1">OFFSET(総合成績評価!$B$3,A261,24)</f>
        <v>A</v>
      </c>
      <c r="S275" s="70"/>
      <c r="T275" s="80"/>
    </row>
    <row r="276" spans="1:20" ht="37.5" customHeight="1" thickTop="1" thickBot="1" x14ac:dyDescent="0.45">
      <c r="B276" s="81" t="s">
        <v>46</v>
      </c>
      <c r="C276" s="82"/>
      <c r="D276" s="82"/>
      <c r="E276" s="82"/>
      <c r="F276" s="83">
        <f ca="1">OFFSET(総合成績評価!$B$3,A261,10)</f>
        <v>58.541019662496844</v>
      </c>
      <c r="G276" s="83"/>
      <c r="H276" s="83"/>
      <c r="I276" s="65"/>
      <c r="J276" s="66"/>
      <c r="K276" s="67"/>
      <c r="L276" s="65"/>
      <c r="M276" s="66"/>
      <c r="N276" s="66"/>
      <c r="O276" s="84">
        <f ca="1">OFFSET(総合成績評価!$B$3,A261,25)</f>
        <v>86.106519662496837</v>
      </c>
      <c r="P276" s="85"/>
      <c r="Q276" s="85"/>
      <c r="R276" s="86" t="str">
        <f ca="1">OFFSET(総合成績評価!$B$3,A261,26)</f>
        <v>A</v>
      </c>
      <c r="S276" s="86"/>
      <c r="T276" s="87"/>
    </row>
    <row r="287" spans="1:20" ht="22.5" customHeight="1" x14ac:dyDescent="0.4">
      <c r="A287" s="35">
        <f>A261+1</f>
        <v>11</v>
      </c>
      <c r="B287" s="43" t="s">
        <v>29</v>
      </c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</row>
    <row r="288" spans="1:20" ht="22.5" customHeight="1" x14ac:dyDescent="0.4"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</row>
    <row r="289" spans="2:20" ht="22.5" customHeight="1" x14ac:dyDescent="0.4"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44" t="s">
        <v>49</v>
      </c>
      <c r="O289" s="44"/>
      <c r="P289" s="44"/>
      <c r="Q289" s="45">
        <f ca="1">TODAY()</f>
        <v>45721</v>
      </c>
      <c r="R289" s="46"/>
      <c r="S289" s="46"/>
      <c r="T289" s="46"/>
    </row>
    <row r="290" spans="2:20" ht="33.75" customHeight="1" x14ac:dyDescent="0.4">
      <c r="B290" s="47" t="s">
        <v>50</v>
      </c>
      <c r="C290" s="48"/>
      <c r="D290" s="48"/>
      <c r="E290" s="48"/>
      <c r="F290" s="49">
        <f ca="1">OFFSET(総合成績評価!$B$3,A287,0)</f>
        <v>2304093</v>
      </c>
      <c r="G290" s="49"/>
      <c r="H290" s="49"/>
      <c r="I290" s="49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</row>
    <row r="291" spans="2:20" ht="33.75" customHeight="1" x14ac:dyDescent="0.4">
      <c r="B291" s="47" t="s">
        <v>51</v>
      </c>
      <c r="C291" s="48"/>
      <c r="D291" s="48"/>
      <c r="E291" s="48"/>
      <c r="F291" s="50" t="str">
        <f ca="1">OFFSET(総合成績評価!$B$3,A287,1)</f>
        <v>2-1</v>
      </c>
      <c r="G291" s="50"/>
      <c r="H291" s="50"/>
      <c r="I291" s="50"/>
      <c r="J291" s="38"/>
      <c r="K291" s="38"/>
      <c r="L291" s="38"/>
      <c r="M291" s="47" t="s">
        <v>48</v>
      </c>
      <c r="N291" s="47"/>
      <c r="O291" s="47"/>
      <c r="P291" s="47"/>
      <c r="Q291" s="51">
        <f ca="1">VALUE(VLOOKUP(F290,入力②出席率!B:G,6))</f>
        <v>0.97959999999999903</v>
      </c>
      <c r="R291" s="51"/>
      <c r="S291" s="51"/>
      <c r="T291" s="51"/>
    </row>
    <row r="292" spans="2:20" ht="33.75" customHeight="1" x14ac:dyDescent="0.4">
      <c r="B292" s="47" t="s">
        <v>52</v>
      </c>
      <c r="C292" s="48"/>
      <c r="D292" s="48"/>
      <c r="E292" s="48"/>
      <c r="F292" s="69" t="str">
        <f ca="1">OFFSET(総合成績評価!$B$3,A287,3)</f>
        <v>NYI NYI ZAW</v>
      </c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</row>
    <row r="293" spans="2:20" ht="22.5" customHeight="1" thickBot="1" x14ac:dyDescent="0.45">
      <c r="B293" s="41" t="s">
        <v>47</v>
      </c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</row>
    <row r="294" spans="2:20" ht="22.5" customHeight="1" x14ac:dyDescent="0.4">
      <c r="F294" s="70" t="s">
        <v>30</v>
      </c>
      <c r="G294" s="70"/>
      <c r="H294" s="70"/>
      <c r="I294" s="70" t="s">
        <v>31</v>
      </c>
      <c r="J294" s="70"/>
      <c r="K294" s="70"/>
      <c r="L294" s="70" t="s">
        <v>32</v>
      </c>
      <c r="M294" s="70"/>
      <c r="N294" s="71"/>
      <c r="O294" s="72" t="s">
        <v>33</v>
      </c>
      <c r="P294" s="73"/>
      <c r="Q294" s="73"/>
      <c r="R294" s="73" t="s">
        <v>34</v>
      </c>
      <c r="S294" s="73"/>
      <c r="T294" s="74"/>
    </row>
    <row r="295" spans="2:20" ht="30" customHeight="1" x14ac:dyDescent="0.4">
      <c r="F295" s="52" t="s">
        <v>35</v>
      </c>
      <c r="G295" s="52"/>
      <c r="H295" s="52"/>
      <c r="I295" s="53" t="s">
        <v>36</v>
      </c>
      <c r="J295" s="53"/>
      <c r="K295" s="53"/>
      <c r="L295" s="53" t="s">
        <v>37</v>
      </c>
      <c r="M295" s="52"/>
      <c r="N295" s="54"/>
      <c r="O295" s="55" t="s">
        <v>38</v>
      </c>
      <c r="P295" s="52"/>
      <c r="Q295" s="52"/>
      <c r="R295" s="52" t="s">
        <v>39</v>
      </c>
      <c r="S295" s="52"/>
      <c r="T295" s="56"/>
    </row>
    <row r="296" spans="2:20" ht="37.5" customHeight="1" x14ac:dyDescent="0.4">
      <c r="B296" s="57" t="s">
        <v>40</v>
      </c>
      <c r="C296" s="57"/>
      <c r="D296" s="57"/>
      <c r="E296" s="57"/>
      <c r="F296" s="58">
        <f ca="1">OFFSET(総合成績評価!$B$3,A287,4)</f>
        <v>59.983305305873074</v>
      </c>
      <c r="G296" s="58"/>
      <c r="H296" s="58"/>
      <c r="I296" s="59">
        <f ca="1">OFFSET(総合成績評価!$B$3,A287,11)</f>
        <v>14.081999999999956</v>
      </c>
      <c r="J296" s="60"/>
      <c r="K296" s="61"/>
      <c r="L296" s="59">
        <f ca="1">OFFSET(総合成績評価!$B$3,A287,12)</f>
        <v>14</v>
      </c>
      <c r="M296" s="60"/>
      <c r="N296" s="60"/>
      <c r="O296" s="68">
        <f ca="1">OFFSET(総合成績評価!$B$3,A287,13)</f>
        <v>88.065305305873025</v>
      </c>
      <c r="P296" s="58"/>
      <c r="Q296" s="58"/>
      <c r="R296" s="75" t="str">
        <f ca="1">OFFSET(総合成績評価!$B$3,A287,14)</f>
        <v>A</v>
      </c>
      <c r="S296" s="75"/>
      <c r="T296" s="76"/>
    </row>
    <row r="297" spans="2:20" ht="37.5" customHeight="1" x14ac:dyDescent="0.4">
      <c r="B297" s="57" t="s">
        <v>41</v>
      </c>
      <c r="C297" s="75"/>
      <c r="D297" s="75"/>
      <c r="E297" s="75"/>
      <c r="F297" s="58">
        <f ca="1">OFFSET(総合成績評価!$B$3,A287,5)</f>
        <v>63.006989545973497</v>
      </c>
      <c r="G297" s="58"/>
      <c r="H297" s="58"/>
      <c r="I297" s="62"/>
      <c r="J297" s="63"/>
      <c r="K297" s="64"/>
      <c r="L297" s="62"/>
      <c r="M297" s="63"/>
      <c r="N297" s="63"/>
      <c r="O297" s="68">
        <f ca="1">OFFSET(総合成績評価!$B$3,A287,15)</f>
        <v>91.088989545973448</v>
      </c>
      <c r="P297" s="58"/>
      <c r="Q297" s="58"/>
      <c r="R297" s="75" t="str">
        <f ca="1">OFFSET(総合成績評価!$B$3,A287,16)</f>
        <v>A</v>
      </c>
      <c r="S297" s="75"/>
      <c r="T297" s="76"/>
    </row>
    <row r="298" spans="2:20" ht="37.5" customHeight="1" x14ac:dyDescent="0.4">
      <c r="B298" s="57" t="s">
        <v>42</v>
      </c>
      <c r="C298" s="75"/>
      <c r="D298" s="75"/>
      <c r="E298" s="75"/>
      <c r="F298" s="58">
        <f ca="1">OFFSET(総合成績評価!$B$3,A287,6)</f>
        <v>48.464329788781626</v>
      </c>
      <c r="G298" s="58"/>
      <c r="H298" s="58"/>
      <c r="I298" s="62"/>
      <c r="J298" s="63"/>
      <c r="K298" s="64"/>
      <c r="L298" s="62"/>
      <c r="M298" s="63"/>
      <c r="N298" s="63"/>
      <c r="O298" s="68">
        <f ca="1">OFFSET(総合成績評価!$B$3,A287,17)</f>
        <v>76.546329788781577</v>
      </c>
      <c r="P298" s="58"/>
      <c r="Q298" s="58"/>
      <c r="R298" s="75" t="str">
        <f ca="1">OFFSET(総合成績評価!$B$3,A287,18)</f>
        <v>B</v>
      </c>
      <c r="S298" s="75"/>
      <c r="T298" s="76"/>
    </row>
    <row r="299" spans="2:20" ht="37.5" customHeight="1" x14ac:dyDescent="0.4">
      <c r="B299" s="57" t="s">
        <v>43</v>
      </c>
      <c r="C299" s="75"/>
      <c r="D299" s="75"/>
      <c r="E299" s="75"/>
      <c r="F299" s="58">
        <f ca="1">OFFSET(総合成績評価!$B$3,A287,7)</f>
        <v>65.293825993733321</v>
      </c>
      <c r="G299" s="58"/>
      <c r="H299" s="58"/>
      <c r="I299" s="62"/>
      <c r="J299" s="63"/>
      <c r="K299" s="64"/>
      <c r="L299" s="62"/>
      <c r="M299" s="63"/>
      <c r="N299" s="63"/>
      <c r="O299" s="68">
        <f ca="1">OFFSET(総合成績評価!$B$3,A287,19)</f>
        <v>93.375825993733272</v>
      </c>
      <c r="P299" s="58"/>
      <c r="Q299" s="58"/>
      <c r="R299" s="75" t="str">
        <f ca="1">OFFSET(総合成績評価!$B$3,A287,20)</f>
        <v>A</v>
      </c>
      <c r="S299" s="75"/>
      <c r="T299" s="76"/>
    </row>
    <row r="300" spans="2:20" ht="37.5" customHeight="1" x14ac:dyDescent="0.4">
      <c r="B300" s="57" t="s">
        <v>44</v>
      </c>
      <c r="C300" s="75"/>
      <c r="D300" s="75"/>
      <c r="E300" s="75"/>
      <c r="F300" s="58">
        <f ca="1">OFFSET(総合成績評価!$B$3,A287,8)</f>
        <v>63.816091329348062</v>
      </c>
      <c r="G300" s="58"/>
      <c r="H300" s="58"/>
      <c r="I300" s="62"/>
      <c r="J300" s="63"/>
      <c r="K300" s="64"/>
      <c r="L300" s="62"/>
      <c r="M300" s="63"/>
      <c r="N300" s="63"/>
      <c r="O300" s="68">
        <f ca="1">OFFSET(総合成績評価!$B$3,A287,21)</f>
        <v>91.89809132934802</v>
      </c>
      <c r="P300" s="58"/>
      <c r="Q300" s="58"/>
      <c r="R300" s="75" t="str">
        <f ca="1">OFFSET(総合成績評価!$B$3,A287,22)</f>
        <v>A</v>
      </c>
      <c r="S300" s="75"/>
      <c r="T300" s="76"/>
    </row>
    <row r="301" spans="2:20" ht="37.5" customHeight="1" thickBot="1" x14ac:dyDescent="0.45">
      <c r="B301" s="77" t="s">
        <v>45</v>
      </c>
      <c r="C301" s="70"/>
      <c r="D301" s="70"/>
      <c r="E301" s="70"/>
      <c r="F301" s="78">
        <f ca="1">OFFSET(総合成績評価!$B$3,A287,9)</f>
        <v>63.949095501908587</v>
      </c>
      <c r="G301" s="78"/>
      <c r="H301" s="78"/>
      <c r="I301" s="62"/>
      <c r="J301" s="63"/>
      <c r="K301" s="64"/>
      <c r="L301" s="62"/>
      <c r="M301" s="63"/>
      <c r="N301" s="63"/>
      <c r="O301" s="79">
        <f ca="1">OFFSET(総合成績評価!$B$3,A287,23)</f>
        <v>92.031095501908538</v>
      </c>
      <c r="P301" s="78"/>
      <c r="Q301" s="78"/>
      <c r="R301" s="70" t="str">
        <f ca="1">OFFSET(総合成績評価!$B$3,A287,24)</f>
        <v>A</v>
      </c>
      <c r="S301" s="70"/>
      <c r="T301" s="80"/>
    </row>
    <row r="302" spans="2:20" ht="37.5" customHeight="1" thickTop="1" thickBot="1" x14ac:dyDescent="0.45">
      <c r="B302" s="81" t="s">
        <v>46</v>
      </c>
      <c r="C302" s="82"/>
      <c r="D302" s="82"/>
      <c r="E302" s="82"/>
      <c r="F302" s="83">
        <f ca="1">OFFSET(総合成績評価!$B$3,A287,10)</f>
        <v>62.44313478323086</v>
      </c>
      <c r="G302" s="83"/>
      <c r="H302" s="83"/>
      <c r="I302" s="65"/>
      <c r="J302" s="66"/>
      <c r="K302" s="67"/>
      <c r="L302" s="65"/>
      <c r="M302" s="66"/>
      <c r="N302" s="66"/>
      <c r="O302" s="84">
        <f ca="1">OFFSET(総合成績評価!$B$3,A287,25)</f>
        <v>90.525134783230811</v>
      </c>
      <c r="P302" s="85"/>
      <c r="Q302" s="85"/>
      <c r="R302" s="86" t="str">
        <f ca="1">OFFSET(総合成績評価!$B$3,A287,26)</f>
        <v>A</v>
      </c>
      <c r="S302" s="86"/>
      <c r="T302" s="87"/>
    </row>
    <row r="313" spans="1:20" ht="22.5" customHeight="1" x14ac:dyDescent="0.4">
      <c r="A313" s="35">
        <f>A287+1</f>
        <v>12</v>
      </c>
      <c r="B313" s="43" t="s">
        <v>29</v>
      </c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</row>
    <row r="314" spans="1:20" ht="22.5" customHeight="1" x14ac:dyDescent="0.4"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</row>
    <row r="315" spans="1:20" ht="22.5" customHeight="1" x14ac:dyDescent="0.4"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44" t="s">
        <v>49</v>
      </c>
      <c r="O315" s="44"/>
      <c r="P315" s="44"/>
      <c r="Q315" s="45">
        <f ca="1">TODAY()</f>
        <v>45721</v>
      </c>
      <c r="R315" s="46"/>
      <c r="S315" s="46"/>
      <c r="T315" s="46"/>
    </row>
    <row r="316" spans="1:20" ht="33.75" customHeight="1" x14ac:dyDescent="0.4">
      <c r="B316" s="47" t="s">
        <v>50</v>
      </c>
      <c r="C316" s="48"/>
      <c r="D316" s="48"/>
      <c r="E316" s="48"/>
      <c r="F316" s="49">
        <f ca="1">OFFSET(総合成績評価!$B$3,A313,0)</f>
        <v>2304095</v>
      </c>
      <c r="G316" s="49"/>
      <c r="H316" s="49"/>
      <c r="I316" s="49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</row>
    <row r="317" spans="1:20" ht="33.75" customHeight="1" x14ac:dyDescent="0.4">
      <c r="B317" s="47" t="s">
        <v>51</v>
      </c>
      <c r="C317" s="48"/>
      <c r="D317" s="48"/>
      <c r="E317" s="48"/>
      <c r="F317" s="50" t="str">
        <f ca="1">OFFSET(総合成績評価!$B$3,A313,1)</f>
        <v>2-1</v>
      </c>
      <c r="G317" s="50"/>
      <c r="H317" s="50"/>
      <c r="I317" s="50"/>
      <c r="J317" s="38"/>
      <c r="K317" s="38"/>
      <c r="L317" s="38"/>
      <c r="M317" s="47" t="s">
        <v>48</v>
      </c>
      <c r="N317" s="47"/>
      <c r="O317" s="47"/>
      <c r="P317" s="47"/>
      <c r="Q317" s="51">
        <f ca="1">VALUE(VLOOKUP(F316,入力②出席率!B:G,6))</f>
        <v>0.97750000000000004</v>
      </c>
      <c r="R317" s="51"/>
      <c r="S317" s="51"/>
      <c r="T317" s="51"/>
    </row>
    <row r="318" spans="1:20" ht="33.75" customHeight="1" x14ac:dyDescent="0.4">
      <c r="B318" s="47" t="s">
        <v>52</v>
      </c>
      <c r="C318" s="48"/>
      <c r="D318" s="48"/>
      <c r="E318" s="48"/>
      <c r="F318" s="69" t="str">
        <f ca="1">OFFSET(総合成績評価!$B$3,A313,3)</f>
        <v>ARMAN HOSSAN OBEY</v>
      </c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</row>
    <row r="319" spans="1:20" ht="22.5" customHeight="1" thickBot="1" x14ac:dyDescent="0.45">
      <c r="B319" s="41" t="s">
        <v>47</v>
      </c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</row>
    <row r="320" spans="1:20" ht="22.5" customHeight="1" x14ac:dyDescent="0.4">
      <c r="F320" s="70" t="s">
        <v>30</v>
      </c>
      <c r="G320" s="70"/>
      <c r="H320" s="70"/>
      <c r="I320" s="70" t="s">
        <v>31</v>
      </c>
      <c r="J320" s="70"/>
      <c r="K320" s="70"/>
      <c r="L320" s="70" t="s">
        <v>32</v>
      </c>
      <c r="M320" s="70"/>
      <c r="N320" s="71"/>
      <c r="O320" s="72" t="s">
        <v>33</v>
      </c>
      <c r="P320" s="73"/>
      <c r="Q320" s="73"/>
      <c r="R320" s="73" t="s">
        <v>34</v>
      </c>
      <c r="S320" s="73"/>
      <c r="T320" s="74"/>
    </row>
    <row r="321" spans="2:20" ht="30" customHeight="1" x14ac:dyDescent="0.4">
      <c r="F321" s="52" t="s">
        <v>35</v>
      </c>
      <c r="G321" s="52"/>
      <c r="H321" s="52"/>
      <c r="I321" s="53" t="s">
        <v>36</v>
      </c>
      <c r="J321" s="53"/>
      <c r="K321" s="53"/>
      <c r="L321" s="53" t="s">
        <v>37</v>
      </c>
      <c r="M321" s="52"/>
      <c r="N321" s="54"/>
      <c r="O321" s="55" t="s">
        <v>38</v>
      </c>
      <c r="P321" s="52"/>
      <c r="Q321" s="52"/>
      <c r="R321" s="52" t="s">
        <v>39</v>
      </c>
      <c r="S321" s="52"/>
      <c r="T321" s="56"/>
    </row>
    <row r="322" spans="2:20" ht="37.5" customHeight="1" x14ac:dyDescent="0.4">
      <c r="B322" s="57" t="s">
        <v>40</v>
      </c>
      <c r="C322" s="57"/>
      <c r="D322" s="57"/>
      <c r="E322" s="57"/>
      <c r="F322" s="58">
        <f ca="1">OFFSET(総合成績評価!$B$3,A313,4)</f>
        <v>59.983305305873074</v>
      </c>
      <c r="G322" s="58"/>
      <c r="H322" s="58"/>
      <c r="I322" s="59">
        <f ca="1">OFFSET(総合成績評価!$B$3,A313,11)</f>
        <v>13.987500000000001</v>
      </c>
      <c r="J322" s="60"/>
      <c r="K322" s="61"/>
      <c r="L322" s="59">
        <f ca="1">OFFSET(総合成績評価!$B$3,A313,12)</f>
        <v>15</v>
      </c>
      <c r="M322" s="60"/>
      <c r="N322" s="60"/>
      <c r="O322" s="68">
        <f ca="1">OFFSET(総合成績評価!$B$3,A313,13)</f>
        <v>88.970805305873071</v>
      </c>
      <c r="P322" s="58"/>
      <c r="Q322" s="58"/>
      <c r="R322" s="75" t="str">
        <f ca="1">OFFSET(総合成績評価!$B$3,A313,14)</f>
        <v>A</v>
      </c>
      <c r="S322" s="75"/>
      <c r="T322" s="76"/>
    </row>
    <row r="323" spans="2:20" ht="37.5" customHeight="1" x14ac:dyDescent="0.4">
      <c r="B323" s="57" t="s">
        <v>41</v>
      </c>
      <c r="C323" s="75"/>
      <c r="D323" s="75"/>
      <c r="E323" s="75"/>
      <c r="F323" s="58">
        <f ca="1">OFFSET(総合成績評価!$B$3,A313,5)</f>
        <v>64.988531689410337</v>
      </c>
      <c r="G323" s="58"/>
      <c r="H323" s="58"/>
      <c r="I323" s="62"/>
      <c r="J323" s="63"/>
      <c r="K323" s="64"/>
      <c r="L323" s="62"/>
      <c r="M323" s="63"/>
      <c r="N323" s="63"/>
      <c r="O323" s="68">
        <f ca="1">OFFSET(総合成績評価!$B$3,A313,15)</f>
        <v>93.976031689410334</v>
      </c>
      <c r="P323" s="58"/>
      <c r="Q323" s="58"/>
      <c r="R323" s="75" t="str">
        <f ca="1">OFFSET(総合成績評価!$B$3,A313,16)</f>
        <v>A</v>
      </c>
      <c r="S323" s="75"/>
      <c r="T323" s="76"/>
    </row>
    <row r="324" spans="2:20" ht="37.5" customHeight="1" x14ac:dyDescent="0.4">
      <c r="B324" s="57" t="s">
        <v>42</v>
      </c>
      <c r="C324" s="75"/>
      <c r="D324" s="75"/>
      <c r="E324" s="75"/>
      <c r="F324" s="58">
        <f ca="1">OFFSET(総合成績評価!$B$3,A313,6)</f>
        <v>57.447875912859772</v>
      </c>
      <c r="G324" s="58"/>
      <c r="H324" s="58"/>
      <c r="I324" s="62"/>
      <c r="J324" s="63"/>
      <c r="K324" s="64"/>
      <c r="L324" s="62"/>
      <c r="M324" s="63"/>
      <c r="N324" s="63"/>
      <c r="O324" s="68">
        <f ca="1">OFFSET(総合成績評価!$B$3,A313,17)</f>
        <v>86.435375912859769</v>
      </c>
      <c r="P324" s="58"/>
      <c r="Q324" s="58"/>
      <c r="R324" s="75" t="str">
        <f ca="1">OFFSET(総合成績評価!$B$3,A313,18)</f>
        <v>A</v>
      </c>
      <c r="S324" s="75"/>
      <c r="T324" s="76"/>
    </row>
    <row r="325" spans="2:20" ht="37.5" customHeight="1" x14ac:dyDescent="0.4">
      <c r="B325" s="57" t="s">
        <v>43</v>
      </c>
      <c r="C325" s="75"/>
      <c r="D325" s="75"/>
      <c r="E325" s="75"/>
      <c r="F325" s="58">
        <f ca="1">OFFSET(総合成績評価!$B$3,A313,7)</f>
        <v>62.966239224962806</v>
      </c>
      <c r="G325" s="58"/>
      <c r="H325" s="58"/>
      <c r="I325" s="62"/>
      <c r="J325" s="63"/>
      <c r="K325" s="64"/>
      <c r="L325" s="62"/>
      <c r="M325" s="63"/>
      <c r="N325" s="63"/>
      <c r="O325" s="68">
        <f ca="1">OFFSET(総合成績評価!$B$3,A313,19)</f>
        <v>91.953739224962803</v>
      </c>
      <c r="P325" s="58"/>
      <c r="Q325" s="58"/>
      <c r="R325" s="75" t="str">
        <f ca="1">OFFSET(総合成績評価!$B$3,A313,20)</f>
        <v>A</v>
      </c>
      <c r="S325" s="75"/>
      <c r="T325" s="76"/>
    </row>
    <row r="326" spans="2:20" ht="37.5" customHeight="1" x14ac:dyDescent="0.4">
      <c r="B326" s="57" t="s">
        <v>44</v>
      </c>
      <c r="C326" s="75"/>
      <c r="D326" s="75"/>
      <c r="E326" s="75"/>
      <c r="F326" s="58">
        <f ca="1">OFFSET(総合成績評価!$B$3,A313,8)</f>
        <v>58.541019662496844</v>
      </c>
      <c r="G326" s="58"/>
      <c r="H326" s="58"/>
      <c r="I326" s="62"/>
      <c r="J326" s="63"/>
      <c r="K326" s="64"/>
      <c r="L326" s="62"/>
      <c r="M326" s="63"/>
      <c r="N326" s="63"/>
      <c r="O326" s="68">
        <f ca="1">OFFSET(総合成績評価!$B$3,A313,21)</f>
        <v>87.528519662496848</v>
      </c>
      <c r="P326" s="58"/>
      <c r="Q326" s="58"/>
      <c r="R326" s="75" t="str">
        <f ca="1">OFFSET(総合成績評価!$B$3,A313,22)</f>
        <v>A</v>
      </c>
      <c r="S326" s="75"/>
      <c r="T326" s="76"/>
    </row>
    <row r="327" spans="2:20" ht="37.5" customHeight="1" thickBot="1" x14ac:dyDescent="0.45">
      <c r="B327" s="77" t="s">
        <v>45</v>
      </c>
      <c r="C327" s="70"/>
      <c r="D327" s="70"/>
      <c r="E327" s="70"/>
      <c r="F327" s="78">
        <f ca="1">OFFSET(総合成績評価!$B$3,A313,9)</f>
        <v>64.755302624562376</v>
      </c>
      <c r="G327" s="78"/>
      <c r="H327" s="78"/>
      <c r="I327" s="62"/>
      <c r="J327" s="63"/>
      <c r="K327" s="64"/>
      <c r="L327" s="62"/>
      <c r="M327" s="63"/>
      <c r="N327" s="63"/>
      <c r="O327" s="79">
        <f ca="1">OFFSET(総合成績評価!$B$3,A313,23)</f>
        <v>93.742802624562373</v>
      </c>
      <c r="P327" s="78"/>
      <c r="Q327" s="78"/>
      <c r="R327" s="70" t="str">
        <f ca="1">OFFSET(総合成績評価!$B$3,A313,24)</f>
        <v>A</v>
      </c>
      <c r="S327" s="70"/>
      <c r="T327" s="80"/>
    </row>
    <row r="328" spans="2:20" ht="37.5" customHeight="1" thickTop="1" thickBot="1" x14ac:dyDescent="0.45">
      <c r="B328" s="81" t="s">
        <v>46</v>
      </c>
      <c r="C328" s="82"/>
      <c r="D328" s="82"/>
      <c r="E328" s="82"/>
      <c r="F328" s="83">
        <f ca="1">OFFSET(総合成績評価!$B$3,A313,10)</f>
        <v>62.77539273431865</v>
      </c>
      <c r="G328" s="83"/>
      <c r="H328" s="83"/>
      <c r="I328" s="65"/>
      <c r="J328" s="66"/>
      <c r="K328" s="67"/>
      <c r="L328" s="65"/>
      <c r="M328" s="66"/>
      <c r="N328" s="66"/>
      <c r="O328" s="84">
        <f ca="1">OFFSET(総合成績評価!$B$3,A313,25)</f>
        <v>91.762892734318655</v>
      </c>
      <c r="P328" s="85"/>
      <c r="Q328" s="85"/>
      <c r="R328" s="86" t="str">
        <f ca="1">OFFSET(総合成績評価!$B$3,A313,26)</f>
        <v>A</v>
      </c>
      <c r="S328" s="86"/>
      <c r="T328" s="87"/>
    </row>
    <row r="339" spans="1:20" ht="22.5" customHeight="1" x14ac:dyDescent="0.4">
      <c r="A339" s="35">
        <f>A313+1</f>
        <v>13</v>
      </c>
      <c r="B339" s="43" t="s">
        <v>29</v>
      </c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</row>
    <row r="340" spans="1:20" ht="22.5" customHeight="1" x14ac:dyDescent="0.4"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</row>
    <row r="341" spans="1:20" ht="22.5" customHeight="1" x14ac:dyDescent="0.4"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44" t="s">
        <v>49</v>
      </c>
      <c r="O341" s="44"/>
      <c r="P341" s="44"/>
      <c r="Q341" s="45">
        <f ca="1">TODAY()</f>
        <v>45721</v>
      </c>
      <c r="R341" s="46"/>
      <c r="S341" s="46"/>
      <c r="T341" s="46"/>
    </row>
    <row r="342" spans="1:20" ht="33.75" customHeight="1" x14ac:dyDescent="0.4">
      <c r="B342" s="47" t="s">
        <v>50</v>
      </c>
      <c r="C342" s="48"/>
      <c r="D342" s="48"/>
      <c r="E342" s="48"/>
      <c r="F342" s="49">
        <f ca="1">OFFSET(総合成績評価!$B$3,A339,0)</f>
        <v>2307002</v>
      </c>
      <c r="G342" s="49"/>
      <c r="H342" s="49"/>
      <c r="I342" s="49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</row>
    <row r="343" spans="1:20" ht="33.75" customHeight="1" x14ac:dyDescent="0.4">
      <c r="B343" s="47" t="s">
        <v>51</v>
      </c>
      <c r="C343" s="48"/>
      <c r="D343" s="48"/>
      <c r="E343" s="48"/>
      <c r="F343" s="50" t="str">
        <f ca="1">OFFSET(総合成績評価!$B$3,A339,1)</f>
        <v>2-1</v>
      </c>
      <c r="G343" s="50"/>
      <c r="H343" s="50"/>
      <c r="I343" s="50"/>
      <c r="J343" s="38"/>
      <c r="K343" s="38"/>
      <c r="L343" s="38"/>
      <c r="M343" s="47" t="s">
        <v>48</v>
      </c>
      <c r="N343" s="47"/>
      <c r="O343" s="47"/>
      <c r="P343" s="47"/>
      <c r="Q343" s="51">
        <f ca="1">VALUE(VLOOKUP(F342,入力②出席率!B:G,6))</f>
        <v>0.97549999999999903</v>
      </c>
      <c r="R343" s="51"/>
      <c r="S343" s="51"/>
      <c r="T343" s="51"/>
    </row>
    <row r="344" spans="1:20" ht="33.75" customHeight="1" x14ac:dyDescent="0.4">
      <c r="B344" s="47" t="s">
        <v>52</v>
      </c>
      <c r="C344" s="48"/>
      <c r="D344" s="48"/>
      <c r="E344" s="48"/>
      <c r="F344" s="69" t="str">
        <f ca="1">OFFSET(総合成績評価!$B$3,A339,3)</f>
        <v>李 凱</v>
      </c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69"/>
      <c r="R344" s="69"/>
      <c r="S344" s="69"/>
      <c r="T344" s="69"/>
    </row>
    <row r="345" spans="1:20" ht="22.5" customHeight="1" thickBot="1" x14ac:dyDescent="0.45">
      <c r="B345" s="41" t="s">
        <v>47</v>
      </c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</row>
    <row r="346" spans="1:20" ht="22.5" customHeight="1" x14ac:dyDescent="0.4">
      <c r="F346" s="70" t="s">
        <v>30</v>
      </c>
      <c r="G346" s="70"/>
      <c r="H346" s="70"/>
      <c r="I346" s="70" t="s">
        <v>31</v>
      </c>
      <c r="J346" s="70"/>
      <c r="K346" s="70"/>
      <c r="L346" s="70" t="s">
        <v>32</v>
      </c>
      <c r="M346" s="70"/>
      <c r="N346" s="71"/>
      <c r="O346" s="72" t="s">
        <v>33</v>
      </c>
      <c r="P346" s="73"/>
      <c r="Q346" s="73"/>
      <c r="R346" s="73" t="s">
        <v>34</v>
      </c>
      <c r="S346" s="73"/>
      <c r="T346" s="74"/>
    </row>
    <row r="347" spans="1:20" ht="30" customHeight="1" x14ac:dyDescent="0.4">
      <c r="F347" s="52" t="s">
        <v>35</v>
      </c>
      <c r="G347" s="52"/>
      <c r="H347" s="52"/>
      <c r="I347" s="53" t="s">
        <v>36</v>
      </c>
      <c r="J347" s="53"/>
      <c r="K347" s="53"/>
      <c r="L347" s="53" t="s">
        <v>37</v>
      </c>
      <c r="M347" s="52"/>
      <c r="N347" s="54"/>
      <c r="O347" s="55" t="s">
        <v>38</v>
      </c>
      <c r="P347" s="52"/>
      <c r="Q347" s="52"/>
      <c r="R347" s="52" t="s">
        <v>39</v>
      </c>
      <c r="S347" s="52"/>
      <c r="T347" s="56"/>
    </row>
    <row r="348" spans="1:20" ht="37.5" customHeight="1" x14ac:dyDescent="0.4">
      <c r="B348" s="57" t="s">
        <v>40</v>
      </c>
      <c r="C348" s="57"/>
      <c r="D348" s="57"/>
      <c r="E348" s="57"/>
      <c r="F348" s="58">
        <f ca="1">OFFSET(総合成績評価!$B$3,A339,4)</f>
        <v>69.503570547913228</v>
      </c>
      <c r="G348" s="58"/>
      <c r="H348" s="58"/>
      <c r="I348" s="59">
        <f ca="1">OFFSET(総合成績評価!$B$3,A339,11)</f>
        <v>13.897499999999956</v>
      </c>
      <c r="J348" s="60"/>
      <c r="K348" s="61"/>
      <c r="L348" s="59">
        <f ca="1">OFFSET(総合成績評価!$B$3,A339,12)</f>
        <v>15</v>
      </c>
      <c r="M348" s="60"/>
      <c r="N348" s="60"/>
      <c r="O348" s="68">
        <f ca="1">OFFSET(総合成績評価!$B$3,A339,13)</f>
        <v>98.401070547913179</v>
      </c>
      <c r="P348" s="58"/>
      <c r="Q348" s="58"/>
      <c r="R348" s="75" t="str">
        <f ca="1">OFFSET(総合成績評価!$B$3,A339,14)</f>
        <v>A</v>
      </c>
      <c r="S348" s="75"/>
      <c r="T348" s="76"/>
    </row>
    <row r="349" spans="1:20" ht="37.5" customHeight="1" x14ac:dyDescent="0.4">
      <c r="B349" s="57" t="s">
        <v>41</v>
      </c>
      <c r="C349" s="75"/>
      <c r="D349" s="75"/>
      <c r="E349" s="75"/>
      <c r="F349" s="58">
        <f ca="1">OFFSET(総合成績評価!$B$3,A339,5)</f>
        <v>61.463414634146346</v>
      </c>
      <c r="G349" s="58"/>
      <c r="H349" s="58"/>
      <c r="I349" s="62"/>
      <c r="J349" s="63"/>
      <c r="K349" s="64"/>
      <c r="L349" s="62"/>
      <c r="M349" s="63"/>
      <c r="N349" s="63"/>
      <c r="O349" s="68">
        <f ca="1">OFFSET(総合成績評価!$B$3,A339,15)</f>
        <v>90.360914634146297</v>
      </c>
      <c r="P349" s="58"/>
      <c r="Q349" s="58"/>
      <c r="R349" s="75" t="str">
        <f ca="1">OFFSET(総合成績評価!$B$3,A339,16)</f>
        <v>A</v>
      </c>
      <c r="S349" s="75"/>
      <c r="T349" s="76"/>
    </row>
    <row r="350" spans="1:20" ht="37.5" customHeight="1" x14ac:dyDescent="0.4">
      <c r="B350" s="57" t="s">
        <v>42</v>
      </c>
      <c r="C350" s="75"/>
      <c r="D350" s="75"/>
      <c r="E350" s="75"/>
      <c r="F350" s="58">
        <f ca="1">OFFSET(総合成績評価!$B$3,A339,6)</f>
        <v>69.58085308672284</v>
      </c>
      <c r="G350" s="58"/>
      <c r="H350" s="58"/>
      <c r="I350" s="62"/>
      <c r="J350" s="63"/>
      <c r="K350" s="64"/>
      <c r="L350" s="62"/>
      <c r="M350" s="63"/>
      <c r="N350" s="63"/>
      <c r="O350" s="68">
        <f ca="1">OFFSET(総合成績評価!$B$3,A339,17)</f>
        <v>98.478353086722791</v>
      </c>
      <c r="P350" s="58"/>
      <c r="Q350" s="58"/>
      <c r="R350" s="75" t="str">
        <f ca="1">OFFSET(総合成績評価!$B$3,A339,18)</f>
        <v>A</v>
      </c>
      <c r="S350" s="75"/>
      <c r="T350" s="76"/>
    </row>
    <row r="351" spans="1:20" ht="37.5" customHeight="1" x14ac:dyDescent="0.4">
      <c r="B351" s="57" t="s">
        <v>43</v>
      </c>
      <c r="C351" s="75"/>
      <c r="D351" s="75"/>
      <c r="E351" s="75"/>
      <c r="F351" s="58">
        <f ca="1">OFFSET(総合成績評価!$B$3,A339,7)</f>
        <v>60.516803778031729</v>
      </c>
      <c r="G351" s="58"/>
      <c r="H351" s="58"/>
      <c r="I351" s="62"/>
      <c r="J351" s="63"/>
      <c r="K351" s="64"/>
      <c r="L351" s="62"/>
      <c r="M351" s="63"/>
      <c r="N351" s="63"/>
      <c r="O351" s="68">
        <f ca="1">OFFSET(総合成績評価!$B$3,A339,19)</f>
        <v>89.41430377803168</v>
      </c>
      <c r="P351" s="58"/>
      <c r="Q351" s="58"/>
      <c r="R351" s="75" t="str">
        <f ca="1">OFFSET(総合成績評価!$B$3,A339,20)</f>
        <v>A</v>
      </c>
      <c r="S351" s="75"/>
      <c r="T351" s="76"/>
    </row>
    <row r="352" spans="1:20" ht="37.5" customHeight="1" x14ac:dyDescent="0.4">
      <c r="B352" s="57" t="s">
        <v>44</v>
      </c>
      <c r="C352" s="75"/>
      <c r="D352" s="75"/>
      <c r="E352" s="75"/>
      <c r="F352" s="58">
        <f ca="1">OFFSET(総合成績評価!$B$3,A339,8)</f>
        <v>70</v>
      </c>
      <c r="G352" s="58"/>
      <c r="H352" s="58"/>
      <c r="I352" s="62"/>
      <c r="J352" s="63"/>
      <c r="K352" s="64"/>
      <c r="L352" s="62"/>
      <c r="M352" s="63"/>
      <c r="N352" s="63"/>
      <c r="O352" s="68">
        <f ca="1">OFFSET(総合成績評価!$B$3,A339,21)</f>
        <v>98.897499999999951</v>
      </c>
      <c r="P352" s="58"/>
      <c r="Q352" s="58"/>
      <c r="R352" s="75" t="str">
        <f ca="1">OFFSET(総合成績評価!$B$3,A339,22)</f>
        <v>A</v>
      </c>
      <c r="S352" s="75"/>
      <c r="T352" s="76"/>
    </row>
    <row r="353" spans="1:20" ht="37.5" customHeight="1" thickBot="1" x14ac:dyDescent="0.45">
      <c r="B353" s="77" t="s">
        <v>45</v>
      </c>
      <c r="C353" s="70"/>
      <c r="D353" s="70"/>
      <c r="E353" s="70"/>
      <c r="F353" s="78">
        <f ca="1">OFFSET(総合成績評価!$B$3,A339,9)</f>
        <v>62.292856398964496</v>
      </c>
      <c r="G353" s="78"/>
      <c r="H353" s="78"/>
      <c r="I353" s="62"/>
      <c r="J353" s="63"/>
      <c r="K353" s="64"/>
      <c r="L353" s="62"/>
      <c r="M353" s="63"/>
      <c r="N353" s="63"/>
      <c r="O353" s="79">
        <f ca="1">OFFSET(総合成績評価!$B$3,A339,23)</f>
        <v>91.190356398964454</v>
      </c>
      <c r="P353" s="78"/>
      <c r="Q353" s="78"/>
      <c r="R353" s="70" t="str">
        <f ca="1">OFFSET(総合成績評価!$B$3,A339,24)</f>
        <v>A</v>
      </c>
      <c r="S353" s="70"/>
      <c r="T353" s="80"/>
    </row>
    <row r="354" spans="1:20" ht="37.5" customHeight="1" thickTop="1" thickBot="1" x14ac:dyDescent="0.45">
      <c r="B354" s="81" t="s">
        <v>46</v>
      </c>
      <c r="C354" s="82"/>
      <c r="D354" s="82"/>
      <c r="E354" s="82"/>
      <c r="F354" s="83">
        <f ca="1">OFFSET(総合成績評価!$B$3,A339,10)</f>
        <v>66.886272524541027</v>
      </c>
      <c r="G354" s="83"/>
      <c r="H354" s="83"/>
      <c r="I354" s="65"/>
      <c r="J354" s="66"/>
      <c r="K354" s="67"/>
      <c r="L354" s="65"/>
      <c r="M354" s="66"/>
      <c r="N354" s="66"/>
      <c r="O354" s="84">
        <f ca="1">OFFSET(総合成績評価!$B$3,A339,25)</f>
        <v>95.783772524540979</v>
      </c>
      <c r="P354" s="85"/>
      <c r="Q354" s="85"/>
      <c r="R354" s="86" t="str">
        <f ca="1">OFFSET(総合成績評価!$B$3,A339,26)</f>
        <v>A</v>
      </c>
      <c r="S354" s="86"/>
      <c r="T354" s="87"/>
    </row>
    <row r="365" spans="1:20" ht="22.5" customHeight="1" x14ac:dyDescent="0.4">
      <c r="A365" s="35">
        <f>A339+1</f>
        <v>14</v>
      </c>
      <c r="B365" s="43" t="s">
        <v>29</v>
      </c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</row>
    <row r="366" spans="1:20" ht="22.5" customHeight="1" x14ac:dyDescent="0.4"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</row>
    <row r="367" spans="1:20" ht="22.5" customHeight="1" x14ac:dyDescent="0.4"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44" t="s">
        <v>49</v>
      </c>
      <c r="O367" s="44"/>
      <c r="P367" s="44"/>
      <c r="Q367" s="45">
        <f ca="1">TODAY()</f>
        <v>45721</v>
      </c>
      <c r="R367" s="46"/>
      <c r="S367" s="46"/>
      <c r="T367" s="46"/>
    </row>
    <row r="368" spans="1:20" ht="33.75" customHeight="1" x14ac:dyDescent="0.4">
      <c r="B368" s="47" t="s">
        <v>50</v>
      </c>
      <c r="C368" s="48"/>
      <c r="D368" s="48"/>
      <c r="E368" s="48"/>
      <c r="F368" s="49">
        <f ca="1">OFFSET(総合成績評価!$B$3,A365,0)</f>
        <v>2307004</v>
      </c>
      <c r="G368" s="49"/>
      <c r="H368" s="49"/>
      <c r="I368" s="49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</row>
    <row r="369" spans="2:20" ht="33.75" customHeight="1" x14ac:dyDescent="0.4">
      <c r="B369" s="47" t="s">
        <v>51</v>
      </c>
      <c r="C369" s="48"/>
      <c r="D369" s="48"/>
      <c r="E369" s="48"/>
      <c r="F369" s="50" t="str">
        <f ca="1">OFFSET(総合成績評価!$B$3,A365,1)</f>
        <v>2-1</v>
      </c>
      <c r="G369" s="50"/>
      <c r="H369" s="50"/>
      <c r="I369" s="50"/>
      <c r="J369" s="38"/>
      <c r="K369" s="38"/>
      <c r="L369" s="38"/>
      <c r="M369" s="47" t="s">
        <v>48</v>
      </c>
      <c r="N369" s="47"/>
      <c r="O369" s="47"/>
      <c r="P369" s="47"/>
      <c r="Q369" s="51">
        <f ca="1">VALUE(VLOOKUP(F368,入力②出席率!B:G,6))</f>
        <v>0.99459999999999904</v>
      </c>
      <c r="R369" s="51"/>
      <c r="S369" s="51"/>
      <c r="T369" s="51"/>
    </row>
    <row r="370" spans="2:20" ht="33.75" customHeight="1" x14ac:dyDescent="0.4">
      <c r="B370" s="47" t="s">
        <v>52</v>
      </c>
      <c r="C370" s="48"/>
      <c r="D370" s="48"/>
      <c r="E370" s="48"/>
      <c r="F370" s="69" t="str">
        <f ca="1">OFFSET(総合成績評価!$B$3,A365,3)</f>
        <v>孫 有卓</v>
      </c>
      <c r="G370" s="69"/>
      <c r="H370" s="69"/>
      <c r="I370" s="69"/>
      <c r="J370" s="69"/>
      <c r="K370" s="69"/>
      <c r="L370" s="69"/>
      <c r="M370" s="69"/>
      <c r="N370" s="69"/>
      <c r="O370" s="69"/>
      <c r="P370" s="69"/>
      <c r="Q370" s="69"/>
      <c r="R370" s="69"/>
      <c r="S370" s="69"/>
      <c r="T370" s="69"/>
    </row>
    <row r="371" spans="2:20" ht="22.5" customHeight="1" thickBot="1" x14ac:dyDescent="0.45">
      <c r="B371" s="41" t="s">
        <v>47</v>
      </c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</row>
    <row r="372" spans="2:20" ht="22.5" customHeight="1" x14ac:dyDescent="0.4">
      <c r="F372" s="70" t="s">
        <v>30</v>
      </c>
      <c r="G372" s="70"/>
      <c r="H372" s="70"/>
      <c r="I372" s="70" t="s">
        <v>31</v>
      </c>
      <c r="J372" s="70"/>
      <c r="K372" s="70"/>
      <c r="L372" s="70" t="s">
        <v>32</v>
      </c>
      <c r="M372" s="70"/>
      <c r="N372" s="71"/>
      <c r="O372" s="72" t="s">
        <v>33</v>
      </c>
      <c r="P372" s="73"/>
      <c r="Q372" s="73"/>
      <c r="R372" s="73" t="s">
        <v>34</v>
      </c>
      <c r="S372" s="73"/>
      <c r="T372" s="74"/>
    </row>
    <row r="373" spans="2:20" ht="30" customHeight="1" x14ac:dyDescent="0.4">
      <c r="F373" s="52" t="s">
        <v>35</v>
      </c>
      <c r="G373" s="52"/>
      <c r="H373" s="52"/>
      <c r="I373" s="53" t="s">
        <v>36</v>
      </c>
      <c r="J373" s="53"/>
      <c r="K373" s="53"/>
      <c r="L373" s="53" t="s">
        <v>37</v>
      </c>
      <c r="M373" s="52"/>
      <c r="N373" s="54"/>
      <c r="O373" s="55" t="s">
        <v>38</v>
      </c>
      <c r="P373" s="52"/>
      <c r="Q373" s="52"/>
      <c r="R373" s="52" t="s">
        <v>39</v>
      </c>
      <c r="S373" s="52"/>
      <c r="T373" s="56"/>
    </row>
    <row r="374" spans="2:20" ht="37.5" customHeight="1" x14ac:dyDescent="0.4">
      <c r="B374" s="57" t="s">
        <v>40</v>
      </c>
      <c r="C374" s="57"/>
      <c r="D374" s="57"/>
      <c r="E374" s="57"/>
      <c r="F374" s="58">
        <f ca="1">OFFSET(総合成績評価!$B$3,A365,4)</f>
        <v>70</v>
      </c>
      <c r="G374" s="58"/>
      <c r="H374" s="58"/>
      <c r="I374" s="59">
        <f ca="1">OFFSET(総合成績評価!$B$3,A365,11)</f>
        <v>14.756999999999957</v>
      </c>
      <c r="J374" s="60"/>
      <c r="K374" s="61"/>
      <c r="L374" s="59">
        <f ca="1">OFFSET(総合成績評価!$B$3,A365,12)</f>
        <v>14</v>
      </c>
      <c r="M374" s="60"/>
      <c r="N374" s="60"/>
      <c r="O374" s="68">
        <f ca="1">OFFSET(総合成績評価!$B$3,A365,13)</f>
        <v>98.756999999999962</v>
      </c>
      <c r="P374" s="58"/>
      <c r="Q374" s="58"/>
      <c r="R374" s="75" t="str">
        <f ca="1">OFFSET(総合成績評価!$B$3,A365,14)</f>
        <v>A</v>
      </c>
      <c r="S374" s="75"/>
      <c r="T374" s="76"/>
    </row>
    <row r="375" spans="2:20" ht="37.5" customHeight="1" x14ac:dyDescent="0.4">
      <c r="B375" s="57" t="s">
        <v>41</v>
      </c>
      <c r="C375" s="75"/>
      <c r="D375" s="75"/>
      <c r="E375" s="75"/>
      <c r="F375" s="58">
        <f ca="1">OFFSET(総合成績評価!$B$3,A365,5)</f>
        <v>66.884433679444314</v>
      </c>
      <c r="G375" s="58"/>
      <c r="H375" s="58"/>
      <c r="I375" s="62"/>
      <c r="J375" s="63"/>
      <c r="K375" s="64"/>
      <c r="L375" s="62"/>
      <c r="M375" s="63"/>
      <c r="N375" s="63"/>
      <c r="O375" s="68">
        <f ca="1">OFFSET(総合成績評価!$B$3,A365,15)</f>
        <v>95.641433679444276</v>
      </c>
      <c r="P375" s="58"/>
      <c r="Q375" s="58"/>
      <c r="R375" s="75" t="str">
        <f ca="1">OFFSET(総合成績評価!$B$3,A365,16)</f>
        <v>A</v>
      </c>
      <c r="S375" s="75"/>
      <c r="T375" s="76"/>
    </row>
    <row r="376" spans="2:20" ht="37.5" customHeight="1" x14ac:dyDescent="0.4">
      <c r="B376" s="57" t="s">
        <v>42</v>
      </c>
      <c r="C376" s="75"/>
      <c r="D376" s="75"/>
      <c r="E376" s="75"/>
      <c r="F376" s="58">
        <f ca="1">OFFSET(総合成績評価!$B$3,A365,6)</f>
        <v>60.138604279314897</v>
      </c>
      <c r="G376" s="58"/>
      <c r="H376" s="58"/>
      <c r="I376" s="62"/>
      <c r="J376" s="63"/>
      <c r="K376" s="64"/>
      <c r="L376" s="62"/>
      <c r="M376" s="63"/>
      <c r="N376" s="63"/>
      <c r="O376" s="68">
        <f ca="1">OFFSET(総合成績評価!$B$3,A365,17)</f>
        <v>88.895604279314853</v>
      </c>
      <c r="P376" s="58"/>
      <c r="Q376" s="58"/>
      <c r="R376" s="75" t="str">
        <f ca="1">OFFSET(総合成績評価!$B$3,A365,18)</f>
        <v>A</v>
      </c>
      <c r="S376" s="75"/>
      <c r="T376" s="76"/>
    </row>
    <row r="377" spans="2:20" ht="37.5" customHeight="1" x14ac:dyDescent="0.4">
      <c r="B377" s="57" t="s">
        <v>43</v>
      </c>
      <c r="C377" s="75"/>
      <c r="D377" s="75"/>
      <c r="E377" s="75"/>
      <c r="F377" s="58">
        <f ca="1">OFFSET(総合成績評価!$B$3,A365,7)</f>
        <v>66.191529556204046</v>
      </c>
      <c r="G377" s="58"/>
      <c r="H377" s="58"/>
      <c r="I377" s="62"/>
      <c r="J377" s="63"/>
      <c r="K377" s="64"/>
      <c r="L377" s="62"/>
      <c r="M377" s="63"/>
      <c r="N377" s="63"/>
      <c r="O377" s="68">
        <f ca="1">OFFSET(総合成績評価!$B$3,A365,19)</f>
        <v>94.948529556204008</v>
      </c>
      <c r="P377" s="58"/>
      <c r="Q377" s="58"/>
      <c r="R377" s="75" t="str">
        <f ca="1">OFFSET(総合成績評価!$B$3,A365,20)</f>
        <v>A</v>
      </c>
      <c r="S377" s="75"/>
      <c r="T377" s="76"/>
    </row>
    <row r="378" spans="2:20" ht="37.5" customHeight="1" x14ac:dyDescent="0.4">
      <c r="B378" s="57" t="s">
        <v>44</v>
      </c>
      <c r="C378" s="75"/>
      <c r="D378" s="75"/>
      <c r="E378" s="75"/>
      <c r="F378" s="58">
        <f ca="1">OFFSET(総合成績評価!$B$3,A365,8)</f>
        <v>63.397945590311593</v>
      </c>
      <c r="G378" s="58"/>
      <c r="H378" s="58"/>
      <c r="I378" s="62"/>
      <c r="J378" s="63"/>
      <c r="K378" s="64"/>
      <c r="L378" s="62"/>
      <c r="M378" s="63"/>
      <c r="N378" s="63"/>
      <c r="O378" s="68">
        <f ca="1">OFFSET(総合成績評価!$B$3,A365,21)</f>
        <v>92.154945590311556</v>
      </c>
      <c r="P378" s="58"/>
      <c r="Q378" s="58"/>
      <c r="R378" s="75" t="str">
        <f ca="1">OFFSET(総合成績評価!$B$3,A365,22)</f>
        <v>A</v>
      </c>
      <c r="S378" s="75"/>
      <c r="T378" s="76"/>
    </row>
    <row r="379" spans="2:20" ht="37.5" customHeight="1" thickBot="1" x14ac:dyDescent="0.45">
      <c r="B379" s="77" t="s">
        <v>45</v>
      </c>
      <c r="C379" s="70"/>
      <c r="D379" s="70"/>
      <c r="E379" s="70"/>
      <c r="F379" s="78">
        <f ca="1">OFFSET(総合成績評価!$B$3,A365,9)</f>
        <v>60.577051078632472</v>
      </c>
      <c r="G379" s="78"/>
      <c r="H379" s="78"/>
      <c r="I379" s="62"/>
      <c r="J379" s="63"/>
      <c r="K379" s="64"/>
      <c r="L379" s="62"/>
      <c r="M379" s="63"/>
      <c r="N379" s="63"/>
      <c r="O379" s="79">
        <f ca="1">OFFSET(総合成績評価!$B$3,A365,23)</f>
        <v>89.334051078632427</v>
      </c>
      <c r="P379" s="78"/>
      <c r="Q379" s="78"/>
      <c r="R379" s="70" t="str">
        <f ca="1">OFFSET(総合成績評価!$B$3,A365,24)</f>
        <v>A</v>
      </c>
      <c r="S379" s="70"/>
      <c r="T379" s="80"/>
    </row>
    <row r="380" spans="2:20" ht="37.5" customHeight="1" thickTop="1" thickBot="1" x14ac:dyDescent="0.45">
      <c r="B380" s="81" t="s">
        <v>46</v>
      </c>
      <c r="C380" s="82"/>
      <c r="D380" s="82"/>
      <c r="E380" s="82"/>
      <c r="F380" s="83">
        <f ca="1">OFFSET(総合成績評価!$B$3,A365,10)</f>
        <v>65.584432436655078</v>
      </c>
      <c r="G380" s="83"/>
      <c r="H380" s="83"/>
      <c r="I380" s="65"/>
      <c r="J380" s="66"/>
      <c r="K380" s="67"/>
      <c r="L380" s="65"/>
      <c r="M380" s="66"/>
      <c r="N380" s="66"/>
      <c r="O380" s="84">
        <f ca="1">OFFSET(総合成績評価!$B$3,A365,25)</f>
        <v>94.34143243665504</v>
      </c>
      <c r="P380" s="85"/>
      <c r="Q380" s="85"/>
      <c r="R380" s="86" t="str">
        <f ca="1">OFFSET(総合成績評価!$B$3,A365,26)</f>
        <v>A</v>
      </c>
      <c r="S380" s="86"/>
      <c r="T380" s="87"/>
    </row>
    <row r="391" spans="1:20" ht="22.5" customHeight="1" x14ac:dyDescent="0.4">
      <c r="A391" s="35">
        <f>A365+1</f>
        <v>15</v>
      </c>
      <c r="B391" s="43" t="s">
        <v>29</v>
      </c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</row>
    <row r="392" spans="1:20" ht="22.5" customHeight="1" x14ac:dyDescent="0.4"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</row>
    <row r="393" spans="1:20" ht="22.5" customHeight="1" x14ac:dyDescent="0.4"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44" t="s">
        <v>49</v>
      </c>
      <c r="O393" s="44"/>
      <c r="P393" s="44"/>
      <c r="Q393" s="45">
        <f ca="1">TODAY()</f>
        <v>45721</v>
      </c>
      <c r="R393" s="46"/>
      <c r="S393" s="46"/>
      <c r="T393" s="46"/>
    </row>
    <row r="394" spans="1:20" ht="33.75" customHeight="1" x14ac:dyDescent="0.4">
      <c r="B394" s="47" t="s">
        <v>50</v>
      </c>
      <c r="C394" s="48"/>
      <c r="D394" s="48"/>
      <c r="E394" s="48"/>
      <c r="F394" s="49">
        <f ca="1">OFFSET(総合成績評価!$B$3,A391,0)</f>
        <v>2307007</v>
      </c>
      <c r="G394" s="49"/>
      <c r="H394" s="49"/>
      <c r="I394" s="49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</row>
    <row r="395" spans="1:20" ht="33.75" customHeight="1" x14ac:dyDescent="0.4">
      <c r="B395" s="47" t="s">
        <v>51</v>
      </c>
      <c r="C395" s="48"/>
      <c r="D395" s="48"/>
      <c r="E395" s="48"/>
      <c r="F395" s="50" t="str">
        <f ca="1">OFFSET(総合成績評価!$B$3,A391,1)</f>
        <v>2-1</v>
      </c>
      <c r="G395" s="50"/>
      <c r="H395" s="50"/>
      <c r="I395" s="50"/>
      <c r="J395" s="38"/>
      <c r="K395" s="38"/>
      <c r="L395" s="38"/>
      <c r="M395" s="47" t="s">
        <v>48</v>
      </c>
      <c r="N395" s="47"/>
      <c r="O395" s="47"/>
      <c r="P395" s="47"/>
      <c r="Q395" s="51">
        <f ca="1">VALUE(VLOOKUP(F394,入力②出席率!B:G,6))</f>
        <v>0.96519999999999895</v>
      </c>
      <c r="R395" s="51"/>
      <c r="S395" s="51"/>
      <c r="T395" s="51"/>
    </row>
    <row r="396" spans="1:20" ht="33.75" customHeight="1" x14ac:dyDescent="0.4">
      <c r="B396" s="47" t="s">
        <v>52</v>
      </c>
      <c r="C396" s="48"/>
      <c r="D396" s="48"/>
      <c r="E396" s="48"/>
      <c r="F396" s="69" t="str">
        <f ca="1">OFFSET(総合成績評価!$B$3,A391,3)</f>
        <v>SAW MOSES GEE</v>
      </c>
      <c r="G396" s="69"/>
      <c r="H396" s="69"/>
      <c r="I396" s="69"/>
      <c r="J396" s="69"/>
      <c r="K396" s="69"/>
      <c r="L396" s="69"/>
      <c r="M396" s="69"/>
      <c r="N396" s="69"/>
      <c r="O396" s="69"/>
      <c r="P396" s="69"/>
      <c r="Q396" s="69"/>
      <c r="R396" s="69"/>
      <c r="S396" s="69"/>
      <c r="T396" s="69"/>
    </row>
    <row r="397" spans="1:20" ht="22.5" customHeight="1" thickBot="1" x14ac:dyDescent="0.45">
      <c r="B397" s="41" t="s">
        <v>47</v>
      </c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</row>
    <row r="398" spans="1:20" ht="22.5" customHeight="1" x14ac:dyDescent="0.4">
      <c r="F398" s="70" t="s">
        <v>30</v>
      </c>
      <c r="G398" s="70"/>
      <c r="H398" s="70"/>
      <c r="I398" s="70" t="s">
        <v>31</v>
      </c>
      <c r="J398" s="70"/>
      <c r="K398" s="70"/>
      <c r="L398" s="70" t="s">
        <v>32</v>
      </c>
      <c r="M398" s="70"/>
      <c r="N398" s="71"/>
      <c r="O398" s="72" t="s">
        <v>33</v>
      </c>
      <c r="P398" s="73"/>
      <c r="Q398" s="73"/>
      <c r="R398" s="73" t="s">
        <v>34</v>
      </c>
      <c r="S398" s="73"/>
      <c r="T398" s="74"/>
    </row>
    <row r="399" spans="1:20" ht="30" customHeight="1" x14ac:dyDescent="0.4">
      <c r="F399" s="52" t="s">
        <v>35</v>
      </c>
      <c r="G399" s="52"/>
      <c r="H399" s="52"/>
      <c r="I399" s="53" t="s">
        <v>36</v>
      </c>
      <c r="J399" s="53"/>
      <c r="K399" s="53"/>
      <c r="L399" s="53" t="s">
        <v>37</v>
      </c>
      <c r="M399" s="52"/>
      <c r="N399" s="54"/>
      <c r="O399" s="55" t="s">
        <v>38</v>
      </c>
      <c r="P399" s="52"/>
      <c r="Q399" s="52"/>
      <c r="R399" s="52" t="s">
        <v>39</v>
      </c>
      <c r="S399" s="52"/>
      <c r="T399" s="56"/>
    </row>
    <row r="400" spans="1:20" ht="37.5" customHeight="1" x14ac:dyDescent="0.4">
      <c r="B400" s="57" t="s">
        <v>40</v>
      </c>
      <c r="C400" s="57"/>
      <c r="D400" s="57"/>
      <c r="E400" s="57"/>
      <c r="F400" s="58">
        <f ca="1">OFFSET(総合成績評価!$B$3,A391,4)</f>
        <v>59.357301305749147</v>
      </c>
      <c r="G400" s="58"/>
      <c r="H400" s="58"/>
      <c r="I400" s="59">
        <f ca="1">OFFSET(総合成績評価!$B$3,A391,11)</f>
        <v>13.433999999999953</v>
      </c>
      <c r="J400" s="60"/>
      <c r="K400" s="61"/>
      <c r="L400" s="59">
        <f ca="1">OFFSET(総合成績評価!$B$3,A391,12)</f>
        <v>15</v>
      </c>
      <c r="M400" s="60"/>
      <c r="N400" s="60"/>
      <c r="O400" s="68">
        <f ca="1">OFFSET(総合成績評価!$B$3,A391,13)</f>
        <v>87.791301305749101</v>
      </c>
      <c r="P400" s="58"/>
      <c r="Q400" s="58"/>
      <c r="R400" s="75" t="str">
        <f ca="1">OFFSET(総合成績評価!$B$3,A391,14)</f>
        <v>A</v>
      </c>
      <c r="S400" s="75"/>
      <c r="T400" s="76"/>
    </row>
    <row r="401" spans="2:20" ht="37.5" customHeight="1" x14ac:dyDescent="0.4">
      <c r="B401" s="57" t="s">
        <v>41</v>
      </c>
      <c r="C401" s="75"/>
      <c r="D401" s="75"/>
      <c r="E401" s="75"/>
      <c r="F401" s="58">
        <f ca="1">OFFSET(総合成績評価!$B$3,A391,5)</f>
        <v>55.360062166661606</v>
      </c>
      <c r="G401" s="58"/>
      <c r="H401" s="58"/>
      <c r="I401" s="62"/>
      <c r="J401" s="63"/>
      <c r="K401" s="64"/>
      <c r="L401" s="62"/>
      <c r="M401" s="63"/>
      <c r="N401" s="63"/>
      <c r="O401" s="68">
        <f ca="1">OFFSET(総合成績評価!$B$3,A391,15)</f>
        <v>83.794062166661561</v>
      </c>
      <c r="P401" s="58"/>
      <c r="Q401" s="58"/>
      <c r="R401" s="75" t="str">
        <f ca="1">OFFSET(総合成績評価!$B$3,A391,16)</f>
        <v>A</v>
      </c>
      <c r="S401" s="75"/>
      <c r="T401" s="76"/>
    </row>
    <row r="402" spans="2:20" ht="37.5" customHeight="1" x14ac:dyDescent="0.4">
      <c r="B402" s="57" t="s">
        <v>42</v>
      </c>
      <c r="C402" s="75"/>
      <c r="D402" s="75"/>
      <c r="E402" s="75"/>
      <c r="F402" s="58">
        <f ca="1">OFFSET(総合成績評価!$B$3,A391,6)</f>
        <v>60.660130090618566</v>
      </c>
      <c r="G402" s="58"/>
      <c r="H402" s="58"/>
      <c r="I402" s="62"/>
      <c r="J402" s="63"/>
      <c r="K402" s="64"/>
      <c r="L402" s="62"/>
      <c r="M402" s="63"/>
      <c r="N402" s="63"/>
      <c r="O402" s="68">
        <f ca="1">OFFSET(総合成績評価!$B$3,A391,17)</f>
        <v>89.094130090618521</v>
      </c>
      <c r="P402" s="58"/>
      <c r="Q402" s="58"/>
      <c r="R402" s="75" t="str">
        <f ca="1">OFFSET(総合成績評価!$B$3,A391,18)</f>
        <v>A</v>
      </c>
      <c r="S402" s="75"/>
      <c r="T402" s="76"/>
    </row>
    <row r="403" spans="2:20" ht="37.5" customHeight="1" x14ac:dyDescent="0.4">
      <c r="B403" s="57" t="s">
        <v>43</v>
      </c>
      <c r="C403" s="75"/>
      <c r="D403" s="75"/>
      <c r="E403" s="75"/>
      <c r="F403" s="58">
        <f ca="1">OFFSET(総合成績評価!$B$3,A391,7)</f>
        <v>67.502873444974483</v>
      </c>
      <c r="G403" s="58"/>
      <c r="H403" s="58"/>
      <c r="I403" s="62"/>
      <c r="J403" s="63"/>
      <c r="K403" s="64"/>
      <c r="L403" s="62"/>
      <c r="M403" s="63"/>
      <c r="N403" s="63"/>
      <c r="O403" s="68">
        <f ca="1">OFFSET(総合成績評価!$B$3,A391,19)</f>
        <v>95.936873444974438</v>
      </c>
      <c r="P403" s="58"/>
      <c r="Q403" s="58"/>
      <c r="R403" s="75" t="str">
        <f ca="1">OFFSET(総合成績評価!$B$3,A391,20)</f>
        <v>A</v>
      </c>
      <c r="S403" s="75"/>
      <c r="T403" s="76"/>
    </row>
    <row r="404" spans="2:20" ht="37.5" customHeight="1" x14ac:dyDescent="0.4">
      <c r="B404" s="57" t="s">
        <v>44</v>
      </c>
      <c r="C404" s="75"/>
      <c r="D404" s="75"/>
      <c r="E404" s="75"/>
      <c r="F404" s="58">
        <f ca="1">OFFSET(総合成績評価!$B$3,A391,8)</f>
        <v>59.002578002529944</v>
      </c>
      <c r="G404" s="58"/>
      <c r="H404" s="58"/>
      <c r="I404" s="62"/>
      <c r="J404" s="63"/>
      <c r="K404" s="64"/>
      <c r="L404" s="62"/>
      <c r="M404" s="63"/>
      <c r="N404" s="63"/>
      <c r="O404" s="68">
        <f ca="1">OFFSET(総合成績評価!$B$3,A391,21)</f>
        <v>87.436578002529899</v>
      </c>
      <c r="P404" s="58"/>
      <c r="Q404" s="58"/>
      <c r="R404" s="75" t="str">
        <f ca="1">OFFSET(総合成績評価!$B$3,A391,22)</f>
        <v>A</v>
      </c>
      <c r="S404" s="75"/>
      <c r="T404" s="76"/>
    </row>
    <row r="405" spans="2:20" ht="37.5" customHeight="1" thickBot="1" x14ac:dyDescent="0.45">
      <c r="B405" s="77" t="s">
        <v>45</v>
      </c>
      <c r="C405" s="70"/>
      <c r="D405" s="70"/>
      <c r="E405" s="70"/>
      <c r="F405" s="78">
        <f ca="1">OFFSET(総合成績評価!$B$3,A391,9)</f>
        <v>62.292856398964496</v>
      </c>
      <c r="G405" s="78"/>
      <c r="H405" s="78"/>
      <c r="I405" s="62"/>
      <c r="J405" s="63"/>
      <c r="K405" s="64"/>
      <c r="L405" s="62"/>
      <c r="M405" s="63"/>
      <c r="N405" s="63"/>
      <c r="O405" s="79">
        <f ca="1">OFFSET(総合成績評価!$B$3,A391,23)</f>
        <v>90.726856398964443</v>
      </c>
      <c r="P405" s="78"/>
      <c r="Q405" s="78"/>
      <c r="R405" s="70" t="str">
        <f ca="1">OFFSET(総合成績評価!$B$3,A391,24)</f>
        <v>A</v>
      </c>
      <c r="S405" s="70"/>
      <c r="T405" s="80"/>
    </row>
    <row r="406" spans="2:20" ht="37.5" customHeight="1" thickTop="1" thickBot="1" x14ac:dyDescent="0.45">
      <c r="B406" s="81" t="s">
        <v>46</v>
      </c>
      <c r="C406" s="82"/>
      <c r="D406" s="82"/>
      <c r="E406" s="82"/>
      <c r="F406" s="83">
        <f ca="1">OFFSET(総合成績評価!$B$3,A391,10)</f>
        <v>62.108538163991426</v>
      </c>
      <c r="G406" s="83"/>
      <c r="H406" s="83"/>
      <c r="I406" s="65"/>
      <c r="J406" s="66"/>
      <c r="K406" s="67"/>
      <c r="L406" s="65"/>
      <c r="M406" s="66"/>
      <c r="N406" s="66"/>
      <c r="O406" s="84">
        <f ca="1">OFFSET(総合成績評価!$B$3,A391,25)</f>
        <v>90.542538163991381</v>
      </c>
      <c r="P406" s="85"/>
      <c r="Q406" s="85"/>
      <c r="R406" s="86" t="str">
        <f ca="1">OFFSET(総合成績評価!$B$3,A391,26)</f>
        <v>A</v>
      </c>
      <c r="S406" s="86"/>
      <c r="T406" s="87"/>
    </row>
    <row r="417" spans="1:20" ht="22.5" customHeight="1" x14ac:dyDescent="0.4">
      <c r="A417" s="35">
        <f>A391+1</f>
        <v>16</v>
      </c>
      <c r="B417" s="43" t="s">
        <v>29</v>
      </c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</row>
    <row r="418" spans="1:20" ht="22.5" customHeight="1" x14ac:dyDescent="0.4"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</row>
    <row r="419" spans="1:20" ht="22.5" customHeight="1" x14ac:dyDescent="0.4"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44" t="s">
        <v>49</v>
      </c>
      <c r="O419" s="44"/>
      <c r="P419" s="44"/>
      <c r="Q419" s="45">
        <f ca="1">TODAY()</f>
        <v>45721</v>
      </c>
      <c r="R419" s="46"/>
      <c r="S419" s="46"/>
      <c r="T419" s="46"/>
    </row>
    <row r="420" spans="1:20" ht="33.75" customHeight="1" x14ac:dyDescent="0.4">
      <c r="B420" s="47" t="s">
        <v>50</v>
      </c>
      <c r="C420" s="48"/>
      <c r="D420" s="48"/>
      <c r="E420" s="48"/>
      <c r="F420" s="49">
        <f ca="1">OFFSET(総合成績評価!$B$3,A417,0)</f>
        <v>2307011</v>
      </c>
      <c r="G420" s="49"/>
      <c r="H420" s="49"/>
      <c r="I420" s="49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</row>
    <row r="421" spans="1:20" ht="33.75" customHeight="1" x14ac:dyDescent="0.4">
      <c r="B421" s="47" t="s">
        <v>51</v>
      </c>
      <c r="C421" s="48"/>
      <c r="D421" s="48"/>
      <c r="E421" s="48"/>
      <c r="F421" s="50" t="str">
        <f ca="1">OFFSET(総合成績評価!$B$3,A417,1)</f>
        <v>2-1</v>
      </c>
      <c r="G421" s="50"/>
      <c r="H421" s="50"/>
      <c r="I421" s="50"/>
      <c r="J421" s="38"/>
      <c r="K421" s="38"/>
      <c r="L421" s="38"/>
      <c r="M421" s="47" t="s">
        <v>48</v>
      </c>
      <c r="N421" s="47"/>
      <c r="O421" s="47"/>
      <c r="P421" s="47"/>
      <c r="Q421" s="51">
        <f ca="1">VALUE(VLOOKUP(F420,入力②出席率!B:G,6))</f>
        <v>0.98860000000000003</v>
      </c>
      <c r="R421" s="51"/>
      <c r="S421" s="51"/>
      <c r="T421" s="51"/>
    </row>
    <row r="422" spans="1:20" ht="33.75" customHeight="1" x14ac:dyDescent="0.4">
      <c r="B422" s="47" t="s">
        <v>52</v>
      </c>
      <c r="C422" s="48"/>
      <c r="D422" s="48"/>
      <c r="E422" s="48"/>
      <c r="F422" s="69" t="str">
        <f ca="1">OFFSET(総合成績評価!$B$3,A417,3)</f>
        <v>MAY IRINE</v>
      </c>
      <c r="G422" s="69"/>
      <c r="H422" s="69"/>
      <c r="I422" s="69"/>
      <c r="J422" s="69"/>
      <c r="K422" s="69"/>
      <c r="L422" s="69"/>
      <c r="M422" s="69"/>
      <c r="N422" s="69"/>
      <c r="O422" s="69"/>
      <c r="P422" s="69"/>
      <c r="Q422" s="69"/>
      <c r="R422" s="69"/>
      <c r="S422" s="69"/>
      <c r="T422" s="69"/>
    </row>
    <row r="423" spans="1:20" ht="22.5" customHeight="1" thickBot="1" x14ac:dyDescent="0.45">
      <c r="B423" s="41" t="s">
        <v>47</v>
      </c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</row>
    <row r="424" spans="1:20" ht="22.5" customHeight="1" x14ac:dyDescent="0.4">
      <c r="F424" s="70" t="s">
        <v>30</v>
      </c>
      <c r="G424" s="70"/>
      <c r="H424" s="70"/>
      <c r="I424" s="70" t="s">
        <v>31</v>
      </c>
      <c r="J424" s="70"/>
      <c r="K424" s="70"/>
      <c r="L424" s="70" t="s">
        <v>32</v>
      </c>
      <c r="M424" s="70"/>
      <c r="N424" s="71"/>
      <c r="O424" s="72" t="s">
        <v>33</v>
      </c>
      <c r="P424" s="73"/>
      <c r="Q424" s="73"/>
      <c r="R424" s="73" t="s">
        <v>34</v>
      </c>
      <c r="S424" s="73"/>
      <c r="T424" s="74"/>
    </row>
    <row r="425" spans="1:20" ht="30" customHeight="1" x14ac:dyDescent="0.4">
      <c r="F425" s="52" t="s">
        <v>35</v>
      </c>
      <c r="G425" s="52"/>
      <c r="H425" s="52"/>
      <c r="I425" s="53" t="s">
        <v>36</v>
      </c>
      <c r="J425" s="53"/>
      <c r="K425" s="53"/>
      <c r="L425" s="53" t="s">
        <v>37</v>
      </c>
      <c r="M425" s="52"/>
      <c r="N425" s="54"/>
      <c r="O425" s="55" t="s">
        <v>38</v>
      </c>
      <c r="P425" s="52"/>
      <c r="Q425" s="52"/>
      <c r="R425" s="52" t="s">
        <v>39</v>
      </c>
      <c r="S425" s="52"/>
      <c r="T425" s="56"/>
    </row>
    <row r="426" spans="1:20" ht="37.5" customHeight="1" x14ac:dyDescent="0.4">
      <c r="B426" s="57" t="s">
        <v>40</v>
      </c>
      <c r="C426" s="57"/>
      <c r="D426" s="57"/>
      <c r="E426" s="57"/>
      <c r="F426" s="58">
        <f ca="1">OFFSET(総合成績評価!$B$3,A417,4)</f>
        <v>67.972580334966466</v>
      </c>
      <c r="G426" s="58"/>
      <c r="H426" s="58"/>
      <c r="I426" s="59">
        <f ca="1">OFFSET(総合成績評価!$B$3,A417,11)</f>
        <v>14.487000000000002</v>
      </c>
      <c r="J426" s="60"/>
      <c r="K426" s="61"/>
      <c r="L426" s="59">
        <f ca="1">OFFSET(総合成績評価!$B$3,A417,12)</f>
        <v>15</v>
      </c>
      <c r="M426" s="60"/>
      <c r="N426" s="60"/>
      <c r="O426" s="68">
        <f ca="1">OFFSET(総合成績評価!$B$3,A417,13)</f>
        <v>97.459580334966461</v>
      </c>
      <c r="P426" s="58"/>
      <c r="Q426" s="58"/>
      <c r="R426" s="75" t="str">
        <f ca="1">OFFSET(総合成績評価!$B$3,A417,14)</f>
        <v>A</v>
      </c>
      <c r="S426" s="75"/>
      <c r="T426" s="76"/>
    </row>
    <row r="427" spans="1:20" ht="37.5" customHeight="1" x14ac:dyDescent="0.4">
      <c r="B427" s="57" t="s">
        <v>41</v>
      </c>
      <c r="C427" s="75"/>
      <c r="D427" s="75"/>
      <c r="E427" s="75"/>
      <c r="F427" s="58">
        <f ca="1">OFFSET(総合成績評価!$B$3,A417,5)</f>
        <v>66.884433679444314</v>
      </c>
      <c r="G427" s="58"/>
      <c r="H427" s="58"/>
      <c r="I427" s="62"/>
      <c r="J427" s="63"/>
      <c r="K427" s="64"/>
      <c r="L427" s="62"/>
      <c r="M427" s="63"/>
      <c r="N427" s="63"/>
      <c r="O427" s="68">
        <f ca="1">OFFSET(総合成績評価!$B$3,A417,15)</f>
        <v>96.371433679444323</v>
      </c>
      <c r="P427" s="58"/>
      <c r="Q427" s="58"/>
      <c r="R427" s="75" t="str">
        <f ca="1">OFFSET(総合成績評価!$B$3,A417,16)</f>
        <v>A</v>
      </c>
      <c r="S427" s="75"/>
      <c r="T427" s="76"/>
    </row>
    <row r="428" spans="1:20" ht="37.5" customHeight="1" x14ac:dyDescent="0.4">
      <c r="B428" s="57" t="s">
        <v>42</v>
      </c>
      <c r="C428" s="75"/>
      <c r="D428" s="75"/>
      <c r="E428" s="75"/>
      <c r="F428" s="58">
        <f ca="1">OFFSET(総合成績評価!$B$3,A417,6)</f>
        <v>56.892683958907128</v>
      </c>
      <c r="G428" s="58"/>
      <c r="H428" s="58"/>
      <c r="I428" s="62"/>
      <c r="J428" s="63"/>
      <c r="K428" s="64"/>
      <c r="L428" s="62"/>
      <c r="M428" s="63"/>
      <c r="N428" s="63"/>
      <c r="O428" s="68">
        <f ca="1">OFFSET(総合成績評価!$B$3,A417,17)</f>
        <v>86.379683958907123</v>
      </c>
      <c r="P428" s="58"/>
      <c r="Q428" s="58"/>
      <c r="R428" s="75" t="str">
        <f ca="1">OFFSET(総合成績評価!$B$3,A417,18)</f>
        <v>A</v>
      </c>
      <c r="S428" s="75"/>
      <c r="T428" s="76"/>
    </row>
    <row r="429" spans="1:20" ht="37.5" customHeight="1" x14ac:dyDescent="0.4">
      <c r="B429" s="57" t="s">
        <v>43</v>
      </c>
      <c r="C429" s="75"/>
      <c r="D429" s="75"/>
      <c r="E429" s="75"/>
      <c r="F429" s="58">
        <f ca="1">OFFSET(総合成績評価!$B$3,A417,7)</f>
        <v>69.595389010694447</v>
      </c>
      <c r="G429" s="58"/>
      <c r="H429" s="58"/>
      <c r="I429" s="62"/>
      <c r="J429" s="63"/>
      <c r="K429" s="64"/>
      <c r="L429" s="62"/>
      <c r="M429" s="63"/>
      <c r="N429" s="63"/>
      <c r="O429" s="68">
        <f ca="1">OFFSET(総合成績評価!$B$3,A417,19)</f>
        <v>99.082389010694442</v>
      </c>
      <c r="P429" s="58"/>
      <c r="Q429" s="58"/>
      <c r="R429" s="75" t="str">
        <f ca="1">OFFSET(総合成績評価!$B$3,A417,20)</f>
        <v>A</v>
      </c>
      <c r="S429" s="75"/>
      <c r="T429" s="76"/>
    </row>
    <row r="430" spans="1:20" ht="37.5" customHeight="1" x14ac:dyDescent="0.4">
      <c r="B430" s="57" t="s">
        <v>44</v>
      </c>
      <c r="C430" s="75"/>
      <c r="D430" s="75"/>
      <c r="E430" s="75"/>
      <c r="F430" s="58">
        <f ca="1">OFFSET(総合成績評価!$B$3,A417,8)</f>
        <v>59.460033745764903</v>
      </c>
      <c r="G430" s="58"/>
      <c r="H430" s="58"/>
      <c r="I430" s="62"/>
      <c r="J430" s="63"/>
      <c r="K430" s="64"/>
      <c r="L430" s="62"/>
      <c r="M430" s="63"/>
      <c r="N430" s="63"/>
      <c r="O430" s="68">
        <f ca="1">OFFSET(総合成績評価!$B$3,A417,21)</f>
        <v>88.947033745764912</v>
      </c>
      <c r="P430" s="58"/>
      <c r="Q430" s="58"/>
      <c r="R430" s="75" t="str">
        <f ca="1">OFFSET(総合成績評価!$B$3,A417,22)</f>
        <v>A</v>
      </c>
      <c r="S430" s="75"/>
      <c r="T430" s="76"/>
    </row>
    <row r="431" spans="1:20" ht="37.5" customHeight="1" thickBot="1" x14ac:dyDescent="0.45">
      <c r="B431" s="77" t="s">
        <v>45</v>
      </c>
      <c r="C431" s="70"/>
      <c r="D431" s="70"/>
      <c r="E431" s="70"/>
      <c r="F431" s="78">
        <f ca="1">OFFSET(総合成績評価!$B$3,A417,9)</f>
        <v>66.324560298731697</v>
      </c>
      <c r="G431" s="78"/>
      <c r="H431" s="78"/>
      <c r="I431" s="62"/>
      <c r="J431" s="63"/>
      <c r="K431" s="64"/>
      <c r="L431" s="62"/>
      <c r="M431" s="63"/>
      <c r="N431" s="63"/>
      <c r="O431" s="79">
        <f ca="1">OFFSET(総合成績評価!$B$3,A417,23)</f>
        <v>95.811560298731706</v>
      </c>
      <c r="P431" s="78"/>
      <c r="Q431" s="78"/>
      <c r="R431" s="70" t="str">
        <f ca="1">OFFSET(総合成績評価!$B$3,A417,24)</f>
        <v>A</v>
      </c>
      <c r="S431" s="70"/>
      <c r="T431" s="80"/>
    </row>
    <row r="432" spans="1:20" ht="37.5" customHeight="1" thickTop="1" thickBot="1" x14ac:dyDescent="0.45">
      <c r="B432" s="81" t="s">
        <v>46</v>
      </c>
      <c r="C432" s="82"/>
      <c r="D432" s="82"/>
      <c r="E432" s="82"/>
      <c r="F432" s="83">
        <f ca="1">OFFSET(総合成績評価!$B$3,A417,10)</f>
        <v>65.817111986924203</v>
      </c>
      <c r="G432" s="83"/>
      <c r="H432" s="83"/>
      <c r="I432" s="65"/>
      <c r="J432" s="66"/>
      <c r="K432" s="67"/>
      <c r="L432" s="65"/>
      <c r="M432" s="66"/>
      <c r="N432" s="66"/>
      <c r="O432" s="84">
        <f ca="1">OFFSET(総合成績評価!$B$3,A417,25)</f>
        <v>95.304111986924198</v>
      </c>
      <c r="P432" s="85"/>
      <c r="Q432" s="85"/>
      <c r="R432" s="86" t="str">
        <f ca="1">OFFSET(総合成績評価!$B$3,A417,26)</f>
        <v>A</v>
      </c>
      <c r="S432" s="86"/>
      <c r="T432" s="87"/>
    </row>
    <row r="443" spans="1:20" ht="22.5" customHeight="1" x14ac:dyDescent="0.4">
      <c r="A443" s="35">
        <f>A417+1</f>
        <v>17</v>
      </c>
      <c r="B443" s="43" t="s">
        <v>29</v>
      </c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</row>
    <row r="444" spans="1:20" ht="22.5" customHeight="1" x14ac:dyDescent="0.4"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</row>
    <row r="445" spans="1:20" ht="22.5" customHeight="1" x14ac:dyDescent="0.4"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44" t="s">
        <v>49</v>
      </c>
      <c r="O445" s="44"/>
      <c r="P445" s="44"/>
      <c r="Q445" s="45">
        <f ca="1">TODAY()</f>
        <v>45721</v>
      </c>
      <c r="R445" s="46"/>
      <c r="S445" s="46"/>
      <c r="T445" s="46"/>
    </row>
    <row r="446" spans="1:20" ht="33.75" customHeight="1" x14ac:dyDescent="0.4">
      <c r="B446" s="47" t="s">
        <v>50</v>
      </c>
      <c r="C446" s="48"/>
      <c r="D446" s="48"/>
      <c r="E446" s="48"/>
      <c r="F446" s="49">
        <f ca="1">OFFSET(総合成績評価!$B$3,A443,0)</f>
        <v>2310016</v>
      </c>
      <c r="G446" s="49"/>
      <c r="H446" s="49"/>
      <c r="I446" s="49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</row>
    <row r="447" spans="1:20" ht="33.75" customHeight="1" x14ac:dyDescent="0.4">
      <c r="B447" s="47" t="s">
        <v>51</v>
      </c>
      <c r="C447" s="48"/>
      <c r="D447" s="48"/>
      <c r="E447" s="48"/>
      <c r="F447" s="50" t="str">
        <f ca="1">OFFSET(総合成績評価!$B$3,A443,1)</f>
        <v>2-1</v>
      </c>
      <c r="G447" s="50"/>
      <c r="H447" s="50"/>
      <c r="I447" s="50"/>
      <c r="J447" s="38"/>
      <c r="K447" s="38"/>
      <c r="L447" s="38"/>
      <c r="M447" s="47" t="s">
        <v>48</v>
      </c>
      <c r="N447" s="47"/>
      <c r="O447" s="47"/>
      <c r="P447" s="47"/>
      <c r="Q447" s="51">
        <f ca="1">VALUE(VLOOKUP(F446,入力②出席率!B:G,6))</f>
        <v>1</v>
      </c>
      <c r="R447" s="51"/>
      <c r="S447" s="51"/>
      <c r="T447" s="51"/>
    </row>
    <row r="448" spans="1:20" ht="33.75" customHeight="1" x14ac:dyDescent="0.4">
      <c r="B448" s="47" t="s">
        <v>52</v>
      </c>
      <c r="C448" s="48"/>
      <c r="D448" s="48"/>
      <c r="E448" s="48"/>
      <c r="F448" s="69" t="str">
        <f ca="1">OFFSET(総合成績評価!$B$3,A443,3)</f>
        <v>HTET EAINDRAY LINN</v>
      </c>
      <c r="G448" s="69"/>
      <c r="H448" s="69"/>
      <c r="I448" s="69"/>
      <c r="J448" s="69"/>
      <c r="K448" s="69"/>
      <c r="L448" s="69"/>
      <c r="M448" s="69"/>
      <c r="N448" s="69"/>
      <c r="O448" s="69"/>
      <c r="P448" s="69"/>
      <c r="Q448" s="69"/>
      <c r="R448" s="69"/>
      <c r="S448" s="69"/>
      <c r="T448" s="69"/>
    </row>
    <row r="449" spans="2:20" ht="22.5" customHeight="1" thickBot="1" x14ac:dyDescent="0.45">
      <c r="B449" s="41" t="s">
        <v>47</v>
      </c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</row>
    <row r="450" spans="2:20" ht="22.5" customHeight="1" x14ac:dyDescent="0.4">
      <c r="F450" s="70" t="s">
        <v>30</v>
      </c>
      <c r="G450" s="70"/>
      <c r="H450" s="70"/>
      <c r="I450" s="70" t="s">
        <v>31</v>
      </c>
      <c r="J450" s="70"/>
      <c r="K450" s="70"/>
      <c r="L450" s="70" t="s">
        <v>32</v>
      </c>
      <c r="M450" s="70"/>
      <c r="N450" s="71"/>
      <c r="O450" s="72" t="s">
        <v>33</v>
      </c>
      <c r="P450" s="73"/>
      <c r="Q450" s="73"/>
      <c r="R450" s="73" t="s">
        <v>34</v>
      </c>
      <c r="S450" s="73"/>
      <c r="T450" s="74"/>
    </row>
    <row r="451" spans="2:20" ht="30" customHeight="1" x14ac:dyDescent="0.4">
      <c r="F451" s="52" t="s">
        <v>35</v>
      </c>
      <c r="G451" s="52"/>
      <c r="H451" s="52"/>
      <c r="I451" s="53" t="s">
        <v>36</v>
      </c>
      <c r="J451" s="53"/>
      <c r="K451" s="53"/>
      <c r="L451" s="53" t="s">
        <v>37</v>
      </c>
      <c r="M451" s="52"/>
      <c r="N451" s="54"/>
      <c r="O451" s="55" t="s">
        <v>38</v>
      </c>
      <c r="P451" s="52"/>
      <c r="Q451" s="52"/>
      <c r="R451" s="52" t="s">
        <v>39</v>
      </c>
      <c r="S451" s="52"/>
      <c r="T451" s="56"/>
    </row>
    <row r="452" spans="2:20" ht="37.5" customHeight="1" x14ac:dyDescent="0.4">
      <c r="B452" s="57" t="s">
        <v>40</v>
      </c>
      <c r="C452" s="57"/>
      <c r="D452" s="57"/>
      <c r="E452" s="57"/>
      <c r="F452" s="58">
        <f ca="1">OFFSET(総合成績評価!$B$3,A443,4)</f>
        <v>69.000195617606494</v>
      </c>
      <c r="G452" s="58"/>
      <c r="H452" s="58"/>
      <c r="I452" s="59">
        <f ca="1">OFFSET(総合成績評価!$B$3,A443,11)</f>
        <v>15</v>
      </c>
      <c r="J452" s="60"/>
      <c r="K452" s="61"/>
      <c r="L452" s="59">
        <f ca="1">OFFSET(総合成績評価!$B$3,A443,12)</f>
        <v>15</v>
      </c>
      <c r="M452" s="60"/>
      <c r="N452" s="60"/>
      <c r="O452" s="68">
        <f ca="1">OFFSET(総合成績評価!$B$3,A443,13)</f>
        <v>99.000195617606494</v>
      </c>
      <c r="P452" s="58"/>
      <c r="Q452" s="58"/>
      <c r="R452" s="75" t="str">
        <f ca="1">OFFSET(総合成績評価!$B$3,A443,14)</f>
        <v>A</v>
      </c>
      <c r="S452" s="75"/>
      <c r="T452" s="76"/>
    </row>
    <row r="453" spans="2:20" ht="37.5" customHeight="1" x14ac:dyDescent="0.4">
      <c r="B453" s="57" t="s">
        <v>41</v>
      </c>
      <c r="C453" s="75"/>
      <c r="D453" s="75"/>
      <c r="E453" s="75"/>
      <c r="F453" s="58">
        <f ca="1">OFFSET(総合成績評価!$B$3,A443,5)</f>
        <v>70</v>
      </c>
      <c r="G453" s="58"/>
      <c r="H453" s="58"/>
      <c r="I453" s="62"/>
      <c r="J453" s="63"/>
      <c r="K453" s="64"/>
      <c r="L453" s="62"/>
      <c r="M453" s="63"/>
      <c r="N453" s="63"/>
      <c r="O453" s="68">
        <f ca="1">OFFSET(総合成績評価!$B$3,A443,15)</f>
        <v>100</v>
      </c>
      <c r="P453" s="58"/>
      <c r="Q453" s="58"/>
      <c r="R453" s="75" t="str">
        <f ca="1">OFFSET(総合成績評価!$B$3,A443,16)</f>
        <v>A</v>
      </c>
      <c r="S453" s="75"/>
      <c r="T453" s="76"/>
    </row>
    <row r="454" spans="2:20" ht="37.5" customHeight="1" x14ac:dyDescent="0.4">
      <c r="B454" s="57" t="s">
        <v>42</v>
      </c>
      <c r="C454" s="75"/>
      <c r="D454" s="75"/>
      <c r="E454" s="75"/>
      <c r="F454" s="58">
        <f ca="1">OFFSET(総合成績評価!$B$3,A443,6)</f>
        <v>66.048527267687632</v>
      </c>
      <c r="G454" s="58"/>
      <c r="H454" s="58"/>
      <c r="I454" s="62"/>
      <c r="J454" s="63"/>
      <c r="K454" s="64"/>
      <c r="L454" s="62"/>
      <c r="M454" s="63"/>
      <c r="N454" s="63"/>
      <c r="O454" s="68">
        <f ca="1">OFFSET(総合成績評価!$B$3,A443,17)</f>
        <v>96.048527267687632</v>
      </c>
      <c r="P454" s="58"/>
      <c r="Q454" s="58"/>
      <c r="R454" s="75" t="str">
        <f ca="1">OFFSET(総合成績評価!$B$3,A443,18)</f>
        <v>A</v>
      </c>
      <c r="S454" s="75"/>
      <c r="T454" s="76"/>
    </row>
    <row r="455" spans="2:20" ht="37.5" customHeight="1" x14ac:dyDescent="0.4">
      <c r="B455" s="57" t="s">
        <v>43</v>
      </c>
      <c r="C455" s="75"/>
      <c r="D455" s="75"/>
      <c r="E455" s="75"/>
      <c r="F455" s="58">
        <f ca="1">OFFSET(総合成績評価!$B$3,A443,7)</f>
        <v>70</v>
      </c>
      <c r="G455" s="58"/>
      <c r="H455" s="58"/>
      <c r="I455" s="62"/>
      <c r="J455" s="63"/>
      <c r="K455" s="64"/>
      <c r="L455" s="62"/>
      <c r="M455" s="63"/>
      <c r="N455" s="63"/>
      <c r="O455" s="68">
        <f ca="1">OFFSET(総合成績評価!$B$3,A443,19)</f>
        <v>100</v>
      </c>
      <c r="P455" s="58"/>
      <c r="Q455" s="58"/>
      <c r="R455" s="75" t="str">
        <f ca="1">OFFSET(総合成績評価!$B$3,A443,20)</f>
        <v>A</v>
      </c>
      <c r="S455" s="75"/>
      <c r="T455" s="76"/>
    </row>
    <row r="456" spans="2:20" ht="37.5" customHeight="1" x14ac:dyDescent="0.4">
      <c r="B456" s="57" t="s">
        <v>44</v>
      </c>
      <c r="C456" s="75"/>
      <c r="D456" s="75"/>
      <c r="E456" s="75"/>
      <c r="F456" s="58">
        <f ca="1">OFFSET(総合成績評価!$B$3,A443,8)</f>
        <v>67.410600109422347</v>
      </c>
      <c r="G456" s="58"/>
      <c r="H456" s="58"/>
      <c r="I456" s="62"/>
      <c r="J456" s="63"/>
      <c r="K456" s="64"/>
      <c r="L456" s="62"/>
      <c r="M456" s="63"/>
      <c r="N456" s="63"/>
      <c r="O456" s="68">
        <f ca="1">OFFSET(総合成績評価!$B$3,A443,21)</f>
        <v>97.410600109422347</v>
      </c>
      <c r="P456" s="58"/>
      <c r="Q456" s="58"/>
      <c r="R456" s="75" t="str">
        <f ca="1">OFFSET(総合成績評価!$B$3,A443,22)</f>
        <v>A</v>
      </c>
      <c r="S456" s="75"/>
      <c r="T456" s="76"/>
    </row>
    <row r="457" spans="2:20" ht="37.5" customHeight="1" thickBot="1" x14ac:dyDescent="0.45">
      <c r="B457" s="77" t="s">
        <v>45</v>
      </c>
      <c r="C457" s="70"/>
      <c r="D457" s="70"/>
      <c r="E457" s="70"/>
      <c r="F457" s="78">
        <f ca="1">OFFSET(総合成績評価!$B$3,A443,9)</f>
        <v>70</v>
      </c>
      <c r="G457" s="78"/>
      <c r="H457" s="78"/>
      <c r="I457" s="62"/>
      <c r="J457" s="63"/>
      <c r="K457" s="64"/>
      <c r="L457" s="62"/>
      <c r="M457" s="63"/>
      <c r="N457" s="63"/>
      <c r="O457" s="79">
        <f ca="1">OFFSET(総合成績評価!$B$3,A443,23)</f>
        <v>100</v>
      </c>
      <c r="P457" s="78"/>
      <c r="Q457" s="78"/>
      <c r="R457" s="70" t="str">
        <f ca="1">OFFSET(総合成績評価!$B$3,A443,24)</f>
        <v>A</v>
      </c>
      <c r="S457" s="70"/>
      <c r="T457" s="80"/>
    </row>
    <row r="458" spans="2:20" ht="37.5" customHeight="1" thickTop="1" thickBot="1" x14ac:dyDescent="0.45">
      <c r="B458" s="81" t="s">
        <v>46</v>
      </c>
      <c r="C458" s="82"/>
      <c r="D458" s="82"/>
      <c r="E458" s="82"/>
      <c r="F458" s="83">
        <f ca="1">OFFSET(総合成績評価!$B$3,A443,10)</f>
        <v>70</v>
      </c>
      <c r="G458" s="83"/>
      <c r="H458" s="83"/>
      <c r="I458" s="65"/>
      <c r="J458" s="66"/>
      <c r="K458" s="67"/>
      <c r="L458" s="65"/>
      <c r="M458" s="66"/>
      <c r="N458" s="66"/>
      <c r="O458" s="84">
        <f ca="1">OFFSET(総合成績評価!$B$3,A443,25)</f>
        <v>100</v>
      </c>
      <c r="P458" s="85"/>
      <c r="Q458" s="85"/>
      <c r="R458" s="86" t="str">
        <f ca="1">OFFSET(総合成績評価!$B$3,A443,26)</f>
        <v>A</v>
      </c>
      <c r="S458" s="86"/>
      <c r="T458" s="87"/>
    </row>
    <row r="469" spans="1:20" ht="22.5" customHeight="1" x14ac:dyDescent="0.4">
      <c r="A469" s="35">
        <f>A443+1</f>
        <v>18</v>
      </c>
      <c r="B469" s="43" t="s">
        <v>29</v>
      </c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</row>
    <row r="470" spans="1:20" ht="22.5" customHeight="1" x14ac:dyDescent="0.4"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</row>
    <row r="471" spans="1:20" ht="22.5" customHeight="1" x14ac:dyDescent="0.4"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44" t="s">
        <v>49</v>
      </c>
      <c r="O471" s="44"/>
      <c r="P471" s="44"/>
      <c r="Q471" s="45">
        <f ca="1">TODAY()</f>
        <v>45721</v>
      </c>
      <c r="R471" s="46"/>
      <c r="S471" s="46"/>
      <c r="T471" s="46"/>
    </row>
    <row r="472" spans="1:20" ht="33.75" customHeight="1" x14ac:dyDescent="0.4">
      <c r="B472" s="47" t="s">
        <v>50</v>
      </c>
      <c r="C472" s="48"/>
      <c r="D472" s="48"/>
      <c r="E472" s="48"/>
      <c r="F472" s="49">
        <f ca="1">OFFSET(総合成績評価!$B$3,A469,0)</f>
        <v>2404091</v>
      </c>
      <c r="G472" s="49"/>
      <c r="H472" s="49"/>
      <c r="I472" s="49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</row>
    <row r="473" spans="1:20" ht="33.75" customHeight="1" x14ac:dyDescent="0.4">
      <c r="B473" s="47" t="s">
        <v>51</v>
      </c>
      <c r="C473" s="48"/>
      <c r="D473" s="48"/>
      <c r="E473" s="48"/>
      <c r="F473" s="50" t="str">
        <f ca="1">OFFSET(総合成績評価!$B$3,A469,1)</f>
        <v>2-1</v>
      </c>
      <c r="G473" s="50"/>
      <c r="H473" s="50"/>
      <c r="I473" s="50"/>
      <c r="J473" s="38"/>
      <c r="K473" s="38"/>
      <c r="L473" s="38"/>
      <c r="M473" s="47" t="s">
        <v>48</v>
      </c>
      <c r="N473" s="47"/>
      <c r="O473" s="47"/>
      <c r="P473" s="47"/>
      <c r="Q473" s="51">
        <f ca="1">VALUE(VLOOKUP(F472,入力②出席率!B:G,6))</f>
        <v>1</v>
      </c>
      <c r="R473" s="51"/>
      <c r="S473" s="51"/>
      <c r="T473" s="51"/>
    </row>
    <row r="474" spans="1:20" ht="33.75" customHeight="1" x14ac:dyDescent="0.4">
      <c r="B474" s="47" t="s">
        <v>52</v>
      </c>
      <c r="C474" s="48"/>
      <c r="D474" s="48"/>
      <c r="E474" s="48"/>
      <c r="F474" s="69" t="str">
        <f ca="1">OFFSET(総合成績評価!$B$3,A469,3)</f>
        <v>SHIHAB MOTIUR RAHMAN</v>
      </c>
      <c r="G474" s="69"/>
      <c r="H474" s="69"/>
      <c r="I474" s="69"/>
      <c r="J474" s="69"/>
      <c r="K474" s="69"/>
      <c r="L474" s="69"/>
      <c r="M474" s="69"/>
      <c r="N474" s="69"/>
      <c r="O474" s="69"/>
      <c r="P474" s="69"/>
      <c r="Q474" s="69"/>
      <c r="R474" s="69"/>
      <c r="S474" s="69"/>
      <c r="T474" s="69"/>
    </row>
    <row r="475" spans="1:20" ht="22.5" customHeight="1" thickBot="1" x14ac:dyDescent="0.45">
      <c r="B475" s="41" t="s">
        <v>47</v>
      </c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</row>
    <row r="476" spans="1:20" ht="22.5" customHeight="1" x14ac:dyDescent="0.4">
      <c r="F476" s="70" t="s">
        <v>30</v>
      </c>
      <c r="G476" s="70"/>
      <c r="H476" s="70"/>
      <c r="I476" s="70" t="s">
        <v>31</v>
      </c>
      <c r="J476" s="70"/>
      <c r="K476" s="70"/>
      <c r="L476" s="70" t="s">
        <v>32</v>
      </c>
      <c r="M476" s="70"/>
      <c r="N476" s="71"/>
      <c r="O476" s="72" t="s">
        <v>33</v>
      </c>
      <c r="P476" s="73"/>
      <c r="Q476" s="73"/>
      <c r="R476" s="73" t="s">
        <v>34</v>
      </c>
      <c r="S476" s="73"/>
      <c r="T476" s="74"/>
    </row>
    <row r="477" spans="1:20" ht="30" customHeight="1" x14ac:dyDescent="0.4">
      <c r="F477" s="52" t="s">
        <v>35</v>
      </c>
      <c r="G477" s="52"/>
      <c r="H477" s="52"/>
      <c r="I477" s="53" t="s">
        <v>36</v>
      </c>
      <c r="J477" s="53"/>
      <c r="K477" s="53"/>
      <c r="L477" s="53" t="s">
        <v>37</v>
      </c>
      <c r="M477" s="52"/>
      <c r="N477" s="54"/>
      <c r="O477" s="55" t="s">
        <v>38</v>
      </c>
      <c r="P477" s="52"/>
      <c r="Q477" s="52"/>
      <c r="R477" s="52" t="s">
        <v>39</v>
      </c>
      <c r="S477" s="52"/>
      <c r="T477" s="56"/>
    </row>
    <row r="478" spans="1:20" ht="37.5" customHeight="1" x14ac:dyDescent="0.4">
      <c r="B478" s="57" t="s">
        <v>40</v>
      </c>
      <c r="C478" s="57"/>
      <c r="D478" s="57"/>
      <c r="E478" s="57"/>
      <c r="F478" s="58">
        <f ca="1">OFFSET(総合成績評価!$B$3,A469,4)</f>
        <v>52.651538654123257</v>
      </c>
      <c r="G478" s="58"/>
      <c r="H478" s="58"/>
      <c r="I478" s="59">
        <f ca="1">OFFSET(総合成績評価!$B$3,A469,11)</f>
        <v>15</v>
      </c>
      <c r="J478" s="60"/>
      <c r="K478" s="61"/>
      <c r="L478" s="59">
        <f ca="1">OFFSET(総合成績評価!$B$3,A469,12)</f>
        <v>15</v>
      </c>
      <c r="M478" s="60"/>
      <c r="N478" s="60"/>
      <c r="O478" s="68">
        <f ca="1">OFFSET(総合成績評価!$B$3,A469,13)</f>
        <v>82.651538654123257</v>
      </c>
      <c r="P478" s="58"/>
      <c r="Q478" s="58"/>
      <c r="R478" s="75" t="str">
        <f ca="1">OFFSET(総合成績評価!$B$3,A469,14)</f>
        <v>A</v>
      </c>
      <c r="S478" s="75"/>
      <c r="T478" s="76"/>
    </row>
    <row r="479" spans="1:20" ht="37.5" customHeight="1" x14ac:dyDescent="0.4">
      <c r="B479" s="57" t="s">
        <v>41</v>
      </c>
      <c r="C479" s="75"/>
      <c r="D479" s="75"/>
      <c r="E479" s="75"/>
      <c r="F479" s="58">
        <f ca="1">OFFSET(総合成績評価!$B$3,A469,5)</f>
        <v>64.988531689410337</v>
      </c>
      <c r="G479" s="58"/>
      <c r="H479" s="58"/>
      <c r="I479" s="62"/>
      <c r="J479" s="63"/>
      <c r="K479" s="64"/>
      <c r="L479" s="62"/>
      <c r="M479" s="63"/>
      <c r="N479" s="63"/>
      <c r="O479" s="68">
        <f ca="1">OFFSET(総合成績評価!$B$3,A469,15)</f>
        <v>94.988531689410337</v>
      </c>
      <c r="P479" s="58"/>
      <c r="Q479" s="58"/>
      <c r="R479" s="75" t="str">
        <f ca="1">OFFSET(総合成績評価!$B$3,A469,16)</f>
        <v>A</v>
      </c>
      <c r="S479" s="75"/>
      <c r="T479" s="76"/>
    </row>
    <row r="480" spans="1:20" ht="37.5" customHeight="1" x14ac:dyDescent="0.4">
      <c r="B480" s="57" t="s">
        <v>42</v>
      </c>
      <c r="C480" s="75"/>
      <c r="D480" s="75"/>
      <c r="E480" s="75"/>
      <c r="F480" s="58">
        <f ca="1">OFFSET(総合成績評価!$B$3,A469,6)</f>
        <v>41.560744326608734</v>
      </c>
      <c r="G480" s="58"/>
      <c r="H480" s="58"/>
      <c r="I480" s="62"/>
      <c r="J480" s="63"/>
      <c r="K480" s="64"/>
      <c r="L480" s="62"/>
      <c r="M480" s="63"/>
      <c r="N480" s="63"/>
      <c r="O480" s="68">
        <f ca="1">OFFSET(総合成績評価!$B$3,A469,17)</f>
        <v>71.560744326608727</v>
      </c>
      <c r="P480" s="58"/>
      <c r="Q480" s="58"/>
      <c r="R480" s="75" t="str">
        <f ca="1">OFFSET(総合成績評価!$B$3,A469,18)</f>
        <v>B</v>
      </c>
      <c r="S480" s="75"/>
      <c r="T480" s="76"/>
    </row>
    <row r="481" spans="1:20" ht="37.5" customHeight="1" x14ac:dyDescent="0.4">
      <c r="B481" s="57" t="s">
        <v>43</v>
      </c>
      <c r="C481" s="75"/>
      <c r="D481" s="75"/>
      <c r="E481" s="75"/>
      <c r="F481" s="58">
        <f ca="1">OFFSET(総合成績評価!$B$3,A469,7)</f>
        <v>58.46636013609141</v>
      </c>
      <c r="G481" s="58"/>
      <c r="H481" s="58"/>
      <c r="I481" s="62"/>
      <c r="J481" s="63"/>
      <c r="K481" s="64"/>
      <c r="L481" s="62"/>
      <c r="M481" s="63"/>
      <c r="N481" s="63"/>
      <c r="O481" s="68">
        <f ca="1">OFFSET(総合成績評価!$B$3,A469,19)</f>
        <v>88.46636013609141</v>
      </c>
      <c r="P481" s="58"/>
      <c r="Q481" s="58"/>
      <c r="R481" s="75" t="str">
        <f ca="1">OFFSET(総合成績評価!$B$3,A469,20)</f>
        <v>A</v>
      </c>
      <c r="S481" s="75"/>
      <c r="T481" s="76"/>
    </row>
    <row r="482" spans="1:20" ht="37.5" customHeight="1" x14ac:dyDescent="0.4">
      <c r="B482" s="57" t="s">
        <v>44</v>
      </c>
      <c r="C482" s="75"/>
      <c r="D482" s="75"/>
      <c r="E482" s="75"/>
      <c r="F482" s="58">
        <f ca="1">OFFSET(総合成績評価!$B$3,A469,8)</f>
        <v>58.541019662496844</v>
      </c>
      <c r="G482" s="58"/>
      <c r="H482" s="58"/>
      <c r="I482" s="62"/>
      <c r="J482" s="63"/>
      <c r="K482" s="64"/>
      <c r="L482" s="62"/>
      <c r="M482" s="63"/>
      <c r="N482" s="63"/>
      <c r="O482" s="68">
        <f ca="1">OFFSET(総合成績評価!$B$3,A469,21)</f>
        <v>88.541019662496836</v>
      </c>
      <c r="P482" s="58"/>
      <c r="Q482" s="58"/>
      <c r="R482" s="75" t="str">
        <f ca="1">OFFSET(総合成績評価!$B$3,A469,22)</f>
        <v>A</v>
      </c>
      <c r="S482" s="75"/>
      <c r="T482" s="76"/>
    </row>
    <row r="483" spans="1:20" ht="37.5" customHeight="1" thickBot="1" x14ac:dyDescent="0.45">
      <c r="B483" s="77" t="s">
        <v>45</v>
      </c>
      <c r="C483" s="70"/>
      <c r="D483" s="70"/>
      <c r="E483" s="70"/>
      <c r="F483" s="78">
        <f ca="1">OFFSET(総合成績評価!$B$3,A469,9)</f>
        <v>66.324560298731697</v>
      </c>
      <c r="G483" s="78"/>
      <c r="H483" s="78"/>
      <c r="I483" s="62"/>
      <c r="J483" s="63"/>
      <c r="K483" s="64"/>
      <c r="L483" s="62"/>
      <c r="M483" s="63"/>
      <c r="N483" s="63"/>
      <c r="O483" s="79">
        <f ca="1">OFFSET(総合成績評価!$B$3,A469,23)</f>
        <v>96.324560298731697</v>
      </c>
      <c r="P483" s="78"/>
      <c r="Q483" s="78"/>
      <c r="R483" s="70" t="str">
        <f ca="1">OFFSET(総合成績評価!$B$3,A469,24)</f>
        <v>A</v>
      </c>
      <c r="S483" s="70"/>
      <c r="T483" s="80"/>
    </row>
    <row r="484" spans="1:20" ht="37.5" customHeight="1" thickTop="1" thickBot="1" x14ac:dyDescent="0.45">
      <c r="B484" s="81" t="s">
        <v>46</v>
      </c>
      <c r="C484" s="82"/>
      <c r="D484" s="82"/>
      <c r="E484" s="82"/>
      <c r="F484" s="83">
        <f ca="1">OFFSET(総合成績評価!$B$3,A469,10)</f>
        <v>59.257224195784666</v>
      </c>
      <c r="G484" s="83"/>
      <c r="H484" s="83"/>
      <c r="I484" s="65"/>
      <c r="J484" s="66"/>
      <c r="K484" s="67"/>
      <c r="L484" s="65"/>
      <c r="M484" s="66"/>
      <c r="N484" s="66"/>
      <c r="O484" s="84">
        <f ca="1">OFFSET(総合成績評価!$B$3,A469,25)</f>
        <v>89.257224195784659</v>
      </c>
      <c r="P484" s="85"/>
      <c r="Q484" s="85"/>
      <c r="R484" s="86" t="str">
        <f ca="1">OFFSET(総合成績評価!$B$3,A469,26)</f>
        <v>A</v>
      </c>
      <c r="S484" s="86"/>
      <c r="T484" s="87"/>
    </row>
    <row r="495" spans="1:20" ht="22.5" customHeight="1" x14ac:dyDescent="0.4">
      <c r="A495" s="35">
        <f>A469+1</f>
        <v>19</v>
      </c>
      <c r="B495" s="43" t="s">
        <v>29</v>
      </c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</row>
    <row r="496" spans="1:20" ht="22.5" customHeight="1" x14ac:dyDescent="0.4"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</row>
    <row r="497" spans="2:20" ht="22.5" customHeight="1" x14ac:dyDescent="0.4"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44" t="s">
        <v>49</v>
      </c>
      <c r="O497" s="44"/>
      <c r="P497" s="44"/>
      <c r="Q497" s="45">
        <f ca="1">TODAY()</f>
        <v>45721</v>
      </c>
      <c r="R497" s="46"/>
      <c r="S497" s="46"/>
      <c r="T497" s="46"/>
    </row>
    <row r="498" spans="2:20" ht="33.75" customHeight="1" x14ac:dyDescent="0.4">
      <c r="B498" s="47" t="s">
        <v>50</v>
      </c>
      <c r="C498" s="48"/>
      <c r="D498" s="48"/>
      <c r="E498" s="48"/>
      <c r="F498" s="49">
        <f ca="1">OFFSET(総合成績評価!$B$3,A495,0)</f>
        <v>2404159</v>
      </c>
      <c r="G498" s="49"/>
      <c r="H498" s="49"/>
      <c r="I498" s="49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</row>
    <row r="499" spans="2:20" ht="33.75" customHeight="1" x14ac:dyDescent="0.4">
      <c r="B499" s="47" t="s">
        <v>51</v>
      </c>
      <c r="C499" s="48"/>
      <c r="D499" s="48"/>
      <c r="E499" s="48"/>
      <c r="F499" s="50" t="str">
        <f ca="1">OFFSET(総合成績評価!$B$3,A495,1)</f>
        <v>2-1</v>
      </c>
      <c r="G499" s="50"/>
      <c r="H499" s="50"/>
      <c r="I499" s="50"/>
      <c r="J499" s="38"/>
      <c r="K499" s="38"/>
      <c r="L499" s="38"/>
      <c r="M499" s="47" t="s">
        <v>48</v>
      </c>
      <c r="N499" s="47"/>
      <c r="O499" s="47"/>
      <c r="P499" s="47"/>
      <c r="Q499" s="51">
        <f ca="1">VALUE(VLOOKUP(F498,入力②出席率!B:G,6))</f>
        <v>1</v>
      </c>
      <c r="R499" s="51"/>
      <c r="S499" s="51"/>
      <c r="T499" s="51"/>
    </row>
    <row r="500" spans="2:20" ht="33.75" customHeight="1" x14ac:dyDescent="0.4">
      <c r="B500" s="47" t="s">
        <v>52</v>
      </c>
      <c r="C500" s="48"/>
      <c r="D500" s="48"/>
      <c r="E500" s="48"/>
      <c r="F500" s="69" t="str">
        <f ca="1">OFFSET(総合成績評価!$B$3,A495,3)</f>
        <v>RABIN THAPALIYA</v>
      </c>
      <c r="G500" s="69"/>
      <c r="H500" s="69"/>
      <c r="I500" s="69"/>
      <c r="J500" s="69"/>
      <c r="K500" s="69"/>
      <c r="L500" s="69"/>
      <c r="M500" s="69"/>
      <c r="N500" s="69"/>
      <c r="O500" s="69"/>
      <c r="P500" s="69"/>
      <c r="Q500" s="69"/>
      <c r="R500" s="69"/>
      <c r="S500" s="69"/>
      <c r="T500" s="69"/>
    </row>
    <row r="501" spans="2:20" ht="22.5" customHeight="1" thickBot="1" x14ac:dyDescent="0.45">
      <c r="B501" s="41" t="s">
        <v>47</v>
      </c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</row>
    <row r="502" spans="2:20" ht="22.5" customHeight="1" x14ac:dyDescent="0.4">
      <c r="F502" s="70" t="s">
        <v>30</v>
      </c>
      <c r="G502" s="70"/>
      <c r="H502" s="70"/>
      <c r="I502" s="70" t="s">
        <v>31</v>
      </c>
      <c r="J502" s="70"/>
      <c r="K502" s="70"/>
      <c r="L502" s="70" t="s">
        <v>32</v>
      </c>
      <c r="M502" s="70"/>
      <c r="N502" s="71"/>
      <c r="O502" s="72" t="s">
        <v>33</v>
      </c>
      <c r="P502" s="73"/>
      <c r="Q502" s="73"/>
      <c r="R502" s="73" t="s">
        <v>34</v>
      </c>
      <c r="S502" s="73"/>
      <c r="T502" s="74"/>
    </row>
    <row r="503" spans="2:20" ht="30" customHeight="1" x14ac:dyDescent="0.4">
      <c r="F503" s="52" t="s">
        <v>35</v>
      </c>
      <c r="G503" s="52"/>
      <c r="H503" s="52"/>
      <c r="I503" s="53" t="s">
        <v>36</v>
      </c>
      <c r="J503" s="53"/>
      <c r="K503" s="53"/>
      <c r="L503" s="53" t="s">
        <v>37</v>
      </c>
      <c r="M503" s="52"/>
      <c r="N503" s="54"/>
      <c r="O503" s="55" t="s">
        <v>38</v>
      </c>
      <c r="P503" s="52"/>
      <c r="Q503" s="52"/>
      <c r="R503" s="52" t="s">
        <v>39</v>
      </c>
      <c r="S503" s="52"/>
      <c r="T503" s="56"/>
    </row>
    <row r="504" spans="2:20" ht="37.5" customHeight="1" x14ac:dyDescent="0.4">
      <c r="B504" s="57" t="s">
        <v>40</v>
      </c>
      <c r="C504" s="57"/>
      <c r="D504" s="57"/>
      <c r="E504" s="57"/>
      <c r="F504" s="58">
        <f ca="1">OFFSET(総合成績評価!$B$3,A495,4)</f>
        <v>55.434572980521985</v>
      </c>
      <c r="G504" s="58"/>
      <c r="H504" s="58"/>
      <c r="I504" s="59">
        <f ca="1">OFFSET(総合成績評価!$B$3,A495,11)</f>
        <v>15</v>
      </c>
      <c r="J504" s="60"/>
      <c r="K504" s="61"/>
      <c r="L504" s="59">
        <f ca="1">OFFSET(総合成績評価!$B$3,A495,12)</f>
        <v>15</v>
      </c>
      <c r="M504" s="60"/>
      <c r="N504" s="60"/>
      <c r="O504" s="68">
        <f ca="1">OFFSET(総合成績評価!$B$3,A495,13)</f>
        <v>85.434572980521978</v>
      </c>
      <c r="P504" s="58"/>
      <c r="Q504" s="58"/>
      <c r="R504" s="75" t="str">
        <f ca="1">OFFSET(総合成績評価!$B$3,A495,14)</f>
        <v>A</v>
      </c>
      <c r="S504" s="75"/>
      <c r="T504" s="76"/>
    </row>
    <row r="505" spans="2:20" ht="37.5" customHeight="1" x14ac:dyDescent="0.4">
      <c r="B505" s="57" t="s">
        <v>41</v>
      </c>
      <c r="C505" s="75"/>
      <c r="D505" s="75"/>
      <c r="E505" s="75"/>
      <c r="F505" s="58">
        <f ca="1">OFFSET(総合成績評価!$B$3,A495,5)</f>
        <v>61.463414634146346</v>
      </c>
      <c r="G505" s="58"/>
      <c r="H505" s="58"/>
      <c r="I505" s="62"/>
      <c r="J505" s="63"/>
      <c r="K505" s="64"/>
      <c r="L505" s="62"/>
      <c r="M505" s="63"/>
      <c r="N505" s="63"/>
      <c r="O505" s="68">
        <f ca="1">OFFSET(総合成績評価!$B$3,A495,15)</f>
        <v>91.463414634146346</v>
      </c>
      <c r="P505" s="58"/>
      <c r="Q505" s="58"/>
      <c r="R505" s="75" t="str">
        <f ca="1">OFFSET(総合成績評価!$B$3,A495,16)</f>
        <v>A</v>
      </c>
      <c r="S505" s="75"/>
      <c r="T505" s="76"/>
    </row>
    <row r="506" spans="2:20" ht="37.5" customHeight="1" x14ac:dyDescent="0.4">
      <c r="B506" s="57" t="s">
        <v>42</v>
      </c>
      <c r="C506" s="75"/>
      <c r="D506" s="75"/>
      <c r="E506" s="75"/>
      <c r="F506" s="58">
        <f ca="1">OFFSET(総合成績評価!$B$3,A495,6)</f>
        <v>52.83810728278587</v>
      </c>
      <c r="G506" s="58"/>
      <c r="H506" s="58"/>
      <c r="I506" s="62"/>
      <c r="J506" s="63"/>
      <c r="K506" s="64"/>
      <c r="L506" s="62"/>
      <c r="M506" s="63"/>
      <c r="N506" s="63"/>
      <c r="O506" s="68">
        <f ca="1">OFFSET(総合成績評価!$B$3,A495,17)</f>
        <v>82.83810728278587</v>
      </c>
      <c r="P506" s="58"/>
      <c r="Q506" s="58"/>
      <c r="R506" s="75" t="str">
        <f ca="1">OFFSET(総合成績評価!$B$3,A495,18)</f>
        <v>A</v>
      </c>
      <c r="S506" s="75"/>
      <c r="T506" s="76"/>
    </row>
    <row r="507" spans="2:20" ht="37.5" customHeight="1" x14ac:dyDescent="0.4">
      <c r="B507" s="57" t="s">
        <v>43</v>
      </c>
      <c r="C507" s="75"/>
      <c r="D507" s="75"/>
      <c r="E507" s="75"/>
      <c r="F507" s="58">
        <f ca="1">OFFSET(総合成績評価!$B$3,A495,7)</f>
        <v>63.441378620551689</v>
      </c>
      <c r="G507" s="58"/>
      <c r="H507" s="58"/>
      <c r="I507" s="62"/>
      <c r="J507" s="63"/>
      <c r="K507" s="64"/>
      <c r="L507" s="62"/>
      <c r="M507" s="63"/>
      <c r="N507" s="63"/>
      <c r="O507" s="68">
        <f ca="1">OFFSET(総合成績評価!$B$3,A495,19)</f>
        <v>93.441378620551689</v>
      </c>
      <c r="P507" s="58"/>
      <c r="Q507" s="58"/>
      <c r="R507" s="75" t="str">
        <f ca="1">OFFSET(総合成績評価!$B$3,A495,20)</f>
        <v>A</v>
      </c>
      <c r="S507" s="75"/>
      <c r="T507" s="76"/>
    </row>
    <row r="508" spans="2:20" ht="37.5" customHeight="1" x14ac:dyDescent="0.4">
      <c r="B508" s="57" t="s">
        <v>44</v>
      </c>
      <c r="C508" s="75"/>
      <c r="D508" s="75"/>
      <c r="E508" s="75"/>
      <c r="F508" s="58">
        <f ca="1">OFFSET(総合成績評価!$B$3,A495,8)</f>
        <v>58.541019662496844</v>
      </c>
      <c r="G508" s="58"/>
      <c r="H508" s="58"/>
      <c r="I508" s="62"/>
      <c r="J508" s="63"/>
      <c r="K508" s="64"/>
      <c r="L508" s="62"/>
      <c r="M508" s="63"/>
      <c r="N508" s="63"/>
      <c r="O508" s="68">
        <f ca="1">OFFSET(総合成績評価!$B$3,A495,21)</f>
        <v>88.541019662496836</v>
      </c>
      <c r="P508" s="58"/>
      <c r="Q508" s="58"/>
      <c r="R508" s="75" t="str">
        <f ca="1">OFFSET(総合成績評価!$B$3,A495,22)</f>
        <v>A</v>
      </c>
      <c r="S508" s="75"/>
      <c r="T508" s="76"/>
    </row>
    <row r="509" spans="2:20" ht="37.5" customHeight="1" thickBot="1" x14ac:dyDescent="0.45">
      <c r="B509" s="77" t="s">
        <v>45</v>
      </c>
      <c r="C509" s="70"/>
      <c r="D509" s="70"/>
      <c r="E509" s="70"/>
      <c r="F509" s="78">
        <f ca="1">OFFSET(総合成績評価!$B$3,A495,9)</f>
        <v>63.128331356602217</v>
      </c>
      <c r="G509" s="78"/>
      <c r="H509" s="78"/>
      <c r="I509" s="62"/>
      <c r="J509" s="63"/>
      <c r="K509" s="64"/>
      <c r="L509" s="62"/>
      <c r="M509" s="63"/>
      <c r="N509" s="63"/>
      <c r="O509" s="79">
        <f ca="1">OFFSET(総合成績評価!$B$3,A495,23)</f>
        <v>93.128331356602217</v>
      </c>
      <c r="P509" s="78"/>
      <c r="Q509" s="78"/>
      <c r="R509" s="70" t="str">
        <f ca="1">OFFSET(総合成績評価!$B$3,A495,24)</f>
        <v>A</v>
      </c>
      <c r="S509" s="70"/>
      <c r="T509" s="80"/>
    </row>
    <row r="510" spans="2:20" ht="37.5" customHeight="1" thickTop="1" thickBot="1" x14ac:dyDescent="0.45">
      <c r="B510" s="81" t="s">
        <v>46</v>
      </c>
      <c r="C510" s="82"/>
      <c r="D510" s="82"/>
      <c r="E510" s="82"/>
      <c r="F510" s="83">
        <f ca="1">OFFSET(総合成績評価!$B$3,A495,10)</f>
        <v>60.660130090618566</v>
      </c>
      <c r="G510" s="83"/>
      <c r="H510" s="83"/>
      <c r="I510" s="65"/>
      <c r="J510" s="66"/>
      <c r="K510" s="67"/>
      <c r="L510" s="65"/>
      <c r="M510" s="66"/>
      <c r="N510" s="66"/>
      <c r="O510" s="84">
        <f ca="1">OFFSET(総合成績評価!$B$3,A495,25)</f>
        <v>90.660130090618566</v>
      </c>
      <c r="P510" s="85"/>
      <c r="Q510" s="85"/>
      <c r="R510" s="86" t="str">
        <f ca="1">OFFSET(総合成績評価!$B$3,A495,26)</f>
        <v>A</v>
      </c>
      <c r="S510" s="86"/>
      <c r="T510" s="87"/>
    </row>
    <row r="521" spans="1:20" ht="22.5" customHeight="1" x14ac:dyDescent="0.4">
      <c r="A521" s="35">
        <f>A495+1</f>
        <v>20</v>
      </c>
      <c r="B521" s="43" t="s">
        <v>29</v>
      </c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</row>
    <row r="522" spans="1:20" ht="22.5" customHeight="1" x14ac:dyDescent="0.4"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</row>
    <row r="523" spans="1:20" ht="22.5" customHeight="1" x14ac:dyDescent="0.4"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44" t="s">
        <v>49</v>
      </c>
      <c r="O523" s="44"/>
      <c r="P523" s="44"/>
      <c r="Q523" s="45">
        <f ca="1">TODAY()</f>
        <v>45721</v>
      </c>
      <c r="R523" s="46"/>
      <c r="S523" s="46"/>
      <c r="T523" s="46"/>
    </row>
    <row r="524" spans="1:20" ht="33.75" customHeight="1" x14ac:dyDescent="0.4">
      <c r="B524" s="47" t="s">
        <v>50</v>
      </c>
      <c r="C524" s="48"/>
      <c r="D524" s="48"/>
      <c r="E524" s="48"/>
      <c r="F524" s="49">
        <f ca="1">OFFSET(総合成績評価!$B$3,A521,0)</f>
        <v>0</v>
      </c>
      <c r="G524" s="49"/>
      <c r="H524" s="49"/>
      <c r="I524" s="49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</row>
    <row r="525" spans="1:20" ht="33.75" customHeight="1" x14ac:dyDescent="0.4">
      <c r="B525" s="47" t="s">
        <v>51</v>
      </c>
      <c r="C525" s="48"/>
      <c r="D525" s="48"/>
      <c r="E525" s="48"/>
      <c r="F525" s="50">
        <f ca="1">OFFSET(総合成績評価!$B$3,A521,1)</f>
        <v>0</v>
      </c>
      <c r="G525" s="50"/>
      <c r="H525" s="50"/>
      <c r="I525" s="50"/>
      <c r="J525" s="38"/>
      <c r="K525" s="38"/>
      <c r="L525" s="38"/>
      <c r="M525" s="47" t="s">
        <v>48</v>
      </c>
      <c r="N525" s="47"/>
      <c r="O525" s="47"/>
      <c r="P525" s="47"/>
      <c r="Q525" s="51" t="e">
        <f ca="1">VALUE(VLOOKUP(F524,入力②出席率!B:G,6))</f>
        <v>#N/A</v>
      </c>
      <c r="R525" s="51"/>
      <c r="S525" s="51"/>
      <c r="T525" s="51"/>
    </row>
    <row r="526" spans="1:20" ht="33.75" customHeight="1" x14ac:dyDescent="0.4">
      <c r="B526" s="47" t="s">
        <v>52</v>
      </c>
      <c r="C526" s="48"/>
      <c r="D526" s="48"/>
      <c r="E526" s="48"/>
      <c r="F526" s="69">
        <f ca="1">OFFSET(総合成績評価!$B$3,A521,3)</f>
        <v>0</v>
      </c>
      <c r="G526" s="69"/>
      <c r="H526" s="69"/>
      <c r="I526" s="69"/>
      <c r="J526" s="69"/>
      <c r="K526" s="69"/>
      <c r="L526" s="69"/>
      <c r="M526" s="69"/>
      <c r="N526" s="69"/>
      <c r="O526" s="69"/>
      <c r="P526" s="69"/>
      <c r="Q526" s="69"/>
      <c r="R526" s="69"/>
      <c r="S526" s="69"/>
      <c r="T526" s="69"/>
    </row>
    <row r="527" spans="1:20" ht="22.5" customHeight="1" thickBot="1" x14ac:dyDescent="0.45">
      <c r="B527" s="41" t="s">
        <v>47</v>
      </c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</row>
    <row r="528" spans="1:20" ht="22.5" customHeight="1" x14ac:dyDescent="0.4">
      <c r="F528" s="70" t="s">
        <v>30</v>
      </c>
      <c r="G528" s="70"/>
      <c r="H528" s="70"/>
      <c r="I528" s="70" t="s">
        <v>31</v>
      </c>
      <c r="J528" s="70"/>
      <c r="K528" s="70"/>
      <c r="L528" s="70" t="s">
        <v>32</v>
      </c>
      <c r="M528" s="70"/>
      <c r="N528" s="71"/>
      <c r="O528" s="72" t="s">
        <v>33</v>
      </c>
      <c r="P528" s="73"/>
      <c r="Q528" s="73"/>
      <c r="R528" s="73" t="s">
        <v>34</v>
      </c>
      <c r="S528" s="73"/>
      <c r="T528" s="74"/>
    </row>
    <row r="529" spans="2:20" ht="30" customHeight="1" x14ac:dyDescent="0.4">
      <c r="F529" s="52" t="s">
        <v>35</v>
      </c>
      <c r="G529" s="52"/>
      <c r="H529" s="52"/>
      <c r="I529" s="53" t="s">
        <v>36</v>
      </c>
      <c r="J529" s="53"/>
      <c r="K529" s="53"/>
      <c r="L529" s="53" t="s">
        <v>37</v>
      </c>
      <c r="M529" s="52"/>
      <c r="N529" s="54"/>
      <c r="O529" s="55" t="s">
        <v>38</v>
      </c>
      <c r="P529" s="52"/>
      <c r="Q529" s="52"/>
      <c r="R529" s="52" t="s">
        <v>39</v>
      </c>
      <c r="S529" s="52"/>
      <c r="T529" s="56"/>
    </row>
    <row r="530" spans="2:20" ht="37.5" customHeight="1" x14ac:dyDescent="0.4">
      <c r="B530" s="57" t="s">
        <v>40</v>
      </c>
      <c r="C530" s="57"/>
      <c r="D530" s="57"/>
      <c r="E530" s="57"/>
      <c r="F530" s="58">
        <f ca="1">OFFSET(総合成績評価!$B$3,A521,4)</f>
        <v>0</v>
      </c>
      <c r="G530" s="58"/>
      <c r="H530" s="58"/>
      <c r="I530" s="59">
        <f ca="1">OFFSET(総合成績評価!$B$3,A521,11)</f>
        <v>0</v>
      </c>
      <c r="J530" s="60"/>
      <c r="K530" s="61"/>
      <c r="L530" s="59">
        <f ca="1">OFFSET(総合成績評価!$B$3,A521,12)</f>
        <v>0</v>
      </c>
      <c r="M530" s="60"/>
      <c r="N530" s="60"/>
      <c r="O530" s="68">
        <f ca="1">OFFSET(総合成績評価!$B$3,A521,13)</f>
        <v>0</v>
      </c>
      <c r="P530" s="58"/>
      <c r="Q530" s="58"/>
      <c r="R530" s="75">
        <f ca="1">OFFSET(総合成績評価!$B$3,A521,14)</f>
        <v>0</v>
      </c>
      <c r="S530" s="75"/>
      <c r="T530" s="76"/>
    </row>
    <row r="531" spans="2:20" ht="37.5" customHeight="1" x14ac:dyDescent="0.4">
      <c r="B531" s="57" t="s">
        <v>41</v>
      </c>
      <c r="C531" s="75"/>
      <c r="D531" s="75"/>
      <c r="E531" s="75"/>
      <c r="F531" s="58">
        <f ca="1">OFFSET(総合成績評価!$B$3,A521,5)</f>
        <v>0</v>
      </c>
      <c r="G531" s="58"/>
      <c r="H531" s="58"/>
      <c r="I531" s="62"/>
      <c r="J531" s="63"/>
      <c r="K531" s="64"/>
      <c r="L531" s="62"/>
      <c r="M531" s="63"/>
      <c r="N531" s="63"/>
      <c r="O531" s="68">
        <f ca="1">OFFSET(総合成績評価!$B$3,A521,15)</f>
        <v>0</v>
      </c>
      <c r="P531" s="58"/>
      <c r="Q531" s="58"/>
      <c r="R531" s="75">
        <f ca="1">OFFSET(総合成績評価!$B$3,A521,16)</f>
        <v>0</v>
      </c>
      <c r="S531" s="75"/>
      <c r="T531" s="76"/>
    </row>
    <row r="532" spans="2:20" ht="37.5" customHeight="1" x14ac:dyDescent="0.4">
      <c r="B532" s="57" t="s">
        <v>42</v>
      </c>
      <c r="C532" s="75"/>
      <c r="D532" s="75"/>
      <c r="E532" s="75"/>
      <c r="F532" s="58">
        <f ca="1">OFFSET(総合成績評価!$B$3,A521,6)</f>
        <v>0</v>
      </c>
      <c r="G532" s="58"/>
      <c r="H532" s="58"/>
      <c r="I532" s="62"/>
      <c r="J532" s="63"/>
      <c r="K532" s="64"/>
      <c r="L532" s="62"/>
      <c r="M532" s="63"/>
      <c r="N532" s="63"/>
      <c r="O532" s="68">
        <f ca="1">OFFSET(総合成績評価!$B$3,A521,17)</f>
        <v>0</v>
      </c>
      <c r="P532" s="58"/>
      <c r="Q532" s="58"/>
      <c r="R532" s="75">
        <f ca="1">OFFSET(総合成績評価!$B$3,A521,18)</f>
        <v>0</v>
      </c>
      <c r="S532" s="75"/>
      <c r="T532" s="76"/>
    </row>
    <row r="533" spans="2:20" ht="37.5" customHeight="1" x14ac:dyDescent="0.4">
      <c r="B533" s="57" t="s">
        <v>43</v>
      </c>
      <c r="C533" s="75"/>
      <c r="D533" s="75"/>
      <c r="E533" s="75"/>
      <c r="F533" s="58">
        <f ca="1">OFFSET(総合成績評価!$B$3,A521,7)</f>
        <v>0</v>
      </c>
      <c r="G533" s="58"/>
      <c r="H533" s="58"/>
      <c r="I533" s="62"/>
      <c r="J533" s="63"/>
      <c r="K533" s="64"/>
      <c r="L533" s="62"/>
      <c r="M533" s="63"/>
      <c r="N533" s="63"/>
      <c r="O533" s="68">
        <f ca="1">OFFSET(総合成績評価!$B$3,A521,19)</f>
        <v>0</v>
      </c>
      <c r="P533" s="58"/>
      <c r="Q533" s="58"/>
      <c r="R533" s="75">
        <f ca="1">OFFSET(総合成績評価!$B$3,A521,20)</f>
        <v>0</v>
      </c>
      <c r="S533" s="75"/>
      <c r="T533" s="76"/>
    </row>
    <row r="534" spans="2:20" ht="37.5" customHeight="1" x14ac:dyDescent="0.4">
      <c r="B534" s="57" t="s">
        <v>44</v>
      </c>
      <c r="C534" s="75"/>
      <c r="D534" s="75"/>
      <c r="E534" s="75"/>
      <c r="F534" s="58">
        <f ca="1">OFFSET(総合成績評価!$B$3,A521,8)</f>
        <v>0</v>
      </c>
      <c r="G534" s="58"/>
      <c r="H534" s="58"/>
      <c r="I534" s="62"/>
      <c r="J534" s="63"/>
      <c r="K534" s="64"/>
      <c r="L534" s="62"/>
      <c r="M534" s="63"/>
      <c r="N534" s="63"/>
      <c r="O534" s="68">
        <f ca="1">OFFSET(総合成績評価!$B$3,A521,21)</f>
        <v>0</v>
      </c>
      <c r="P534" s="58"/>
      <c r="Q534" s="58"/>
      <c r="R534" s="75">
        <f ca="1">OFFSET(総合成績評価!$B$3,A521,22)</f>
        <v>0</v>
      </c>
      <c r="S534" s="75"/>
      <c r="T534" s="76"/>
    </row>
    <row r="535" spans="2:20" ht="37.5" customHeight="1" thickBot="1" x14ac:dyDescent="0.45">
      <c r="B535" s="77" t="s">
        <v>45</v>
      </c>
      <c r="C535" s="70"/>
      <c r="D535" s="70"/>
      <c r="E535" s="70"/>
      <c r="F535" s="78">
        <f ca="1">OFFSET(総合成績評価!$B$3,A521,9)</f>
        <v>0</v>
      </c>
      <c r="G535" s="78"/>
      <c r="H535" s="78"/>
      <c r="I535" s="62"/>
      <c r="J535" s="63"/>
      <c r="K535" s="64"/>
      <c r="L535" s="62"/>
      <c r="M535" s="63"/>
      <c r="N535" s="63"/>
      <c r="O535" s="79">
        <f ca="1">OFFSET(総合成績評価!$B$3,A521,23)</f>
        <v>0</v>
      </c>
      <c r="P535" s="78"/>
      <c r="Q535" s="78"/>
      <c r="R535" s="70">
        <f ca="1">OFFSET(総合成績評価!$B$3,A521,24)</f>
        <v>0</v>
      </c>
      <c r="S535" s="70"/>
      <c r="T535" s="80"/>
    </row>
    <row r="536" spans="2:20" ht="37.5" customHeight="1" thickTop="1" thickBot="1" x14ac:dyDescent="0.45">
      <c r="B536" s="81" t="s">
        <v>46</v>
      </c>
      <c r="C536" s="82"/>
      <c r="D536" s="82"/>
      <c r="E536" s="82"/>
      <c r="F536" s="83">
        <f ca="1">OFFSET(総合成績評価!$B$3,A521,10)</f>
        <v>0</v>
      </c>
      <c r="G536" s="83"/>
      <c r="H536" s="83"/>
      <c r="I536" s="65"/>
      <c r="J536" s="66"/>
      <c r="K536" s="67"/>
      <c r="L536" s="65"/>
      <c r="M536" s="66"/>
      <c r="N536" s="66"/>
      <c r="O536" s="84">
        <f ca="1">OFFSET(総合成績評価!$B$3,A521,25)</f>
        <v>0</v>
      </c>
      <c r="P536" s="85"/>
      <c r="Q536" s="85"/>
      <c r="R536" s="86">
        <f ca="1">OFFSET(総合成績評価!$B$3,A521,26)</f>
        <v>0</v>
      </c>
      <c r="S536" s="86"/>
      <c r="T536" s="87"/>
    </row>
  </sheetData>
  <mergeCells count="1071">
    <mergeCell ref="R529:T529"/>
    <mergeCell ref="B530:E530"/>
    <mergeCell ref="F530:H530"/>
    <mergeCell ref="I530:K536"/>
    <mergeCell ref="L530:N536"/>
    <mergeCell ref="O530:Q530"/>
    <mergeCell ref="M5:P5"/>
    <mergeCell ref="M31:P31"/>
    <mergeCell ref="M57:P57"/>
    <mergeCell ref="M83:P83"/>
    <mergeCell ref="M109:P109"/>
    <mergeCell ref="M135:P135"/>
    <mergeCell ref="M161:P161"/>
    <mergeCell ref="M187:P187"/>
    <mergeCell ref="M213:P213"/>
    <mergeCell ref="M239:P239"/>
    <mergeCell ref="M265:P265"/>
    <mergeCell ref="M291:P291"/>
    <mergeCell ref="M317:P317"/>
    <mergeCell ref="M343:P343"/>
    <mergeCell ref="M369:P369"/>
    <mergeCell ref="M395:P395"/>
    <mergeCell ref="M421:P421"/>
    <mergeCell ref="M447:P447"/>
    <mergeCell ref="M473:P473"/>
    <mergeCell ref="M499:P499"/>
    <mergeCell ref="B526:E526"/>
    <mergeCell ref="F526:T526"/>
    <mergeCell ref="F528:H528"/>
    <mergeCell ref="I528:K528"/>
    <mergeCell ref="L528:N528"/>
    <mergeCell ref="O528:Q528"/>
    <mergeCell ref="R528:T528"/>
    <mergeCell ref="B535:E535"/>
    <mergeCell ref="F535:H535"/>
    <mergeCell ref="O535:Q535"/>
    <mergeCell ref="R535:T535"/>
    <mergeCell ref="B536:E536"/>
    <mergeCell ref="F536:H536"/>
    <mergeCell ref="O536:Q536"/>
    <mergeCell ref="R536:T536"/>
    <mergeCell ref="B533:E533"/>
    <mergeCell ref="F533:H533"/>
    <mergeCell ref="O533:Q533"/>
    <mergeCell ref="R533:T533"/>
    <mergeCell ref="B534:E534"/>
    <mergeCell ref="F534:H534"/>
    <mergeCell ref="O534:Q534"/>
    <mergeCell ref="R534:T534"/>
    <mergeCell ref="R530:T530"/>
    <mergeCell ref="B531:E531"/>
    <mergeCell ref="F531:H531"/>
    <mergeCell ref="O531:Q531"/>
    <mergeCell ref="R531:T531"/>
    <mergeCell ref="B532:E532"/>
    <mergeCell ref="F532:H532"/>
    <mergeCell ref="O532:Q532"/>
    <mergeCell ref="R532:T532"/>
    <mergeCell ref="F529:H529"/>
    <mergeCell ref="I529:K529"/>
    <mergeCell ref="L529:N529"/>
    <mergeCell ref="O529:Q529"/>
    <mergeCell ref="B521:T522"/>
    <mergeCell ref="N523:P523"/>
    <mergeCell ref="Q523:T523"/>
    <mergeCell ref="B524:E524"/>
    <mergeCell ref="F524:I524"/>
    <mergeCell ref="B525:E525"/>
    <mergeCell ref="F525:I525"/>
    <mergeCell ref="Q525:T525"/>
    <mergeCell ref="B509:E509"/>
    <mergeCell ref="F509:H509"/>
    <mergeCell ref="O509:Q509"/>
    <mergeCell ref="R509:T509"/>
    <mergeCell ref="B510:E510"/>
    <mergeCell ref="F510:H510"/>
    <mergeCell ref="O510:Q510"/>
    <mergeCell ref="R510:T510"/>
    <mergeCell ref="B507:E507"/>
    <mergeCell ref="F507:H507"/>
    <mergeCell ref="O507:Q507"/>
    <mergeCell ref="R507:T507"/>
    <mergeCell ref="B508:E508"/>
    <mergeCell ref="F508:H508"/>
    <mergeCell ref="O508:Q508"/>
    <mergeCell ref="R508:T508"/>
    <mergeCell ref="M525:P525"/>
    <mergeCell ref="R504:T504"/>
    <mergeCell ref="B505:E505"/>
    <mergeCell ref="F505:H505"/>
    <mergeCell ref="O505:Q505"/>
    <mergeCell ref="R505:T505"/>
    <mergeCell ref="B506:E506"/>
    <mergeCell ref="F506:H506"/>
    <mergeCell ref="O506:Q506"/>
    <mergeCell ref="R506:T506"/>
    <mergeCell ref="F503:H503"/>
    <mergeCell ref="I503:K503"/>
    <mergeCell ref="L503:N503"/>
    <mergeCell ref="O503:Q503"/>
    <mergeCell ref="R503:T503"/>
    <mergeCell ref="B504:E504"/>
    <mergeCell ref="F504:H504"/>
    <mergeCell ref="I504:K510"/>
    <mergeCell ref="L504:N510"/>
    <mergeCell ref="O504:Q504"/>
    <mergeCell ref="O480:Q480"/>
    <mergeCell ref="R480:T480"/>
    <mergeCell ref="B500:E500"/>
    <mergeCell ref="F500:T500"/>
    <mergeCell ref="F502:H502"/>
    <mergeCell ref="I502:K502"/>
    <mergeCell ref="L502:N502"/>
    <mergeCell ref="O502:Q502"/>
    <mergeCell ref="R502:T502"/>
    <mergeCell ref="B495:T496"/>
    <mergeCell ref="N497:P497"/>
    <mergeCell ref="Q497:T497"/>
    <mergeCell ref="B498:E498"/>
    <mergeCell ref="F498:I498"/>
    <mergeCell ref="B499:E499"/>
    <mergeCell ref="F499:I499"/>
    <mergeCell ref="Q499:T499"/>
    <mergeCell ref="B483:E483"/>
    <mergeCell ref="F483:H483"/>
    <mergeCell ref="O483:Q483"/>
    <mergeCell ref="R483:T483"/>
    <mergeCell ref="B484:E484"/>
    <mergeCell ref="F484:H484"/>
    <mergeCell ref="O484:Q484"/>
    <mergeCell ref="R484:T484"/>
    <mergeCell ref="F477:H477"/>
    <mergeCell ref="I477:K477"/>
    <mergeCell ref="L477:N477"/>
    <mergeCell ref="O477:Q477"/>
    <mergeCell ref="R477:T477"/>
    <mergeCell ref="B478:E478"/>
    <mergeCell ref="F478:H478"/>
    <mergeCell ref="I478:K484"/>
    <mergeCell ref="L478:N484"/>
    <mergeCell ref="O478:Q478"/>
    <mergeCell ref="B474:E474"/>
    <mergeCell ref="F474:T474"/>
    <mergeCell ref="F476:H476"/>
    <mergeCell ref="I476:K476"/>
    <mergeCell ref="L476:N476"/>
    <mergeCell ref="O476:Q476"/>
    <mergeCell ref="R476:T476"/>
    <mergeCell ref="B481:E481"/>
    <mergeCell ref="F481:H481"/>
    <mergeCell ref="O481:Q481"/>
    <mergeCell ref="R481:T481"/>
    <mergeCell ref="B482:E482"/>
    <mergeCell ref="F482:H482"/>
    <mergeCell ref="O482:Q482"/>
    <mergeCell ref="R482:T482"/>
    <mergeCell ref="R478:T478"/>
    <mergeCell ref="B479:E479"/>
    <mergeCell ref="F479:H479"/>
    <mergeCell ref="O479:Q479"/>
    <mergeCell ref="R479:T479"/>
    <mergeCell ref="B480:E480"/>
    <mergeCell ref="F480:H480"/>
    <mergeCell ref="B469:T470"/>
    <mergeCell ref="N471:P471"/>
    <mergeCell ref="Q471:T471"/>
    <mergeCell ref="B472:E472"/>
    <mergeCell ref="F472:I472"/>
    <mergeCell ref="B473:E473"/>
    <mergeCell ref="F473:I473"/>
    <mergeCell ref="Q473:T473"/>
    <mergeCell ref="B457:E457"/>
    <mergeCell ref="F457:H457"/>
    <mergeCell ref="O457:Q457"/>
    <mergeCell ref="R457:T457"/>
    <mergeCell ref="B458:E458"/>
    <mergeCell ref="F458:H458"/>
    <mergeCell ref="O458:Q458"/>
    <mergeCell ref="R458:T458"/>
    <mergeCell ref="B455:E455"/>
    <mergeCell ref="F455:H455"/>
    <mergeCell ref="O455:Q455"/>
    <mergeCell ref="R455:T455"/>
    <mergeCell ref="B456:E456"/>
    <mergeCell ref="F456:H456"/>
    <mergeCell ref="O456:Q456"/>
    <mergeCell ref="R456:T456"/>
    <mergeCell ref="R452:T452"/>
    <mergeCell ref="B453:E453"/>
    <mergeCell ref="F453:H453"/>
    <mergeCell ref="O453:Q453"/>
    <mergeCell ref="R453:T453"/>
    <mergeCell ref="B454:E454"/>
    <mergeCell ref="F454:H454"/>
    <mergeCell ref="O454:Q454"/>
    <mergeCell ref="R454:T454"/>
    <mergeCell ref="F451:H451"/>
    <mergeCell ref="I451:K451"/>
    <mergeCell ref="L451:N451"/>
    <mergeCell ref="O451:Q451"/>
    <mergeCell ref="R451:T451"/>
    <mergeCell ref="B452:E452"/>
    <mergeCell ref="F452:H452"/>
    <mergeCell ref="I452:K458"/>
    <mergeCell ref="L452:N458"/>
    <mergeCell ref="O452:Q452"/>
    <mergeCell ref="O428:Q428"/>
    <mergeCell ref="R428:T428"/>
    <mergeCell ref="B448:E448"/>
    <mergeCell ref="F448:T448"/>
    <mergeCell ref="F450:H450"/>
    <mergeCell ref="I450:K450"/>
    <mergeCell ref="L450:N450"/>
    <mergeCell ref="O450:Q450"/>
    <mergeCell ref="R450:T450"/>
    <mergeCell ref="B443:T444"/>
    <mergeCell ref="N445:P445"/>
    <mergeCell ref="Q445:T445"/>
    <mergeCell ref="B446:E446"/>
    <mergeCell ref="F446:I446"/>
    <mergeCell ref="B447:E447"/>
    <mergeCell ref="F447:I447"/>
    <mergeCell ref="Q447:T447"/>
    <mergeCell ref="B431:E431"/>
    <mergeCell ref="F431:H431"/>
    <mergeCell ref="O431:Q431"/>
    <mergeCell ref="R431:T431"/>
    <mergeCell ref="B432:E432"/>
    <mergeCell ref="F432:H432"/>
    <mergeCell ref="O432:Q432"/>
    <mergeCell ref="R432:T432"/>
    <mergeCell ref="F425:H425"/>
    <mergeCell ref="I425:K425"/>
    <mergeCell ref="L425:N425"/>
    <mergeCell ref="O425:Q425"/>
    <mergeCell ref="R425:T425"/>
    <mergeCell ref="B426:E426"/>
    <mergeCell ref="F426:H426"/>
    <mergeCell ref="I426:K432"/>
    <mergeCell ref="L426:N432"/>
    <mergeCell ref="O426:Q426"/>
    <mergeCell ref="B422:E422"/>
    <mergeCell ref="F422:T422"/>
    <mergeCell ref="F424:H424"/>
    <mergeCell ref="I424:K424"/>
    <mergeCell ref="L424:N424"/>
    <mergeCell ref="O424:Q424"/>
    <mergeCell ref="R424:T424"/>
    <mergeCell ref="B429:E429"/>
    <mergeCell ref="F429:H429"/>
    <mergeCell ref="O429:Q429"/>
    <mergeCell ref="R429:T429"/>
    <mergeCell ref="B430:E430"/>
    <mergeCell ref="F430:H430"/>
    <mergeCell ref="O430:Q430"/>
    <mergeCell ref="R430:T430"/>
    <mergeCell ref="R426:T426"/>
    <mergeCell ref="B427:E427"/>
    <mergeCell ref="F427:H427"/>
    <mergeCell ref="O427:Q427"/>
    <mergeCell ref="R427:T427"/>
    <mergeCell ref="B428:E428"/>
    <mergeCell ref="F428:H428"/>
    <mergeCell ref="B417:T418"/>
    <mergeCell ref="N419:P419"/>
    <mergeCell ref="Q419:T419"/>
    <mergeCell ref="B420:E420"/>
    <mergeCell ref="F420:I420"/>
    <mergeCell ref="B421:E421"/>
    <mergeCell ref="F421:I421"/>
    <mergeCell ref="Q421:T421"/>
    <mergeCell ref="B405:E405"/>
    <mergeCell ref="F405:H405"/>
    <mergeCell ref="O405:Q405"/>
    <mergeCell ref="R405:T405"/>
    <mergeCell ref="B406:E406"/>
    <mergeCell ref="F406:H406"/>
    <mergeCell ref="O406:Q406"/>
    <mergeCell ref="R406:T406"/>
    <mergeCell ref="B403:E403"/>
    <mergeCell ref="F403:H403"/>
    <mergeCell ref="O403:Q403"/>
    <mergeCell ref="R403:T403"/>
    <mergeCell ref="B404:E404"/>
    <mergeCell ref="F404:H404"/>
    <mergeCell ref="O404:Q404"/>
    <mergeCell ref="R404:T404"/>
    <mergeCell ref="R400:T400"/>
    <mergeCell ref="B401:E401"/>
    <mergeCell ref="F401:H401"/>
    <mergeCell ref="O401:Q401"/>
    <mergeCell ref="R401:T401"/>
    <mergeCell ref="B402:E402"/>
    <mergeCell ref="F402:H402"/>
    <mergeCell ref="O402:Q402"/>
    <mergeCell ref="R402:T402"/>
    <mergeCell ref="F399:H399"/>
    <mergeCell ref="I399:K399"/>
    <mergeCell ref="L399:N399"/>
    <mergeCell ref="O399:Q399"/>
    <mergeCell ref="R399:T399"/>
    <mergeCell ref="B400:E400"/>
    <mergeCell ref="F400:H400"/>
    <mergeCell ref="I400:K406"/>
    <mergeCell ref="L400:N406"/>
    <mergeCell ref="O400:Q400"/>
    <mergeCell ref="O376:Q376"/>
    <mergeCell ref="R376:T376"/>
    <mergeCell ref="B396:E396"/>
    <mergeCell ref="F396:T396"/>
    <mergeCell ref="F398:H398"/>
    <mergeCell ref="I398:K398"/>
    <mergeCell ref="L398:N398"/>
    <mergeCell ref="O398:Q398"/>
    <mergeCell ref="R398:T398"/>
    <mergeCell ref="B391:T392"/>
    <mergeCell ref="N393:P393"/>
    <mergeCell ref="Q393:T393"/>
    <mergeCell ref="B394:E394"/>
    <mergeCell ref="F394:I394"/>
    <mergeCell ref="B395:E395"/>
    <mergeCell ref="F395:I395"/>
    <mergeCell ref="Q395:T395"/>
    <mergeCell ref="B379:E379"/>
    <mergeCell ref="F379:H379"/>
    <mergeCell ref="O379:Q379"/>
    <mergeCell ref="R379:T379"/>
    <mergeCell ref="B380:E380"/>
    <mergeCell ref="F380:H380"/>
    <mergeCell ref="O380:Q380"/>
    <mergeCell ref="R380:T380"/>
    <mergeCell ref="F373:H373"/>
    <mergeCell ref="I373:K373"/>
    <mergeCell ref="L373:N373"/>
    <mergeCell ref="O373:Q373"/>
    <mergeCell ref="R373:T373"/>
    <mergeCell ref="B374:E374"/>
    <mergeCell ref="F374:H374"/>
    <mergeCell ref="I374:K380"/>
    <mergeCell ref="L374:N380"/>
    <mergeCell ref="O374:Q374"/>
    <mergeCell ref="B370:E370"/>
    <mergeCell ref="F370:T370"/>
    <mergeCell ref="F372:H372"/>
    <mergeCell ref="I372:K372"/>
    <mergeCell ref="L372:N372"/>
    <mergeCell ref="O372:Q372"/>
    <mergeCell ref="R372:T372"/>
    <mergeCell ref="B377:E377"/>
    <mergeCell ref="F377:H377"/>
    <mergeCell ref="O377:Q377"/>
    <mergeCell ref="R377:T377"/>
    <mergeCell ref="B378:E378"/>
    <mergeCell ref="F378:H378"/>
    <mergeCell ref="O378:Q378"/>
    <mergeCell ref="R378:T378"/>
    <mergeCell ref="R374:T374"/>
    <mergeCell ref="B375:E375"/>
    <mergeCell ref="F375:H375"/>
    <mergeCell ref="O375:Q375"/>
    <mergeCell ref="R375:T375"/>
    <mergeCell ref="B376:E376"/>
    <mergeCell ref="F376:H376"/>
    <mergeCell ref="B365:T366"/>
    <mergeCell ref="N367:P367"/>
    <mergeCell ref="Q367:T367"/>
    <mergeCell ref="B368:E368"/>
    <mergeCell ref="F368:I368"/>
    <mergeCell ref="B369:E369"/>
    <mergeCell ref="F369:I369"/>
    <mergeCell ref="Q369:T369"/>
    <mergeCell ref="B353:E353"/>
    <mergeCell ref="F353:H353"/>
    <mergeCell ref="O353:Q353"/>
    <mergeCell ref="R353:T353"/>
    <mergeCell ref="B354:E354"/>
    <mergeCell ref="F354:H354"/>
    <mergeCell ref="O354:Q354"/>
    <mergeCell ref="R354:T354"/>
    <mergeCell ref="B351:E351"/>
    <mergeCell ref="F351:H351"/>
    <mergeCell ref="O351:Q351"/>
    <mergeCell ref="R351:T351"/>
    <mergeCell ref="B352:E352"/>
    <mergeCell ref="F352:H352"/>
    <mergeCell ref="O352:Q352"/>
    <mergeCell ref="R352:T352"/>
    <mergeCell ref="R348:T348"/>
    <mergeCell ref="B349:E349"/>
    <mergeCell ref="F349:H349"/>
    <mergeCell ref="O349:Q349"/>
    <mergeCell ref="R349:T349"/>
    <mergeCell ref="B350:E350"/>
    <mergeCell ref="F350:H350"/>
    <mergeCell ref="O350:Q350"/>
    <mergeCell ref="R350:T350"/>
    <mergeCell ref="F347:H347"/>
    <mergeCell ref="I347:K347"/>
    <mergeCell ref="L347:N347"/>
    <mergeCell ref="O347:Q347"/>
    <mergeCell ref="R347:T347"/>
    <mergeCell ref="B348:E348"/>
    <mergeCell ref="F348:H348"/>
    <mergeCell ref="I348:K354"/>
    <mergeCell ref="L348:N354"/>
    <mergeCell ref="O348:Q348"/>
    <mergeCell ref="O324:Q324"/>
    <mergeCell ref="R324:T324"/>
    <mergeCell ref="B344:E344"/>
    <mergeCell ref="F344:T344"/>
    <mergeCell ref="F346:H346"/>
    <mergeCell ref="I346:K346"/>
    <mergeCell ref="L346:N346"/>
    <mergeCell ref="O346:Q346"/>
    <mergeCell ref="R346:T346"/>
    <mergeCell ref="B339:T340"/>
    <mergeCell ref="N341:P341"/>
    <mergeCell ref="Q341:T341"/>
    <mergeCell ref="B342:E342"/>
    <mergeCell ref="F342:I342"/>
    <mergeCell ref="B343:E343"/>
    <mergeCell ref="F343:I343"/>
    <mergeCell ref="Q343:T343"/>
    <mergeCell ref="B327:E327"/>
    <mergeCell ref="F327:H327"/>
    <mergeCell ref="O327:Q327"/>
    <mergeCell ref="R327:T327"/>
    <mergeCell ref="B328:E328"/>
    <mergeCell ref="F328:H328"/>
    <mergeCell ref="O328:Q328"/>
    <mergeCell ref="R328:T328"/>
    <mergeCell ref="F321:H321"/>
    <mergeCell ref="I321:K321"/>
    <mergeCell ref="L321:N321"/>
    <mergeCell ref="O321:Q321"/>
    <mergeCell ref="R321:T321"/>
    <mergeCell ref="B322:E322"/>
    <mergeCell ref="F322:H322"/>
    <mergeCell ref="I322:K328"/>
    <mergeCell ref="L322:N328"/>
    <mergeCell ref="O322:Q322"/>
    <mergeCell ref="B318:E318"/>
    <mergeCell ref="F318:T318"/>
    <mergeCell ref="F320:H320"/>
    <mergeCell ref="I320:K320"/>
    <mergeCell ref="L320:N320"/>
    <mergeCell ref="O320:Q320"/>
    <mergeCell ref="R320:T320"/>
    <mergeCell ref="B325:E325"/>
    <mergeCell ref="F325:H325"/>
    <mergeCell ref="O325:Q325"/>
    <mergeCell ref="R325:T325"/>
    <mergeCell ref="B326:E326"/>
    <mergeCell ref="F326:H326"/>
    <mergeCell ref="O326:Q326"/>
    <mergeCell ref="R326:T326"/>
    <mergeCell ref="R322:T322"/>
    <mergeCell ref="B323:E323"/>
    <mergeCell ref="F323:H323"/>
    <mergeCell ref="O323:Q323"/>
    <mergeCell ref="R323:T323"/>
    <mergeCell ref="B324:E324"/>
    <mergeCell ref="F324:H324"/>
    <mergeCell ref="B313:T314"/>
    <mergeCell ref="N315:P315"/>
    <mergeCell ref="Q315:T315"/>
    <mergeCell ref="B316:E316"/>
    <mergeCell ref="F316:I316"/>
    <mergeCell ref="B317:E317"/>
    <mergeCell ref="F317:I317"/>
    <mergeCell ref="Q317:T317"/>
    <mergeCell ref="B301:E301"/>
    <mergeCell ref="F301:H301"/>
    <mergeCell ref="O301:Q301"/>
    <mergeCell ref="R301:T301"/>
    <mergeCell ref="B302:E302"/>
    <mergeCell ref="F302:H302"/>
    <mergeCell ref="O302:Q302"/>
    <mergeCell ref="R302:T302"/>
    <mergeCell ref="B299:E299"/>
    <mergeCell ref="F299:H299"/>
    <mergeCell ref="O299:Q299"/>
    <mergeCell ref="R299:T299"/>
    <mergeCell ref="B300:E300"/>
    <mergeCell ref="F300:H300"/>
    <mergeCell ref="O300:Q300"/>
    <mergeCell ref="R300:T300"/>
    <mergeCell ref="R296:T296"/>
    <mergeCell ref="B297:E297"/>
    <mergeCell ref="F297:H297"/>
    <mergeCell ref="O297:Q297"/>
    <mergeCell ref="R297:T297"/>
    <mergeCell ref="B298:E298"/>
    <mergeCell ref="F298:H298"/>
    <mergeCell ref="O298:Q298"/>
    <mergeCell ref="R298:T298"/>
    <mergeCell ref="F295:H295"/>
    <mergeCell ref="I295:K295"/>
    <mergeCell ref="L295:N295"/>
    <mergeCell ref="O295:Q295"/>
    <mergeCell ref="R295:T295"/>
    <mergeCell ref="B296:E296"/>
    <mergeCell ref="F296:H296"/>
    <mergeCell ref="I296:K302"/>
    <mergeCell ref="L296:N302"/>
    <mergeCell ref="O296:Q296"/>
    <mergeCell ref="O272:Q272"/>
    <mergeCell ref="R272:T272"/>
    <mergeCell ref="B292:E292"/>
    <mergeCell ref="F292:T292"/>
    <mergeCell ref="F294:H294"/>
    <mergeCell ref="I294:K294"/>
    <mergeCell ref="L294:N294"/>
    <mergeCell ref="O294:Q294"/>
    <mergeCell ref="R294:T294"/>
    <mergeCell ref="B287:T288"/>
    <mergeCell ref="N289:P289"/>
    <mergeCell ref="Q289:T289"/>
    <mergeCell ref="B290:E290"/>
    <mergeCell ref="F290:I290"/>
    <mergeCell ref="B291:E291"/>
    <mergeCell ref="F291:I291"/>
    <mergeCell ref="Q291:T291"/>
    <mergeCell ref="B275:E275"/>
    <mergeCell ref="F275:H275"/>
    <mergeCell ref="O275:Q275"/>
    <mergeCell ref="R275:T275"/>
    <mergeCell ref="B276:E276"/>
    <mergeCell ref="F276:H276"/>
    <mergeCell ref="O276:Q276"/>
    <mergeCell ref="R276:T276"/>
    <mergeCell ref="F269:H269"/>
    <mergeCell ref="I269:K269"/>
    <mergeCell ref="L269:N269"/>
    <mergeCell ref="O269:Q269"/>
    <mergeCell ref="R269:T269"/>
    <mergeCell ref="B270:E270"/>
    <mergeCell ref="F270:H270"/>
    <mergeCell ref="I270:K276"/>
    <mergeCell ref="L270:N276"/>
    <mergeCell ref="O270:Q270"/>
    <mergeCell ref="B266:E266"/>
    <mergeCell ref="F266:T266"/>
    <mergeCell ref="F268:H268"/>
    <mergeCell ref="I268:K268"/>
    <mergeCell ref="L268:N268"/>
    <mergeCell ref="O268:Q268"/>
    <mergeCell ref="R268:T268"/>
    <mergeCell ref="B273:E273"/>
    <mergeCell ref="F273:H273"/>
    <mergeCell ref="O273:Q273"/>
    <mergeCell ref="R273:T273"/>
    <mergeCell ref="B274:E274"/>
    <mergeCell ref="F274:H274"/>
    <mergeCell ref="O274:Q274"/>
    <mergeCell ref="R274:T274"/>
    <mergeCell ref="R270:T270"/>
    <mergeCell ref="B271:E271"/>
    <mergeCell ref="F271:H271"/>
    <mergeCell ref="O271:Q271"/>
    <mergeCell ref="R271:T271"/>
    <mergeCell ref="B272:E272"/>
    <mergeCell ref="F272:H272"/>
    <mergeCell ref="B261:T262"/>
    <mergeCell ref="N263:P263"/>
    <mergeCell ref="Q263:T263"/>
    <mergeCell ref="B264:E264"/>
    <mergeCell ref="F264:I264"/>
    <mergeCell ref="B265:E265"/>
    <mergeCell ref="F265:I265"/>
    <mergeCell ref="Q265:T265"/>
    <mergeCell ref="B249:E249"/>
    <mergeCell ref="F249:H249"/>
    <mergeCell ref="O249:Q249"/>
    <mergeCell ref="R249:T249"/>
    <mergeCell ref="B250:E250"/>
    <mergeCell ref="F250:H250"/>
    <mergeCell ref="O250:Q250"/>
    <mergeCell ref="R250:T250"/>
    <mergeCell ref="B247:E247"/>
    <mergeCell ref="F247:H247"/>
    <mergeCell ref="O247:Q247"/>
    <mergeCell ref="R247:T247"/>
    <mergeCell ref="B248:E248"/>
    <mergeCell ref="F248:H248"/>
    <mergeCell ref="O248:Q248"/>
    <mergeCell ref="R248:T248"/>
    <mergeCell ref="R244:T244"/>
    <mergeCell ref="B245:E245"/>
    <mergeCell ref="F245:H245"/>
    <mergeCell ref="O245:Q245"/>
    <mergeCell ref="R245:T245"/>
    <mergeCell ref="B246:E246"/>
    <mergeCell ref="F246:H246"/>
    <mergeCell ref="O246:Q246"/>
    <mergeCell ref="R246:T246"/>
    <mergeCell ref="F243:H243"/>
    <mergeCell ref="I243:K243"/>
    <mergeCell ref="L243:N243"/>
    <mergeCell ref="O243:Q243"/>
    <mergeCell ref="R243:T243"/>
    <mergeCell ref="B244:E244"/>
    <mergeCell ref="F244:H244"/>
    <mergeCell ref="I244:K250"/>
    <mergeCell ref="L244:N250"/>
    <mergeCell ref="O244:Q244"/>
    <mergeCell ref="O220:Q220"/>
    <mergeCell ref="R220:T220"/>
    <mergeCell ref="B240:E240"/>
    <mergeCell ref="F240:T240"/>
    <mergeCell ref="F242:H242"/>
    <mergeCell ref="I242:K242"/>
    <mergeCell ref="L242:N242"/>
    <mergeCell ref="O242:Q242"/>
    <mergeCell ref="R242:T242"/>
    <mergeCell ref="B235:T236"/>
    <mergeCell ref="N237:P237"/>
    <mergeCell ref="Q237:T237"/>
    <mergeCell ref="B238:E238"/>
    <mergeCell ref="F238:I238"/>
    <mergeCell ref="B239:E239"/>
    <mergeCell ref="F239:I239"/>
    <mergeCell ref="Q239:T239"/>
    <mergeCell ref="B223:E223"/>
    <mergeCell ref="F223:H223"/>
    <mergeCell ref="O223:Q223"/>
    <mergeCell ref="R223:T223"/>
    <mergeCell ref="B224:E224"/>
    <mergeCell ref="F224:H224"/>
    <mergeCell ref="O224:Q224"/>
    <mergeCell ref="R224:T224"/>
    <mergeCell ref="F217:H217"/>
    <mergeCell ref="I217:K217"/>
    <mergeCell ref="L217:N217"/>
    <mergeCell ref="O217:Q217"/>
    <mergeCell ref="R217:T217"/>
    <mergeCell ref="B218:E218"/>
    <mergeCell ref="F218:H218"/>
    <mergeCell ref="I218:K224"/>
    <mergeCell ref="L218:N224"/>
    <mergeCell ref="O218:Q218"/>
    <mergeCell ref="B214:E214"/>
    <mergeCell ref="F214:T214"/>
    <mergeCell ref="F216:H216"/>
    <mergeCell ref="I216:K216"/>
    <mergeCell ref="L216:N216"/>
    <mergeCell ref="O216:Q216"/>
    <mergeCell ref="R216:T216"/>
    <mergeCell ref="B221:E221"/>
    <mergeCell ref="F221:H221"/>
    <mergeCell ref="O221:Q221"/>
    <mergeCell ref="R221:T221"/>
    <mergeCell ref="B222:E222"/>
    <mergeCell ref="F222:H222"/>
    <mergeCell ref="O222:Q222"/>
    <mergeCell ref="R222:T222"/>
    <mergeCell ref="R218:T218"/>
    <mergeCell ref="B219:E219"/>
    <mergeCell ref="F219:H219"/>
    <mergeCell ref="O219:Q219"/>
    <mergeCell ref="R219:T219"/>
    <mergeCell ref="B220:E220"/>
    <mergeCell ref="F220:H220"/>
    <mergeCell ref="B209:T210"/>
    <mergeCell ref="N211:P211"/>
    <mergeCell ref="Q211:T211"/>
    <mergeCell ref="B212:E212"/>
    <mergeCell ref="F212:I212"/>
    <mergeCell ref="B213:E213"/>
    <mergeCell ref="F213:I213"/>
    <mergeCell ref="Q213:T213"/>
    <mergeCell ref="B197:E197"/>
    <mergeCell ref="F197:H197"/>
    <mergeCell ref="O197:Q197"/>
    <mergeCell ref="R197:T197"/>
    <mergeCell ref="B198:E198"/>
    <mergeCell ref="F198:H198"/>
    <mergeCell ref="O198:Q198"/>
    <mergeCell ref="R198:T198"/>
    <mergeCell ref="B195:E195"/>
    <mergeCell ref="F195:H195"/>
    <mergeCell ref="O195:Q195"/>
    <mergeCell ref="R195:T195"/>
    <mergeCell ref="B196:E196"/>
    <mergeCell ref="F196:H196"/>
    <mergeCell ref="O196:Q196"/>
    <mergeCell ref="R196:T196"/>
    <mergeCell ref="R192:T192"/>
    <mergeCell ref="B193:E193"/>
    <mergeCell ref="F193:H193"/>
    <mergeCell ref="O193:Q193"/>
    <mergeCell ref="R193:T193"/>
    <mergeCell ref="B194:E194"/>
    <mergeCell ref="F194:H194"/>
    <mergeCell ref="O194:Q194"/>
    <mergeCell ref="R194:T194"/>
    <mergeCell ref="F191:H191"/>
    <mergeCell ref="I191:K191"/>
    <mergeCell ref="L191:N191"/>
    <mergeCell ref="O191:Q191"/>
    <mergeCell ref="R191:T191"/>
    <mergeCell ref="B192:E192"/>
    <mergeCell ref="F192:H192"/>
    <mergeCell ref="I192:K198"/>
    <mergeCell ref="L192:N198"/>
    <mergeCell ref="O192:Q192"/>
    <mergeCell ref="O168:Q168"/>
    <mergeCell ref="R168:T168"/>
    <mergeCell ref="B188:E188"/>
    <mergeCell ref="F188:T188"/>
    <mergeCell ref="F190:H190"/>
    <mergeCell ref="I190:K190"/>
    <mergeCell ref="L190:N190"/>
    <mergeCell ref="O190:Q190"/>
    <mergeCell ref="R190:T190"/>
    <mergeCell ref="B183:T184"/>
    <mergeCell ref="N185:P185"/>
    <mergeCell ref="Q185:T185"/>
    <mergeCell ref="B186:E186"/>
    <mergeCell ref="F186:I186"/>
    <mergeCell ref="B187:E187"/>
    <mergeCell ref="F187:I187"/>
    <mergeCell ref="Q187:T187"/>
    <mergeCell ref="B171:E171"/>
    <mergeCell ref="F171:H171"/>
    <mergeCell ref="O171:Q171"/>
    <mergeCell ref="R171:T171"/>
    <mergeCell ref="B172:E172"/>
    <mergeCell ref="F172:H172"/>
    <mergeCell ref="O172:Q172"/>
    <mergeCell ref="R172:T172"/>
    <mergeCell ref="F165:H165"/>
    <mergeCell ref="I165:K165"/>
    <mergeCell ref="L165:N165"/>
    <mergeCell ref="O165:Q165"/>
    <mergeCell ref="R165:T165"/>
    <mergeCell ref="B166:E166"/>
    <mergeCell ref="F166:H166"/>
    <mergeCell ref="I166:K172"/>
    <mergeCell ref="L166:N172"/>
    <mergeCell ref="O166:Q166"/>
    <mergeCell ref="B162:E162"/>
    <mergeCell ref="F162:T162"/>
    <mergeCell ref="F164:H164"/>
    <mergeCell ref="I164:K164"/>
    <mergeCell ref="L164:N164"/>
    <mergeCell ref="O164:Q164"/>
    <mergeCell ref="R164:T164"/>
    <mergeCell ref="B169:E169"/>
    <mergeCell ref="F169:H169"/>
    <mergeCell ref="O169:Q169"/>
    <mergeCell ref="R169:T169"/>
    <mergeCell ref="B170:E170"/>
    <mergeCell ref="F170:H170"/>
    <mergeCell ref="O170:Q170"/>
    <mergeCell ref="R170:T170"/>
    <mergeCell ref="R166:T166"/>
    <mergeCell ref="B167:E167"/>
    <mergeCell ref="F167:H167"/>
    <mergeCell ref="O167:Q167"/>
    <mergeCell ref="R167:T167"/>
    <mergeCell ref="B168:E168"/>
    <mergeCell ref="F168:H168"/>
    <mergeCell ref="B157:T158"/>
    <mergeCell ref="N159:P159"/>
    <mergeCell ref="Q159:T159"/>
    <mergeCell ref="B160:E160"/>
    <mergeCell ref="F160:I160"/>
    <mergeCell ref="B161:E161"/>
    <mergeCell ref="F161:I161"/>
    <mergeCell ref="Q161:T161"/>
    <mergeCell ref="B145:E145"/>
    <mergeCell ref="F145:H145"/>
    <mergeCell ref="O145:Q145"/>
    <mergeCell ref="R145:T145"/>
    <mergeCell ref="B146:E146"/>
    <mergeCell ref="F146:H146"/>
    <mergeCell ref="O146:Q146"/>
    <mergeCell ref="R146:T146"/>
    <mergeCell ref="B143:E143"/>
    <mergeCell ref="F143:H143"/>
    <mergeCell ref="O143:Q143"/>
    <mergeCell ref="R143:T143"/>
    <mergeCell ref="B144:E144"/>
    <mergeCell ref="F144:H144"/>
    <mergeCell ref="O144:Q144"/>
    <mergeCell ref="R144:T144"/>
    <mergeCell ref="R140:T140"/>
    <mergeCell ref="B141:E141"/>
    <mergeCell ref="F141:H141"/>
    <mergeCell ref="O141:Q141"/>
    <mergeCell ref="R141:T141"/>
    <mergeCell ref="B142:E142"/>
    <mergeCell ref="F142:H142"/>
    <mergeCell ref="O142:Q142"/>
    <mergeCell ref="R142:T142"/>
    <mergeCell ref="F139:H139"/>
    <mergeCell ref="I139:K139"/>
    <mergeCell ref="L139:N139"/>
    <mergeCell ref="O139:Q139"/>
    <mergeCell ref="R139:T139"/>
    <mergeCell ref="B140:E140"/>
    <mergeCell ref="F140:H140"/>
    <mergeCell ref="I140:K146"/>
    <mergeCell ref="L140:N146"/>
    <mergeCell ref="O140:Q140"/>
    <mergeCell ref="O116:Q116"/>
    <mergeCell ref="R116:T116"/>
    <mergeCell ref="B136:E136"/>
    <mergeCell ref="F136:T136"/>
    <mergeCell ref="F138:H138"/>
    <mergeCell ref="I138:K138"/>
    <mergeCell ref="L138:N138"/>
    <mergeCell ref="O138:Q138"/>
    <mergeCell ref="R138:T138"/>
    <mergeCell ref="B131:T132"/>
    <mergeCell ref="N133:P133"/>
    <mergeCell ref="Q133:T133"/>
    <mergeCell ref="B134:E134"/>
    <mergeCell ref="F134:I134"/>
    <mergeCell ref="B135:E135"/>
    <mergeCell ref="F135:I135"/>
    <mergeCell ref="Q135:T135"/>
    <mergeCell ref="B119:E119"/>
    <mergeCell ref="F119:H119"/>
    <mergeCell ref="O119:Q119"/>
    <mergeCell ref="R119:T119"/>
    <mergeCell ref="B120:E120"/>
    <mergeCell ref="F120:H120"/>
    <mergeCell ref="O120:Q120"/>
    <mergeCell ref="R120:T120"/>
    <mergeCell ref="F113:H113"/>
    <mergeCell ref="I113:K113"/>
    <mergeCell ref="L113:N113"/>
    <mergeCell ref="O113:Q113"/>
    <mergeCell ref="R113:T113"/>
    <mergeCell ref="B114:E114"/>
    <mergeCell ref="F114:H114"/>
    <mergeCell ref="I114:K120"/>
    <mergeCell ref="L114:N120"/>
    <mergeCell ref="O114:Q114"/>
    <mergeCell ref="B110:E110"/>
    <mergeCell ref="F110:T110"/>
    <mergeCell ref="F112:H112"/>
    <mergeCell ref="I112:K112"/>
    <mergeCell ref="L112:N112"/>
    <mergeCell ref="O112:Q112"/>
    <mergeCell ref="R112:T112"/>
    <mergeCell ref="B117:E117"/>
    <mergeCell ref="F117:H117"/>
    <mergeCell ref="O117:Q117"/>
    <mergeCell ref="R117:T117"/>
    <mergeCell ref="B118:E118"/>
    <mergeCell ref="F118:H118"/>
    <mergeCell ref="O118:Q118"/>
    <mergeCell ref="R118:T118"/>
    <mergeCell ref="R114:T114"/>
    <mergeCell ref="B115:E115"/>
    <mergeCell ref="F115:H115"/>
    <mergeCell ref="O115:Q115"/>
    <mergeCell ref="R115:T115"/>
    <mergeCell ref="B116:E116"/>
    <mergeCell ref="F116:H116"/>
    <mergeCell ref="B105:T106"/>
    <mergeCell ref="N107:P107"/>
    <mergeCell ref="Q107:T107"/>
    <mergeCell ref="B108:E108"/>
    <mergeCell ref="F108:I108"/>
    <mergeCell ref="B109:E109"/>
    <mergeCell ref="F109:I109"/>
    <mergeCell ref="Q109:T109"/>
    <mergeCell ref="B93:E93"/>
    <mergeCell ref="F93:H93"/>
    <mergeCell ref="O93:Q93"/>
    <mergeCell ref="R93:T93"/>
    <mergeCell ref="B94:E94"/>
    <mergeCell ref="F94:H94"/>
    <mergeCell ref="O94:Q94"/>
    <mergeCell ref="R94:T94"/>
    <mergeCell ref="B91:E91"/>
    <mergeCell ref="F91:H91"/>
    <mergeCell ref="O91:Q91"/>
    <mergeCell ref="R91:T91"/>
    <mergeCell ref="B92:E92"/>
    <mergeCell ref="F92:H92"/>
    <mergeCell ref="O92:Q92"/>
    <mergeCell ref="R92:T92"/>
    <mergeCell ref="R88:T88"/>
    <mergeCell ref="B89:E89"/>
    <mergeCell ref="F89:H89"/>
    <mergeCell ref="O89:Q89"/>
    <mergeCell ref="R89:T89"/>
    <mergeCell ref="B90:E90"/>
    <mergeCell ref="F90:H90"/>
    <mergeCell ref="O90:Q90"/>
    <mergeCell ref="R90:T90"/>
    <mergeCell ref="F87:H87"/>
    <mergeCell ref="I87:K87"/>
    <mergeCell ref="L87:N87"/>
    <mergeCell ref="O87:Q87"/>
    <mergeCell ref="R87:T87"/>
    <mergeCell ref="B88:E88"/>
    <mergeCell ref="F88:H88"/>
    <mergeCell ref="I88:K94"/>
    <mergeCell ref="L88:N94"/>
    <mergeCell ref="O88:Q88"/>
    <mergeCell ref="O64:Q64"/>
    <mergeCell ref="R64:T64"/>
    <mergeCell ref="B84:E84"/>
    <mergeCell ref="F84:T84"/>
    <mergeCell ref="F86:H86"/>
    <mergeCell ref="I86:K86"/>
    <mergeCell ref="L86:N86"/>
    <mergeCell ref="O86:Q86"/>
    <mergeCell ref="R86:T86"/>
    <mergeCell ref="B79:T80"/>
    <mergeCell ref="N81:P81"/>
    <mergeCell ref="Q81:T81"/>
    <mergeCell ref="B82:E82"/>
    <mergeCell ref="F82:I82"/>
    <mergeCell ref="B83:E83"/>
    <mergeCell ref="F83:I83"/>
    <mergeCell ref="Q83:T83"/>
    <mergeCell ref="B67:E67"/>
    <mergeCell ref="F67:H67"/>
    <mergeCell ref="O67:Q67"/>
    <mergeCell ref="R67:T67"/>
    <mergeCell ref="B68:E68"/>
    <mergeCell ref="F68:H68"/>
    <mergeCell ref="O68:Q68"/>
    <mergeCell ref="R68:T68"/>
    <mergeCell ref="F61:H61"/>
    <mergeCell ref="I61:K61"/>
    <mergeCell ref="L61:N61"/>
    <mergeCell ref="O61:Q61"/>
    <mergeCell ref="R61:T61"/>
    <mergeCell ref="B62:E62"/>
    <mergeCell ref="F62:H62"/>
    <mergeCell ref="I62:K68"/>
    <mergeCell ref="L62:N68"/>
    <mergeCell ref="O62:Q62"/>
    <mergeCell ref="B58:E58"/>
    <mergeCell ref="F58:T58"/>
    <mergeCell ref="F60:H60"/>
    <mergeCell ref="I60:K60"/>
    <mergeCell ref="L60:N60"/>
    <mergeCell ref="O60:Q60"/>
    <mergeCell ref="R60:T60"/>
    <mergeCell ref="B65:E65"/>
    <mergeCell ref="F65:H65"/>
    <mergeCell ref="O65:Q65"/>
    <mergeCell ref="R65:T65"/>
    <mergeCell ref="B66:E66"/>
    <mergeCell ref="F66:H66"/>
    <mergeCell ref="O66:Q66"/>
    <mergeCell ref="R66:T66"/>
    <mergeCell ref="R62:T62"/>
    <mergeCell ref="B63:E63"/>
    <mergeCell ref="F63:H63"/>
    <mergeCell ref="O63:Q63"/>
    <mergeCell ref="R63:T63"/>
    <mergeCell ref="B64:E64"/>
    <mergeCell ref="F64:H64"/>
    <mergeCell ref="B53:T54"/>
    <mergeCell ref="N55:P55"/>
    <mergeCell ref="Q55:T55"/>
    <mergeCell ref="B56:E56"/>
    <mergeCell ref="F56:I56"/>
    <mergeCell ref="B57:E57"/>
    <mergeCell ref="F57:I57"/>
    <mergeCell ref="Q57:T57"/>
    <mergeCell ref="B41:E41"/>
    <mergeCell ref="F41:H41"/>
    <mergeCell ref="O41:Q41"/>
    <mergeCell ref="R41:T41"/>
    <mergeCell ref="B42:E42"/>
    <mergeCell ref="F42:H42"/>
    <mergeCell ref="O42:Q42"/>
    <mergeCell ref="R42:T42"/>
    <mergeCell ref="B39:E39"/>
    <mergeCell ref="F39:H39"/>
    <mergeCell ref="O39:Q39"/>
    <mergeCell ref="R39:T39"/>
    <mergeCell ref="B40:E40"/>
    <mergeCell ref="F40:H40"/>
    <mergeCell ref="O40:Q40"/>
    <mergeCell ref="R40:T40"/>
    <mergeCell ref="R16:T16"/>
    <mergeCell ref="R36:T36"/>
    <mergeCell ref="B37:E37"/>
    <mergeCell ref="F37:H37"/>
    <mergeCell ref="O37:Q37"/>
    <mergeCell ref="R37:T37"/>
    <mergeCell ref="B38:E38"/>
    <mergeCell ref="F38:H38"/>
    <mergeCell ref="O38:Q38"/>
    <mergeCell ref="R38:T38"/>
    <mergeCell ref="F35:H35"/>
    <mergeCell ref="I35:K35"/>
    <mergeCell ref="L35:N35"/>
    <mergeCell ref="O35:Q35"/>
    <mergeCell ref="R35:T35"/>
    <mergeCell ref="B36:E36"/>
    <mergeCell ref="F36:H36"/>
    <mergeCell ref="I36:K42"/>
    <mergeCell ref="L36:N42"/>
    <mergeCell ref="O36:Q36"/>
    <mergeCell ref="R14:T14"/>
    <mergeCell ref="R10:T10"/>
    <mergeCell ref="B11:E11"/>
    <mergeCell ref="F11:H11"/>
    <mergeCell ref="O11:Q11"/>
    <mergeCell ref="R11:T11"/>
    <mergeCell ref="B12:E12"/>
    <mergeCell ref="F12:H12"/>
    <mergeCell ref="O12:Q12"/>
    <mergeCell ref="R12:T12"/>
    <mergeCell ref="B32:E32"/>
    <mergeCell ref="F32:T32"/>
    <mergeCell ref="F34:H34"/>
    <mergeCell ref="I34:K34"/>
    <mergeCell ref="L34:N34"/>
    <mergeCell ref="O34:Q34"/>
    <mergeCell ref="R34:T34"/>
    <mergeCell ref="B27:T28"/>
    <mergeCell ref="N29:P29"/>
    <mergeCell ref="Q29:T29"/>
    <mergeCell ref="B30:E30"/>
    <mergeCell ref="F30:I30"/>
    <mergeCell ref="B31:E31"/>
    <mergeCell ref="F31:I31"/>
    <mergeCell ref="Q31:T31"/>
    <mergeCell ref="B15:E15"/>
    <mergeCell ref="F15:H15"/>
    <mergeCell ref="O15:Q15"/>
    <mergeCell ref="R15:T15"/>
    <mergeCell ref="B16:E16"/>
    <mergeCell ref="F16:H16"/>
    <mergeCell ref="O16:Q16"/>
    <mergeCell ref="B1:T2"/>
    <mergeCell ref="N3:P3"/>
    <mergeCell ref="Q3:T3"/>
    <mergeCell ref="B4:E4"/>
    <mergeCell ref="F4:I4"/>
    <mergeCell ref="B5:E5"/>
    <mergeCell ref="F5:I5"/>
    <mergeCell ref="Q5:T5"/>
    <mergeCell ref="F9:H9"/>
    <mergeCell ref="I9:K9"/>
    <mergeCell ref="L9:N9"/>
    <mergeCell ref="O9:Q9"/>
    <mergeCell ref="R9:T9"/>
    <mergeCell ref="B10:E10"/>
    <mergeCell ref="F10:H10"/>
    <mergeCell ref="I10:K16"/>
    <mergeCell ref="L10:N16"/>
    <mergeCell ref="O10:Q10"/>
    <mergeCell ref="B6:E6"/>
    <mergeCell ref="F6:T6"/>
    <mergeCell ref="F8:H8"/>
    <mergeCell ref="I8:K8"/>
    <mergeCell ref="L8:N8"/>
    <mergeCell ref="O8:Q8"/>
    <mergeCell ref="R8:T8"/>
    <mergeCell ref="B13:E13"/>
    <mergeCell ref="F13:H13"/>
    <mergeCell ref="O13:Q13"/>
    <mergeCell ref="R13:T13"/>
    <mergeCell ref="B14:E14"/>
    <mergeCell ref="F14:H14"/>
    <mergeCell ref="O14:Q14"/>
  </mergeCells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入力①期末試験得点</vt:lpstr>
      <vt:lpstr>入力②出席率</vt:lpstr>
      <vt:lpstr>入力③平常点</vt:lpstr>
      <vt:lpstr>総合成績評価</vt:lpstr>
      <vt:lpstr>成績通知書</vt:lpstr>
      <vt:lpstr>成績通知書!Print_Area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北條亮一</dc:creator>
  <cp:lastModifiedBy>亮一 北條</cp:lastModifiedBy>
  <cp:lastPrinted>2020-12-17T09:02:27Z</cp:lastPrinted>
  <dcterms:created xsi:type="dcterms:W3CDTF">2020-12-17T04:02:36Z</dcterms:created>
  <dcterms:modified xsi:type="dcterms:W3CDTF">2025-03-05T06:57:24Z</dcterms:modified>
</cp:coreProperties>
</file>