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24年進路状況\"/>
    </mc:Choice>
  </mc:AlternateContent>
  <xr:revisionPtr revIDLastSave="0" documentId="13_ncr:1_{BAE2006D-5412-4C7D-AF90-9A1ECE0746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卒業者割合" sheetId="2" r:id="rId2"/>
    <sheet name="卒業生進路" sheetId="6" r:id="rId3"/>
    <sheet name="退学内訳" sheetId="4" r:id="rId4"/>
    <sheet name="合格率" sheetId="5" r:id="rId5"/>
    <sheet name="大学進学先" sheetId="7" r:id="rId6"/>
    <sheet name="専門学校進学先" sheetId="8" r:id="rId7"/>
  </sheets>
  <definedNames>
    <definedName name="_xlnm._FilterDatabase" localSheetId="0" hidden="1">Sheet1!$A$1:$J$132</definedName>
  </definedNames>
  <calcPr calcId="191029"/>
  <pivotCaches>
    <pivotCache cacheId="7" r:id="rId8"/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8" i="1" l="1"/>
  <c r="L58" i="1"/>
  <c r="K58" i="1"/>
  <c r="J58" i="1"/>
  <c r="J255" i="1"/>
  <c r="K255" i="1"/>
  <c r="L255" i="1"/>
  <c r="M255" i="1"/>
  <c r="J261" i="1"/>
  <c r="K261" i="1"/>
  <c r="L261" i="1"/>
  <c r="M261" i="1"/>
  <c r="N261" i="1" l="1"/>
  <c r="N58" i="1"/>
  <c r="N255" i="1"/>
  <c r="J256" i="1"/>
  <c r="K256" i="1"/>
  <c r="L256" i="1"/>
  <c r="M256" i="1"/>
  <c r="J263" i="1"/>
  <c r="K263" i="1"/>
  <c r="L263" i="1"/>
  <c r="M263" i="1"/>
  <c r="J262" i="1"/>
  <c r="K262" i="1"/>
  <c r="L262" i="1"/>
  <c r="M262" i="1"/>
  <c r="J254" i="1"/>
  <c r="J258" i="1"/>
  <c r="K254" i="1"/>
  <c r="K258" i="1"/>
  <c r="L254" i="1"/>
  <c r="L258" i="1"/>
  <c r="M254" i="1"/>
  <c r="M258" i="1"/>
  <c r="J264" i="1"/>
  <c r="J260" i="1"/>
  <c r="J257" i="1"/>
  <c r="K264" i="1"/>
  <c r="K260" i="1"/>
  <c r="K257" i="1"/>
  <c r="L264" i="1"/>
  <c r="L260" i="1"/>
  <c r="L257" i="1"/>
  <c r="M264" i="1"/>
  <c r="M260" i="1"/>
  <c r="M257" i="1"/>
  <c r="J259" i="1"/>
  <c r="K259" i="1"/>
  <c r="L259" i="1"/>
  <c r="M259" i="1"/>
  <c r="N256" i="1" l="1"/>
  <c r="N262" i="1"/>
  <c r="N263" i="1"/>
  <c r="N264" i="1"/>
  <c r="N254" i="1"/>
  <c r="N258" i="1"/>
  <c r="N259" i="1"/>
  <c r="N260" i="1"/>
  <c r="N257" i="1"/>
  <c r="J253" i="1"/>
  <c r="J43" i="1"/>
  <c r="B7" i="4"/>
  <c r="J12" i="1" l="1"/>
  <c r="K12" i="1"/>
  <c r="L12" i="1"/>
  <c r="M12" i="1"/>
  <c r="N12" i="1" l="1"/>
  <c r="J15" i="1"/>
  <c r="J44" i="1"/>
  <c r="J16" i="1"/>
  <c r="J112" i="1"/>
  <c r="J215" i="1"/>
  <c r="J198" i="1"/>
  <c r="J17" i="1"/>
  <c r="J177" i="1"/>
  <c r="J199" i="1"/>
  <c r="J129" i="1"/>
  <c r="J200" i="1"/>
  <c r="J130" i="1"/>
  <c r="J131" i="1"/>
  <c r="J201" i="1"/>
  <c r="J216" i="1"/>
  <c r="J217" i="1"/>
  <c r="J132" i="1"/>
  <c r="J51" i="1"/>
  <c r="J84" i="1"/>
  <c r="J113" i="1"/>
  <c r="J160" i="1"/>
  <c r="J52" i="1"/>
  <c r="J53" i="1"/>
  <c r="J202" i="1"/>
  <c r="J246" i="1"/>
  <c r="J161" i="1"/>
  <c r="J9" i="1"/>
  <c r="J162" i="1"/>
  <c r="J163" i="1"/>
  <c r="J114" i="1"/>
  <c r="J66" i="1"/>
  <c r="J178" i="1"/>
  <c r="J179" i="1"/>
  <c r="J85" i="1"/>
  <c r="J115" i="1"/>
  <c r="J218" i="1"/>
  <c r="J219" i="1"/>
  <c r="J116" i="1"/>
  <c r="J164" i="1"/>
  <c r="J86" i="1"/>
  <c r="J180" i="1"/>
  <c r="J151" i="1"/>
  <c r="J181" i="1"/>
  <c r="J54" i="1"/>
  <c r="J220" i="1"/>
  <c r="J182" i="1"/>
  <c r="J133" i="1"/>
  <c r="J134" i="1"/>
  <c r="J26" i="1"/>
  <c r="J45" i="1"/>
  <c r="J165" i="1"/>
  <c r="J117" i="1"/>
  <c r="J10" i="1"/>
  <c r="J11" i="1"/>
  <c r="J67" i="1"/>
  <c r="J87" i="1"/>
  <c r="J55" i="1"/>
  <c r="J56" i="1"/>
  <c r="J68" i="1"/>
  <c r="J88" i="1"/>
  <c r="J229" i="1"/>
  <c r="J57" i="1"/>
  <c r="J230" i="1"/>
  <c r="J69" i="1"/>
  <c r="J231" i="1"/>
  <c r="J232" i="1"/>
  <c r="J118" i="1"/>
  <c r="J89" i="1"/>
  <c r="J233" i="1"/>
  <c r="J70" i="1"/>
  <c r="J71" i="1"/>
  <c r="J234" i="1"/>
  <c r="J72" i="1"/>
  <c r="J235" i="1"/>
  <c r="J236" i="1"/>
  <c r="J203" i="1"/>
  <c r="J59" i="1"/>
  <c r="J221" i="1"/>
  <c r="J237" i="1"/>
  <c r="J119" i="1"/>
  <c r="J238" i="1"/>
  <c r="J73" i="1"/>
  <c r="J222" i="1"/>
  <c r="J239" i="1"/>
  <c r="J240" i="1"/>
  <c r="J223" i="1"/>
  <c r="J241" i="1"/>
  <c r="J60" i="1"/>
  <c r="J61" i="1"/>
  <c r="J166" i="1"/>
  <c r="J204" i="1"/>
  <c r="J224" i="1"/>
  <c r="J74" i="1"/>
  <c r="J7" i="1"/>
  <c r="J13" i="1"/>
  <c r="J183" i="1"/>
  <c r="J167" i="1"/>
  <c r="J242" i="1"/>
  <c r="J62" i="1"/>
  <c r="J90" i="1"/>
  <c r="J75" i="1"/>
  <c r="J91" i="1"/>
  <c r="J92" i="1"/>
  <c r="J93" i="1"/>
  <c r="J94" i="1"/>
  <c r="J95" i="1"/>
  <c r="J76" i="1"/>
  <c r="J96" i="1"/>
  <c r="J77" i="1"/>
  <c r="J184" i="1"/>
  <c r="J97" i="1"/>
  <c r="J135" i="1"/>
  <c r="J185" i="1"/>
  <c r="J63" i="1"/>
  <c r="J78" i="1"/>
  <c r="J98" i="1"/>
  <c r="J79" i="1"/>
  <c r="J99" i="1"/>
  <c r="J80" i="1"/>
  <c r="J64" i="1"/>
  <c r="J120" i="1"/>
  <c r="J136" i="1"/>
  <c r="J81" i="1"/>
  <c r="J24" i="1"/>
  <c r="J244" i="1"/>
  <c r="J137" i="1"/>
  <c r="J100" i="1"/>
  <c r="J101" i="1"/>
  <c r="K15" i="1"/>
  <c r="K44" i="1"/>
  <c r="K16" i="1"/>
  <c r="K112" i="1"/>
  <c r="K215" i="1"/>
  <c r="K198" i="1"/>
  <c r="K17" i="1"/>
  <c r="K177" i="1"/>
  <c r="K199" i="1"/>
  <c r="K129" i="1"/>
  <c r="K200" i="1"/>
  <c r="K130" i="1"/>
  <c r="K131" i="1"/>
  <c r="K201" i="1"/>
  <c r="K216" i="1"/>
  <c r="K217" i="1"/>
  <c r="K132" i="1"/>
  <c r="K51" i="1"/>
  <c r="K84" i="1"/>
  <c r="K113" i="1"/>
  <c r="K160" i="1"/>
  <c r="K52" i="1"/>
  <c r="K53" i="1"/>
  <c r="K202" i="1"/>
  <c r="K246" i="1"/>
  <c r="K161" i="1"/>
  <c r="K9" i="1"/>
  <c r="K162" i="1"/>
  <c r="K163" i="1"/>
  <c r="K114" i="1"/>
  <c r="K66" i="1"/>
  <c r="K178" i="1"/>
  <c r="K179" i="1"/>
  <c r="K85" i="1"/>
  <c r="K115" i="1"/>
  <c r="K218" i="1"/>
  <c r="K219" i="1"/>
  <c r="K116" i="1"/>
  <c r="K164" i="1"/>
  <c r="K86" i="1"/>
  <c r="K180" i="1"/>
  <c r="K151" i="1"/>
  <c r="K181" i="1"/>
  <c r="K54" i="1"/>
  <c r="K220" i="1"/>
  <c r="K182" i="1"/>
  <c r="K133" i="1"/>
  <c r="K134" i="1"/>
  <c r="K26" i="1"/>
  <c r="K45" i="1"/>
  <c r="K165" i="1"/>
  <c r="K117" i="1"/>
  <c r="K10" i="1"/>
  <c r="K11" i="1"/>
  <c r="K67" i="1"/>
  <c r="K87" i="1"/>
  <c r="K55" i="1"/>
  <c r="K56" i="1"/>
  <c r="K68" i="1"/>
  <c r="K88" i="1"/>
  <c r="K229" i="1"/>
  <c r="K57" i="1"/>
  <c r="K230" i="1"/>
  <c r="K69" i="1"/>
  <c r="K231" i="1"/>
  <c r="K232" i="1"/>
  <c r="K118" i="1"/>
  <c r="K89" i="1"/>
  <c r="K233" i="1"/>
  <c r="K70" i="1"/>
  <c r="K71" i="1"/>
  <c r="K234" i="1"/>
  <c r="K72" i="1"/>
  <c r="K235" i="1"/>
  <c r="K236" i="1"/>
  <c r="K203" i="1"/>
  <c r="K59" i="1"/>
  <c r="K221" i="1"/>
  <c r="K237" i="1"/>
  <c r="K119" i="1"/>
  <c r="K238" i="1"/>
  <c r="K73" i="1"/>
  <c r="K222" i="1"/>
  <c r="K239" i="1"/>
  <c r="K240" i="1"/>
  <c r="K223" i="1"/>
  <c r="K241" i="1"/>
  <c r="K60" i="1"/>
  <c r="K61" i="1"/>
  <c r="K166" i="1"/>
  <c r="K204" i="1"/>
  <c r="K224" i="1"/>
  <c r="K74" i="1"/>
  <c r="K7" i="1"/>
  <c r="K13" i="1"/>
  <c r="K183" i="1"/>
  <c r="K167" i="1"/>
  <c r="K242" i="1"/>
  <c r="K62" i="1"/>
  <c r="K90" i="1"/>
  <c r="K75" i="1"/>
  <c r="K91" i="1"/>
  <c r="K92" i="1"/>
  <c r="K93" i="1"/>
  <c r="K94" i="1"/>
  <c r="K95" i="1"/>
  <c r="K76" i="1"/>
  <c r="K96" i="1"/>
  <c r="K77" i="1"/>
  <c r="K184" i="1"/>
  <c r="K97" i="1"/>
  <c r="K135" i="1"/>
  <c r="K185" i="1"/>
  <c r="K63" i="1"/>
  <c r="K78" i="1"/>
  <c r="K98" i="1"/>
  <c r="K79" i="1"/>
  <c r="K99" i="1"/>
  <c r="K80" i="1"/>
  <c r="K64" i="1"/>
  <c r="K120" i="1"/>
  <c r="K136" i="1"/>
  <c r="K81" i="1"/>
  <c r="K24" i="1"/>
  <c r="K244" i="1"/>
  <c r="K137" i="1"/>
  <c r="K100" i="1"/>
  <c r="K101" i="1"/>
  <c r="L15" i="1"/>
  <c r="L44" i="1"/>
  <c r="L16" i="1"/>
  <c r="L112" i="1"/>
  <c r="L215" i="1"/>
  <c r="L198" i="1"/>
  <c r="L17" i="1"/>
  <c r="L177" i="1"/>
  <c r="L199" i="1"/>
  <c r="L129" i="1"/>
  <c r="L200" i="1"/>
  <c r="L130" i="1"/>
  <c r="L131" i="1"/>
  <c r="L201" i="1"/>
  <c r="L216" i="1"/>
  <c r="L217" i="1"/>
  <c r="L132" i="1"/>
  <c r="L51" i="1"/>
  <c r="L84" i="1"/>
  <c r="L113" i="1"/>
  <c r="L160" i="1"/>
  <c r="L52" i="1"/>
  <c r="L53" i="1"/>
  <c r="L202" i="1"/>
  <c r="L246" i="1"/>
  <c r="L161" i="1"/>
  <c r="L9" i="1"/>
  <c r="L162" i="1"/>
  <c r="L163" i="1"/>
  <c r="L114" i="1"/>
  <c r="L66" i="1"/>
  <c r="L178" i="1"/>
  <c r="L179" i="1"/>
  <c r="L85" i="1"/>
  <c r="L115" i="1"/>
  <c r="L218" i="1"/>
  <c r="L219" i="1"/>
  <c r="L116" i="1"/>
  <c r="L164" i="1"/>
  <c r="L86" i="1"/>
  <c r="L180" i="1"/>
  <c r="L151" i="1"/>
  <c r="L181" i="1"/>
  <c r="L54" i="1"/>
  <c r="L220" i="1"/>
  <c r="L182" i="1"/>
  <c r="L133" i="1"/>
  <c r="L134" i="1"/>
  <c r="L26" i="1"/>
  <c r="L45" i="1"/>
  <c r="L165" i="1"/>
  <c r="L117" i="1"/>
  <c r="L10" i="1"/>
  <c r="L11" i="1"/>
  <c r="L67" i="1"/>
  <c r="L87" i="1"/>
  <c r="L55" i="1"/>
  <c r="L56" i="1"/>
  <c r="L68" i="1"/>
  <c r="L88" i="1"/>
  <c r="L229" i="1"/>
  <c r="L57" i="1"/>
  <c r="L230" i="1"/>
  <c r="L69" i="1"/>
  <c r="L231" i="1"/>
  <c r="L232" i="1"/>
  <c r="L118" i="1"/>
  <c r="L89" i="1"/>
  <c r="L233" i="1"/>
  <c r="L70" i="1"/>
  <c r="L71" i="1"/>
  <c r="L234" i="1"/>
  <c r="L72" i="1"/>
  <c r="L235" i="1"/>
  <c r="L236" i="1"/>
  <c r="L203" i="1"/>
  <c r="L59" i="1"/>
  <c r="L221" i="1"/>
  <c r="L237" i="1"/>
  <c r="L119" i="1"/>
  <c r="L238" i="1"/>
  <c r="L73" i="1"/>
  <c r="L222" i="1"/>
  <c r="L239" i="1"/>
  <c r="L240" i="1"/>
  <c r="L223" i="1"/>
  <c r="L241" i="1"/>
  <c r="L60" i="1"/>
  <c r="L61" i="1"/>
  <c r="L166" i="1"/>
  <c r="L204" i="1"/>
  <c r="L224" i="1"/>
  <c r="L74" i="1"/>
  <c r="L7" i="1"/>
  <c r="L13" i="1"/>
  <c r="L183" i="1"/>
  <c r="L167" i="1"/>
  <c r="L242" i="1"/>
  <c r="L62" i="1"/>
  <c r="L90" i="1"/>
  <c r="L75" i="1"/>
  <c r="L91" i="1"/>
  <c r="L92" i="1"/>
  <c r="L93" i="1"/>
  <c r="L94" i="1"/>
  <c r="L95" i="1"/>
  <c r="L76" i="1"/>
  <c r="L96" i="1"/>
  <c r="L77" i="1"/>
  <c r="L184" i="1"/>
  <c r="L97" i="1"/>
  <c r="L135" i="1"/>
  <c r="L185" i="1"/>
  <c r="L63" i="1"/>
  <c r="L78" i="1"/>
  <c r="L98" i="1"/>
  <c r="L79" i="1"/>
  <c r="L99" i="1"/>
  <c r="L80" i="1"/>
  <c r="L64" i="1"/>
  <c r="L120" i="1"/>
  <c r="L136" i="1"/>
  <c r="L81" i="1"/>
  <c r="L24" i="1"/>
  <c r="L244" i="1"/>
  <c r="L137" i="1"/>
  <c r="L100" i="1"/>
  <c r="L101" i="1"/>
  <c r="M15" i="1"/>
  <c r="M44" i="1"/>
  <c r="M16" i="1"/>
  <c r="M112" i="1"/>
  <c r="M215" i="1"/>
  <c r="M198" i="1"/>
  <c r="M17" i="1"/>
  <c r="M177" i="1"/>
  <c r="M199" i="1"/>
  <c r="M129" i="1"/>
  <c r="M200" i="1"/>
  <c r="M130" i="1"/>
  <c r="M131" i="1"/>
  <c r="M201" i="1"/>
  <c r="M216" i="1"/>
  <c r="M217" i="1"/>
  <c r="M132" i="1"/>
  <c r="M51" i="1"/>
  <c r="M84" i="1"/>
  <c r="M113" i="1"/>
  <c r="M160" i="1"/>
  <c r="M52" i="1"/>
  <c r="M53" i="1"/>
  <c r="M202" i="1"/>
  <c r="M246" i="1"/>
  <c r="M161" i="1"/>
  <c r="M9" i="1"/>
  <c r="M162" i="1"/>
  <c r="M163" i="1"/>
  <c r="M114" i="1"/>
  <c r="M66" i="1"/>
  <c r="M178" i="1"/>
  <c r="M179" i="1"/>
  <c r="M85" i="1"/>
  <c r="M115" i="1"/>
  <c r="M218" i="1"/>
  <c r="M219" i="1"/>
  <c r="M116" i="1"/>
  <c r="M164" i="1"/>
  <c r="M86" i="1"/>
  <c r="M180" i="1"/>
  <c r="M151" i="1"/>
  <c r="M181" i="1"/>
  <c r="M54" i="1"/>
  <c r="M220" i="1"/>
  <c r="M182" i="1"/>
  <c r="M133" i="1"/>
  <c r="M134" i="1"/>
  <c r="M26" i="1"/>
  <c r="M45" i="1"/>
  <c r="M165" i="1"/>
  <c r="M117" i="1"/>
  <c r="M10" i="1"/>
  <c r="M11" i="1"/>
  <c r="M67" i="1"/>
  <c r="M87" i="1"/>
  <c r="M55" i="1"/>
  <c r="M56" i="1"/>
  <c r="M68" i="1"/>
  <c r="M88" i="1"/>
  <c r="M229" i="1"/>
  <c r="M57" i="1"/>
  <c r="M230" i="1"/>
  <c r="M69" i="1"/>
  <c r="M231" i="1"/>
  <c r="M232" i="1"/>
  <c r="M118" i="1"/>
  <c r="M89" i="1"/>
  <c r="M233" i="1"/>
  <c r="M70" i="1"/>
  <c r="M71" i="1"/>
  <c r="M234" i="1"/>
  <c r="M72" i="1"/>
  <c r="M235" i="1"/>
  <c r="M236" i="1"/>
  <c r="M203" i="1"/>
  <c r="M59" i="1"/>
  <c r="M221" i="1"/>
  <c r="M237" i="1"/>
  <c r="M119" i="1"/>
  <c r="M238" i="1"/>
  <c r="M73" i="1"/>
  <c r="M222" i="1"/>
  <c r="M239" i="1"/>
  <c r="M240" i="1"/>
  <c r="M223" i="1"/>
  <c r="M241" i="1"/>
  <c r="M60" i="1"/>
  <c r="M61" i="1"/>
  <c r="M166" i="1"/>
  <c r="M204" i="1"/>
  <c r="M224" i="1"/>
  <c r="M74" i="1"/>
  <c r="M7" i="1"/>
  <c r="M13" i="1"/>
  <c r="M183" i="1"/>
  <c r="M167" i="1"/>
  <c r="M242" i="1"/>
  <c r="M62" i="1"/>
  <c r="M90" i="1"/>
  <c r="M75" i="1"/>
  <c r="M91" i="1"/>
  <c r="M92" i="1"/>
  <c r="M93" i="1"/>
  <c r="M94" i="1"/>
  <c r="M95" i="1"/>
  <c r="M76" i="1"/>
  <c r="M96" i="1"/>
  <c r="M77" i="1"/>
  <c r="M184" i="1"/>
  <c r="M97" i="1"/>
  <c r="M135" i="1"/>
  <c r="M185" i="1"/>
  <c r="M63" i="1"/>
  <c r="M78" i="1"/>
  <c r="M98" i="1"/>
  <c r="M79" i="1"/>
  <c r="M99" i="1"/>
  <c r="M80" i="1"/>
  <c r="M64" i="1"/>
  <c r="M120" i="1"/>
  <c r="M136" i="1"/>
  <c r="M81" i="1"/>
  <c r="M24" i="1"/>
  <c r="M244" i="1"/>
  <c r="M137" i="1"/>
  <c r="M100" i="1"/>
  <c r="M101" i="1"/>
  <c r="N56" i="1" l="1"/>
  <c r="N229" i="1"/>
  <c r="N79" i="1"/>
  <c r="N120" i="1"/>
  <c r="N44" i="1"/>
  <c r="N100" i="1"/>
  <c r="N165" i="1"/>
  <c r="N179" i="1"/>
  <c r="N76" i="1"/>
  <c r="N52" i="1"/>
  <c r="N222" i="1"/>
  <c r="N74" i="1"/>
  <c r="N238" i="1"/>
  <c r="N66" i="1"/>
  <c r="N224" i="1"/>
  <c r="N119" i="1"/>
  <c r="N114" i="1"/>
  <c r="N113" i="1"/>
  <c r="N77" i="1"/>
  <c r="N26" i="1"/>
  <c r="N184" i="1"/>
  <c r="N68" i="1"/>
  <c r="N89" i="1"/>
  <c r="N134" i="1"/>
  <c r="N199" i="1"/>
  <c r="N88" i="1"/>
  <c r="N160" i="1"/>
  <c r="N64" i="1"/>
  <c r="N166" i="1"/>
  <c r="N221" i="1"/>
  <c r="N118" i="1"/>
  <c r="N133" i="1"/>
  <c r="N84" i="1"/>
  <c r="N73" i="1"/>
  <c r="N178" i="1"/>
  <c r="N80" i="1"/>
  <c r="N7" i="1"/>
  <c r="N45" i="1"/>
  <c r="N15" i="1"/>
  <c r="N96" i="1"/>
  <c r="N242" i="1"/>
  <c r="N99" i="1"/>
  <c r="N204" i="1"/>
  <c r="N163" i="1"/>
  <c r="N55" i="1"/>
  <c r="N101" i="1"/>
  <c r="N98" i="1"/>
  <c r="N95" i="1"/>
  <c r="N167" i="1"/>
  <c r="N61" i="1"/>
  <c r="N59" i="1"/>
  <c r="N232" i="1"/>
  <c r="N87" i="1"/>
  <c r="N182" i="1"/>
  <c r="N164" i="1"/>
  <c r="N162" i="1"/>
  <c r="N51" i="1"/>
  <c r="N177" i="1"/>
  <c r="N137" i="1"/>
  <c r="N78" i="1"/>
  <c r="N60" i="1"/>
  <c r="N203" i="1"/>
  <c r="N231" i="1"/>
  <c r="N67" i="1"/>
  <c r="N220" i="1"/>
  <c r="N116" i="1"/>
  <c r="N9" i="1"/>
  <c r="N132" i="1"/>
  <c r="N17" i="1"/>
  <c r="N183" i="1"/>
  <c r="N112" i="1"/>
  <c r="N81" i="1"/>
  <c r="N240" i="1"/>
  <c r="N151" i="1"/>
  <c r="N234" i="1"/>
  <c r="N131" i="1"/>
  <c r="N75" i="1"/>
  <c r="N71" i="1"/>
  <c r="N86" i="1"/>
  <c r="N130" i="1"/>
  <c r="N92" i="1"/>
  <c r="N235" i="1"/>
  <c r="N202" i="1"/>
  <c r="N180" i="1"/>
  <c r="N90" i="1"/>
  <c r="N70" i="1"/>
  <c r="N200" i="1"/>
  <c r="N135" i="1"/>
  <c r="N230" i="1"/>
  <c r="N115" i="1"/>
  <c r="N62" i="1"/>
  <c r="N233" i="1"/>
  <c r="N129" i="1"/>
  <c r="N244" i="1"/>
  <c r="N63" i="1"/>
  <c r="N94" i="1"/>
  <c r="N241" i="1"/>
  <c r="N11" i="1"/>
  <c r="N54" i="1"/>
  <c r="N219" i="1"/>
  <c r="N161" i="1"/>
  <c r="N217" i="1"/>
  <c r="N198" i="1"/>
  <c r="N24" i="1"/>
  <c r="N185" i="1"/>
  <c r="N93" i="1"/>
  <c r="N223" i="1"/>
  <c r="N236" i="1"/>
  <c r="N69" i="1"/>
  <c r="N10" i="1"/>
  <c r="N181" i="1"/>
  <c r="N218" i="1"/>
  <c r="N246" i="1"/>
  <c r="N216" i="1"/>
  <c r="N215" i="1"/>
  <c r="N91" i="1"/>
  <c r="N72" i="1"/>
  <c r="N117" i="1"/>
  <c r="N53" i="1"/>
  <c r="N97" i="1"/>
  <c r="N239" i="1"/>
  <c r="N201" i="1"/>
  <c r="N136" i="1"/>
  <c r="N13" i="1"/>
  <c r="N57" i="1"/>
  <c r="N85" i="1"/>
  <c r="N16" i="1"/>
  <c r="B4" i="4" l="1"/>
  <c r="J2" i="1"/>
  <c r="J21" i="1"/>
  <c r="J102" i="1"/>
  <c r="J28" i="1"/>
  <c r="J29" i="1"/>
  <c r="J30" i="1"/>
  <c r="J31" i="1"/>
  <c r="J22" i="1"/>
  <c r="J46" i="1"/>
  <c r="J249" i="1"/>
  <c r="J32" i="1"/>
  <c r="J3" i="1"/>
  <c r="J250" i="1"/>
  <c r="J25" i="1"/>
  <c r="J33" i="1"/>
  <c r="J138" i="1"/>
  <c r="J5" i="1"/>
  <c r="J103" i="1"/>
  <c r="J154" i="1"/>
  <c r="J18" i="1"/>
  <c r="J139" i="1"/>
  <c r="J186" i="1"/>
  <c r="J104" i="1"/>
  <c r="J121" i="1"/>
  <c r="J34" i="1"/>
  <c r="J14" i="1"/>
  <c r="J155" i="1"/>
  <c r="J251" i="1"/>
  <c r="J4" i="1"/>
  <c r="J252" i="1"/>
  <c r="J122" i="1"/>
  <c r="J105" i="1"/>
  <c r="J187" i="1"/>
  <c r="J82" i="1"/>
  <c r="J123" i="1"/>
  <c r="J188" i="1"/>
  <c r="J47" i="1"/>
  <c r="J48" i="1"/>
  <c r="J106" i="1"/>
  <c r="J107" i="1"/>
  <c r="J6" i="1"/>
  <c r="J19" i="1"/>
  <c r="J225" i="1"/>
  <c r="J124" i="1"/>
  <c r="J205" i="1"/>
  <c r="J206" i="1"/>
  <c r="J207" i="1"/>
  <c r="J35" i="1"/>
  <c r="J168" i="1"/>
  <c r="J140" i="1"/>
  <c r="J243" i="1"/>
  <c r="J245" i="1"/>
  <c r="J156" i="1"/>
  <c r="J169" i="1"/>
  <c r="J226" i="1"/>
  <c r="J189" i="1"/>
  <c r="J49" i="1"/>
  <c r="J208" i="1"/>
  <c r="J141" i="1"/>
  <c r="J190" i="1"/>
  <c r="J170" i="1"/>
  <c r="J171" i="1"/>
  <c r="J209" i="1"/>
  <c r="J191" i="1"/>
  <c r="J227" i="1"/>
  <c r="J108" i="1"/>
  <c r="J172" i="1"/>
  <c r="J192" i="1"/>
  <c r="J142" i="1"/>
  <c r="J143" i="1"/>
  <c r="J144" i="1"/>
  <c r="J173" i="1"/>
  <c r="J210" i="1"/>
  <c r="J109" i="1"/>
  <c r="J125" i="1"/>
  <c r="J228" i="1"/>
  <c r="J193" i="1"/>
  <c r="J126" i="1"/>
  <c r="J127" i="1"/>
  <c r="J23" i="1"/>
  <c r="J36" i="1"/>
  <c r="J37" i="1"/>
  <c r="J38" i="1"/>
  <c r="J174" i="1"/>
  <c r="J211" i="1"/>
  <c r="J175" i="1"/>
  <c r="J212" i="1"/>
  <c r="J176" i="1"/>
  <c r="J110" i="1"/>
  <c r="J194" i="1"/>
  <c r="J65" i="1"/>
  <c r="J111" i="1"/>
  <c r="J145" i="1"/>
  <c r="J39" i="1"/>
  <c r="J157" i="1"/>
  <c r="J213" i="1"/>
  <c r="J195" i="1"/>
  <c r="J158" i="1"/>
  <c r="J146" i="1"/>
  <c r="J147" i="1"/>
  <c r="J148" i="1"/>
  <c r="J159" i="1"/>
  <c r="J83" i="1"/>
  <c r="J149" i="1"/>
  <c r="J50" i="1"/>
  <c r="J196" i="1"/>
  <c r="J40" i="1"/>
  <c r="J128" i="1"/>
  <c r="J214" i="1"/>
  <c r="J197" i="1"/>
  <c r="J41" i="1"/>
  <c r="J42" i="1"/>
  <c r="J150" i="1"/>
  <c r="K2" i="1"/>
  <c r="K21" i="1"/>
  <c r="K102" i="1"/>
  <c r="K28" i="1"/>
  <c r="K29" i="1"/>
  <c r="K30" i="1"/>
  <c r="K31" i="1"/>
  <c r="K22" i="1"/>
  <c r="K46" i="1"/>
  <c r="K249" i="1"/>
  <c r="K32" i="1"/>
  <c r="K3" i="1"/>
  <c r="K250" i="1"/>
  <c r="K25" i="1"/>
  <c r="K33" i="1"/>
  <c r="K138" i="1"/>
  <c r="K5" i="1"/>
  <c r="K103" i="1"/>
  <c r="K154" i="1"/>
  <c r="K18" i="1"/>
  <c r="K139" i="1"/>
  <c r="K186" i="1"/>
  <c r="K104" i="1"/>
  <c r="K121" i="1"/>
  <c r="K34" i="1"/>
  <c r="K14" i="1"/>
  <c r="K155" i="1"/>
  <c r="K251" i="1"/>
  <c r="K4" i="1"/>
  <c r="K252" i="1"/>
  <c r="K122" i="1"/>
  <c r="K253" i="1"/>
  <c r="K105" i="1"/>
  <c r="K187" i="1"/>
  <c r="K82" i="1"/>
  <c r="K123" i="1"/>
  <c r="K188" i="1"/>
  <c r="K47" i="1"/>
  <c r="K48" i="1"/>
  <c r="K106" i="1"/>
  <c r="K107" i="1"/>
  <c r="K6" i="1"/>
  <c r="K19" i="1"/>
  <c r="K225" i="1"/>
  <c r="K124" i="1"/>
  <c r="K205" i="1"/>
  <c r="K206" i="1"/>
  <c r="K207" i="1"/>
  <c r="K35" i="1"/>
  <c r="K168" i="1"/>
  <c r="K140" i="1"/>
  <c r="K243" i="1"/>
  <c r="K245" i="1"/>
  <c r="K156" i="1"/>
  <c r="K169" i="1"/>
  <c r="K226" i="1"/>
  <c r="K189" i="1"/>
  <c r="K49" i="1"/>
  <c r="K208" i="1"/>
  <c r="K141" i="1"/>
  <c r="K190" i="1"/>
  <c r="K170" i="1"/>
  <c r="K171" i="1"/>
  <c r="K209" i="1"/>
  <c r="K191" i="1"/>
  <c r="K227" i="1"/>
  <c r="K108" i="1"/>
  <c r="K172" i="1"/>
  <c r="K192" i="1"/>
  <c r="K142" i="1"/>
  <c r="K143" i="1"/>
  <c r="K144" i="1"/>
  <c r="K173" i="1"/>
  <c r="K210" i="1"/>
  <c r="K109" i="1"/>
  <c r="K125" i="1"/>
  <c r="K228" i="1"/>
  <c r="K193" i="1"/>
  <c r="K126" i="1"/>
  <c r="K127" i="1"/>
  <c r="K23" i="1"/>
  <c r="K36" i="1"/>
  <c r="K37" i="1"/>
  <c r="K38" i="1"/>
  <c r="K174" i="1"/>
  <c r="K211" i="1"/>
  <c r="K175" i="1"/>
  <c r="K212" i="1"/>
  <c r="K176" i="1"/>
  <c r="K110" i="1"/>
  <c r="K194" i="1"/>
  <c r="K65" i="1"/>
  <c r="K111" i="1"/>
  <c r="K145" i="1"/>
  <c r="K39" i="1"/>
  <c r="K157" i="1"/>
  <c r="K213" i="1"/>
  <c r="K195" i="1"/>
  <c r="K158" i="1"/>
  <c r="K146" i="1"/>
  <c r="K147" i="1"/>
  <c r="K148" i="1"/>
  <c r="K159" i="1"/>
  <c r="K83" i="1"/>
  <c r="K149" i="1"/>
  <c r="K50" i="1"/>
  <c r="K196" i="1"/>
  <c r="K40" i="1"/>
  <c r="K128" i="1"/>
  <c r="K214" i="1"/>
  <c r="K197" i="1"/>
  <c r="K41" i="1"/>
  <c r="K42" i="1"/>
  <c r="K150" i="1"/>
  <c r="K43" i="1"/>
  <c r="L2" i="1"/>
  <c r="L21" i="1"/>
  <c r="L102" i="1"/>
  <c r="L28" i="1"/>
  <c r="L29" i="1"/>
  <c r="L30" i="1"/>
  <c r="L31" i="1"/>
  <c r="L22" i="1"/>
  <c r="L46" i="1"/>
  <c r="L249" i="1"/>
  <c r="L32" i="1"/>
  <c r="L3" i="1"/>
  <c r="L250" i="1"/>
  <c r="L25" i="1"/>
  <c r="L33" i="1"/>
  <c r="L138" i="1"/>
  <c r="L5" i="1"/>
  <c r="L103" i="1"/>
  <c r="L154" i="1"/>
  <c r="L18" i="1"/>
  <c r="L139" i="1"/>
  <c r="L186" i="1"/>
  <c r="L104" i="1"/>
  <c r="L121" i="1"/>
  <c r="L34" i="1"/>
  <c r="L14" i="1"/>
  <c r="L155" i="1"/>
  <c r="L251" i="1"/>
  <c r="L4" i="1"/>
  <c r="L252" i="1"/>
  <c r="L122" i="1"/>
  <c r="L253" i="1"/>
  <c r="L105" i="1"/>
  <c r="L187" i="1"/>
  <c r="L82" i="1"/>
  <c r="L123" i="1"/>
  <c r="L188" i="1"/>
  <c r="L47" i="1"/>
  <c r="L48" i="1"/>
  <c r="L106" i="1"/>
  <c r="L107" i="1"/>
  <c r="L6" i="1"/>
  <c r="L19" i="1"/>
  <c r="L225" i="1"/>
  <c r="L124" i="1"/>
  <c r="L205" i="1"/>
  <c r="L206" i="1"/>
  <c r="L207" i="1"/>
  <c r="L35" i="1"/>
  <c r="L168" i="1"/>
  <c r="L140" i="1"/>
  <c r="L243" i="1"/>
  <c r="L245" i="1"/>
  <c r="L156" i="1"/>
  <c r="L169" i="1"/>
  <c r="L226" i="1"/>
  <c r="L189" i="1"/>
  <c r="L49" i="1"/>
  <c r="L208" i="1"/>
  <c r="L141" i="1"/>
  <c r="L190" i="1"/>
  <c r="L170" i="1"/>
  <c r="L171" i="1"/>
  <c r="L209" i="1"/>
  <c r="L191" i="1"/>
  <c r="L227" i="1"/>
  <c r="L108" i="1"/>
  <c r="L172" i="1"/>
  <c r="L192" i="1"/>
  <c r="L142" i="1"/>
  <c r="L143" i="1"/>
  <c r="L144" i="1"/>
  <c r="L173" i="1"/>
  <c r="L210" i="1"/>
  <c r="L109" i="1"/>
  <c r="L125" i="1"/>
  <c r="L228" i="1"/>
  <c r="L193" i="1"/>
  <c r="L126" i="1"/>
  <c r="L127" i="1"/>
  <c r="L23" i="1"/>
  <c r="L36" i="1"/>
  <c r="L37" i="1"/>
  <c r="L38" i="1"/>
  <c r="L174" i="1"/>
  <c r="L211" i="1"/>
  <c r="L175" i="1"/>
  <c r="L212" i="1"/>
  <c r="L176" i="1"/>
  <c r="L110" i="1"/>
  <c r="L194" i="1"/>
  <c r="L65" i="1"/>
  <c r="L111" i="1"/>
  <c r="L145" i="1"/>
  <c r="L39" i="1"/>
  <c r="L157" i="1"/>
  <c r="L213" i="1"/>
  <c r="L195" i="1"/>
  <c r="L158" i="1"/>
  <c r="L146" i="1"/>
  <c r="L147" i="1"/>
  <c r="L148" i="1"/>
  <c r="L159" i="1"/>
  <c r="L83" i="1"/>
  <c r="L149" i="1"/>
  <c r="L50" i="1"/>
  <c r="L196" i="1"/>
  <c r="L40" i="1"/>
  <c r="L128" i="1"/>
  <c r="L214" i="1"/>
  <c r="L197" i="1"/>
  <c r="L41" i="1"/>
  <c r="L42" i="1"/>
  <c r="L150" i="1"/>
  <c r="L43" i="1"/>
  <c r="M2" i="1"/>
  <c r="M21" i="1"/>
  <c r="M102" i="1"/>
  <c r="M28" i="1"/>
  <c r="M29" i="1"/>
  <c r="M30" i="1"/>
  <c r="M31" i="1"/>
  <c r="M22" i="1"/>
  <c r="M46" i="1"/>
  <c r="M249" i="1"/>
  <c r="M32" i="1"/>
  <c r="M3" i="1"/>
  <c r="M250" i="1"/>
  <c r="M25" i="1"/>
  <c r="M33" i="1"/>
  <c r="M138" i="1"/>
  <c r="M5" i="1"/>
  <c r="M103" i="1"/>
  <c r="M154" i="1"/>
  <c r="M18" i="1"/>
  <c r="M139" i="1"/>
  <c r="M186" i="1"/>
  <c r="M104" i="1"/>
  <c r="M121" i="1"/>
  <c r="M34" i="1"/>
  <c r="M14" i="1"/>
  <c r="M155" i="1"/>
  <c r="M251" i="1"/>
  <c r="M4" i="1"/>
  <c r="M252" i="1"/>
  <c r="M122" i="1"/>
  <c r="M253" i="1"/>
  <c r="M105" i="1"/>
  <c r="M187" i="1"/>
  <c r="M82" i="1"/>
  <c r="M123" i="1"/>
  <c r="M188" i="1"/>
  <c r="M47" i="1"/>
  <c r="M48" i="1"/>
  <c r="M106" i="1"/>
  <c r="M107" i="1"/>
  <c r="M6" i="1"/>
  <c r="M19" i="1"/>
  <c r="M225" i="1"/>
  <c r="M124" i="1"/>
  <c r="M205" i="1"/>
  <c r="M206" i="1"/>
  <c r="M207" i="1"/>
  <c r="M35" i="1"/>
  <c r="M168" i="1"/>
  <c r="M140" i="1"/>
  <c r="M243" i="1"/>
  <c r="M245" i="1"/>
  <c r="M156" i="1"/>
  <c r="M169" i="1"/>
  <c r="M226" i="1"/>
  <c r="M189" i="1"/>
  <c r="M49" i="1"/>
  <c r="M208" i="1"/>
  <c r="M141" i="1"/>
  <c r="M190" i="1"/>
  <c r="M170" i="1"/>
  <c r="M171" i="1"/>
  <c r="M209" i="1"/>
  <c r="M191" i="1"/>
  <c r="M227" i="1"/>
  <c r="M108" i="1"/>
  <c r="M172" i="1"/>
  <c r="M192" i="1"/>
  <c r="M142" i="1"/>
  <c r="M143" i="1"/>
  <c r="M144" i="1"/>
  <c r="M173" i="1"/>
  <c r="M210" i="1"/>
  <c r="M109" i="1"/>
  <c r="M125" i="1"/>
  <c r="M228" i="1"/>
  <c r="M193" i="1"/>
  <c r="M126" i="1"/>
  <c r="M127" i="1"/>
  <c r="M23" i="1"/>
  <c r="M36" i="1"/>
  <c r="M37" i="1"/>
  <c r="M38" i="1"/>
  <c r="M174" i="1"/>
  <c r="M211" i="1"/>
  <c r="M175" i="1"/>
  <c r="M212" i="1"/>
  <c r="M176" i="1"/>
  <c r="M110" i="1"/>
  <c r="M194" i="1"/>
  <c r="M65" i="1"/>
  <c r="M111" i="1"/>
  <c r="M145" i="1"/>
  <c r="M39" i="1"/>
  <c r="M157" i="1"/>
  <c r="M213" i="1"/>
  <c r="M195" i="1"/>
  <c r="M158" i="1"/>
  <c r="M146" i="1"/>
  <c r="M147" i="1"/>
  <c r="M148" i="1"/>
  <c r="M159" i="1"/>
  <c r="M83" i="1"/>
  <c r="M149" i="1"/>
  <c r="M50" i="1"/>
  <c r="M196" i="1"/>
  <c r="M40" i="1"/>
  <c r="M128" i="1"/>
  <c r="M214" i="1"/>
  <c r="M197" i="1"/>
  <c r="M41" i="1"/>
  <c r="M42" i="1"/>
  <c r="M150" i="1"/>
  <c r="M43" i="1"/>
  <c r="N225" i="1" l="1"/>
  <c r="N150" i="1"/>
  <c r="N159" i="1"/>
  <c r="N194" i="1"/>
  <c r="N37" i="1"/>
  <c r="N109" i="1"/>
  <c r="N171" i="1"/>
  <c r="N123" i="1"/>
  <c r="N155" i="1"/>
  <c r="N46" i="1"/>
  <c r="N31" i="1"/>
  <c r="N226" i="1"/>
  <c r="N138" i="1"/>
  <c r="N50" i="1"/>
  <c r="N145" i="1"/>
  <c r="N228" i="1"/>
  <c r="N227" i="1"/>
  <c r="N4" i="1"/>
  <c r="N154" i="1"/>
  <c r="N149" i="1"/>
  <c r="N188" i="1"/>
  <c r="N106" i="1"/>
  <c r="N65" i="1"/>
  <c r="N245" i="1"/>
  <c r="N251" i="1"/>
  <c r="N249" i="1"/>
  <c r="N108" i="1"/>
  <c r="N43" i="1"/>
  <c r="N125" i="1"/>
  <c r="N124" i="1"/>
  <c r="N102" i="1"/>
  <c r="N18" i="1"/>
  <c r="N39" i="1"/>
  <c r="N83" i="1"/>
  <c r="N157" i="1"/>
  <c r="N174" i="1"/>
  <c r="N38" i="1"/>
  <c r="N209" i="1"/>
  <c r="N103" i="1"/>
  <c r="N3" i="1"/>
  <c r="N36" i="1"/>
  <c r="N21" i="1"/>
  <c r="N42" i="1"/>
  <c r="N30" i="1"/>
  <c r="N148" i="1"/>
  <c r="N210" i="1"/>
  <c r="N82" i="1"/>
  <c r="N170" i="1"/>
  <c r="N14" i="1"/>
  <c r="N191" i="1"/>
  <c r="N206" i="1"/>
  <c r="N105" i="1"/>
  <c r="N172" i="1"/>
  <c r="N111" i="1"/>
  <c r="N250" i="1"/>
  <c r="N32" i="1"/>
  <c r="N205" i="1"/>
  <c r="N197" i="1"/>
  <c r="N207" i="1"/>
  <c r="N33" i="1"/>
  <c r="N252" i="1"/>
  <c r="N25" i="1"/>
  <c r="N253" i="1"/>
  <c r="N40" i="1"/>
  <c r="N193" i="1"/>
  <c r="N214" i="1"/>
  <c r="N196" i="1"/>
  <c r="N127" i="1"/>
  <c r="N176" i="1"/>
  <c r="N146" i="1"/>
  <c r="N121" i="1"/>
  <c r="N140" i="1"/>
  <c r="N142" i="1"/>
  <c r="N141" i="1"/>
  <c r="N212" i="1"/>
  <c r="N169" i="1"/>
  <c r="N48" i="1"/>
  <c r="N41" i="1"/>
  <c r="N28" i="1"/>
  <c r="N158" i="1"/>
  <c r="N175" i="1"/>
  <c r="N107" i="1"/>
  <c r="N156" i="1"/>
  <c r="N47" i="1"/>
  <c r="N144" i="1"/>
  <c r="N243" i="1"/>
  <c r="N143" i="1"/>
  <c r="N104" i="1"/>
  <c r="N195" i="1"/>
  <c r="N168" i="1"/>
  <c r="N211" i="1"/>
  <c r="N5" i="1"/>
  <c r="N23" i="1"/>
  <c r="N208" i="1"/>
  <c r="N49" i="1"/>
  <c r="N186" i="1"/>
  <c r="N189" i="1"/>
  <c r="N2" i="1"/>
  <c r="N147" i="1"/>
  <c r="N110" i="1"/>
  <c r="N173" i="1"/>
  <c r="N190" i="1"/>
  <c r="N19" i="1"/>
  <c r="N187" i="1"/>
  <c r="N34" i="1"/>
  <c r="N29" i="1"/>
  <c r="N126" i="1"/>
  <c r="N35" i="1"/>
  <c r="N22" i="1"/>
  <c r="N213" i="1"/>
  <c r="N122" i="1"/>
  <c r="N6" i="1"/>
  <c r="N128" i="1"/>
  <c r="N192" i="1"/>
  <c r="N139" i="1"/>
  <c r="M247" i="1" l="1"/>
  <c r="M152" i="1"/>
  <c r="M8" i="1"/>
  <c r="M20" i="1"/>
  <c r="M27" i="1"/>
  <c r="M248" i="1"/>
  <c r="M153" i="1"/>
  <c r="L247" i="1"/>
  <c r="L152" i="1"/>
  <c r="L8" i="1"/>
  <c r="L20" i="1"/>
  <c r="L27" i="1"/>
  <c r="L248" i="1"/>
  <c r="L153" i="1"/>
  <c r="B11" i="4" l="1"/>
  <c r="B10" i="4"/>
  <c r="J247" i="1"/>
  <c r="J152" i="1"/>
  <c r="J8" i="1"/>
  <c r="J20" i="1"/>
  <c r="J27" i="1"/>
  <c r="J248" i="1"/>
  <c r="J153" i="1"/>
  <c r="K247" i="1"/>
  <c r="K152" i="1"/>
  <c r="K8" i="1"/>
  <c r="K20" i="1"/>
  <c r="K27" i="1"/>
  <c r="K248" i="1"/>
  <c r="K153" i="1"/>
  <c r="B9" i="4"/>
  <c r="B8" i="4"/>
  <c r="B2" i="4"/>
  <c r="B3" i="4"/>
  <c r="B15" i="4"/>
  <c r="B5" i="4"/>
  <c r="B1" i="4"/>
  <c r="B14" i="4"/>
  <c r="B13" i="4"/>
  <c r="B6" i="4"/>
  <c r="B12" i="4"/>
  <c r="B3" i="2"/>
  <c r="B1" i="2"/>
  <c r="B2" i="2"/>
  <c r="B7" i="6" l="1"/>
  <c r="B5" i="6"/>
  <c r="B10" i="6"/>
  <c r="B1" i="5"/>
  <c r="B2" i="5" s="1"/>
  <c r="B3" i="5" s="1"/>
  <c r="B6" i="6"/>
  <c r="B4" i="6"/>
  <c r="B2" i="6"/>
  <c r="B8" i="6"/>
  <c r="B1" i="6"/>
  <c r="B9" i="6"/>
  <c r="B3" i="6"/>
  <c r="C1" i="6" l="1"/>
  <c r="C7" i="6"/>
  <c r="N27" i="1"/>
  <c r="N248" i="1"/>
  <c r="N153" i="1"/>
  <c r="N152" i="1"/>
  <c r="N8" i="1"/>
  <c r="N20" i="1"/>
  <c r="N247" i="1"/>
  <c r="C9" i="6"/>
  <c r="C3" i="6"/>
  <c r="C2" i="6"/>
  <c r="C10" i="6"/>
  <c r="C8" i="6"/>
  <c r="C4" i="6"/>
  <c r="C5" i="6"/>
  <c r="C6" i="6"/>
</calcChain>
</file>

<file path=xl/sharedStrings.xml><?xml version="1.0" encoding="utf-8"?>
<sst xmlns="http://schemas.openxmlformats.org/spreadsheetml/2006/main" count="1680" uniqueCount="493">
  <si>
    <t>最終合格校</t>
    <rPh sb="0" eb="4">
      <t>サイシュウゴウカク</t>
    </rPh>
    <rPh sb="4" eb="5">
      <t>コウ</t>
    </rPh>
    <phoneticPr fontId="2"/>
  </si>
  <si>
    <t>進路区分</t>
    <rPh sb="0" eb="2">
      <t>シンロ</t>
    </rPh>
    <rPh sb="2" eb="4">
      <t>クブン</t>
    </rPh>
    <phoneticPr fontId="2"/>
  </si>
  <si>
    <t>退学</t>
    <rPh sb="0" eb="2">
      <t>タイガク</t>
    </rPh>
    <phoneticPr fontId="2"/>
  </si>
  <si>
    <t>卒業・退学</t>
    <rPh sb="0" eb="2">
      <t>ソツギョウ</t>
    </rPh>
    <rPh sb="3" eb="5">
      <t>タイガク</t>
    </rPh>
    <phoneticPr fontId="2"/>
  </si>
  <si>
    <t>退学理由</t>
    <rPh sb="0" eb="2">
      <t>タイガク</t>
    </rPh>
    <rPh sb="2" eb="4">
      <t>リユウ</t>
    </rPh>
    <phoneticPr fontId="2"/>
  </si>
  <si>
    <t>卒業・修了</t>
    <rPh sb="0" eb="2">
      <t>ソツギョウ</t>
    </rPh>
    <rPh sb="3" eb="5">
      <t>シュウリョウ</t>
    </rPh>
    <phoneticPr fontId="2"/>
  </si>
  <si>
    <t>進学希望</t>
    <rPh sb="0" eb="4">
      <t>シンガクキボウ</t>
    </rPh>
    <phoneticPr fontId="3"/>
  </si>
  <si>
    <t>進学希望者</t>
    <rPh sb="0" eb="4">
      <t>シンガクキボウ</t>
    </rPh>
    <rPh sb="4" eb="5">
      <t>シャ</t>
    </rPh>
    <phoneticPr fontId="2"/>
  </si>
  <si>
    <t>合格者</t>
    <rPh sb="0" eb="3">
      <t>ゴウカクシャ</t>
    </rPh>
    <phoneticPr fontId="2"/>
  </si>
  <si>
    <t>進学希望者：過去に進学を希望したことがある者（退学者含む）</t>
    <rPh sb="0" eb="4">
      <t>シンガクキボウ</t>
    </rPh>
    <rPh sb="4" eb="5">
      <t>シャ</t>
    </rPh>
    <rPh sb="6" eb="8">
      <t>カコ</t>
    </rPh>
    <rPh sb="9" eb="11">
      <t>シンガク</t>
    </rPh>
    <rPh sb="12" eb="14">
      <t>キボウ</t>
    </rPh>
    <rPh sb="21" eb="22">
      <t>モノ</t>
    </rPh>
    <rPh sb="23" eb="26">
      <t>タイガクシャ</t>
    </rPh>
    <rPh sb="26" eb="27">
      <t>フク</t>
    </rPh>
    <phoneticPr fontId="2"/>
  </si>
  <si>
    <t>合格者：いずれかの学校に合格した者（辞退者含む）</t>
    <rPh sb="0" eb="3">
      <t>ゴウカクシャ</t>
    </rPh>
    <rPh sb="9" eb="11">
      <t>ガッコウ</t>
    </rPh>
    <rPh sb="12" eb="14">
      <t>ゴウカク</t>
    </rPh>
    <rPh sb="16" eb="17">
      <t>モノ</t>
    </rPh>
    <rPh sb="18" eb="20">
      <t>ジタイ</t>
    </rPh>
    <rPh sb="20" eb="21">
      <t>シャ</t>
    </rPh>
    <rPh sb="21" eb="22">
      <t>フク</t>
    </rPh>
    <phoneticPr fontId="2"/>
  </si>
  <si>
    <t>未合格者</t>
    <rPh sb="0" eb="1">
      <t>ミ</t>
    </rPh>
    <rPh sb="1" eb="4">
      <t>ゴウカクシャ</t>
    </rPh>
    <phoneticPr fontId="2"/>
  </si>
  <si>
    <t>未合格者：進学を希望しているが、まだ合格していない者</t>
    <rPh sb="0" eb="1">
      <t>ミ</t>
    </rPh>
    <rPh sb="1" eb="3">
      <t>ゴウカク</t>
    </rPh>
    <rPh sb="3" eb="4">
      <t>シャ</t>
    </rPh>
    <rPh sb="5" eb="7">
      <t>シンガク</t>
    </rPh>
    <rPh sb="8" eb="10">
      <t>キボウ</t>
    </rPh>
    <rPh sb="18" eb="20">
      <t>ゴウカク</t>
    </rPh>
    <rPh sb="25" eb="26">
      <t>モノ</t>
    </rPh>
    <phoneticPr fontId="2"/>
  </si>
  <si>
    <t>卒業者進路</t>
    <rPh sb="0" eb="2">
      <t>ソツギョウ</t>
    </rPh>
    <rPh sb="2" eb="3">
      <t>シャ</t>
    </rPh>
    <rPh sb="3" eb="5">
      <t>シンロ</t>
    </rPh>
    <phoneticPr fontId="3"/>
  </si>
  <si>
    <t>大学</t>
  </si>
  <si>
    <t>専門学校</t>
  </si>
  <si>
    <t>帰国</t>
  </si>
  <si>
    <t>就職</t>
  </si>
  <si>
    <t>大学・大学院</t>
    <rPh sb="0" eb="2">
      <t>ダイガク</t>
    </rPh>
    <rPh sb="3" eb="6">
      <t>ダイガクイン</t>
    </rPh>
    <phoneticPr fontId="3"/>
  </si>
  <si>
    <t>専門学校</t>
    <rPh sb="0" eb="4">
      <t>センモンガッコウ</t>
    </rPh>
    <phoneticPr fontId="3"/>
  </si>
  <si>
    <t>総計</t>
  </si>
  <si>
    <t>進学先</t>
  </si>
  <si>
    <t>人数</t>
  </si>
  <si>
    <t>進学先</t>
    <rPh sb="0" eb="3">
      <t>シンガクサキ</t>
    </rPh>
    <phoneticPr fontId="3"/>
  </si>
  <si>
    <t>氏名</t>
    <rPh sb="0" eb="2">
      <t>シメイ</t>
    </rPh>
    <phoneticPr fontId="3"/>
  </si>
  <si>
    <t>クラス</t>
    <phoneticPr fontId="3"/>
  </si>
  <si>
    <t>学籍番号</t>
    <rPh sb="0" eb="2">
      <t>ガクセキ</t>
    </rPh>
    <rPh sb="2" eb="4">
      <t>バンゴウ</t>
    </rPh>
    <phoneticPr fontId="3"/>
  </si>
  <si>
    <t>帰国予定</t>
  </si>
  <si>
    <t>家族滞在</t>
  </si>
  <si>
    <t>進学</t>
  </si>
  <si>
    <t>病気</t>
  </si>
  <si>
    <t>学力不良</t>
  </si>
  <si>
    <t>長期無断欠席</t>
  </si>
  <si>
    <t>学費未納</t>
  </si>
  <si>
    <t>ビザ不交付</t>
  </si>
  <si>
    <t>自己都合</t>
  </si>
  <si>
    <t>学則違反</t>
  </si>
  <si>
    <t>就職予定</t>
    <rPh sb="0" eb="2">
      <t>シュウショク</t>
    </rPh>
    <rPh sb="2" eb="4">
      <t>ヨテイ</t>
    </rPh>
    <phoneticPr fontId="2"/>
  </si>
  <si>
    <t>神戸電子専門学校</t>
  </si>
  <si>
    <t>延長</t>
    <rPh sb="0" eb="2">
      <t>エンチョウ</t>
    </rPh>
    <phoneticPr fontId="2"/>
  </si>
  <si>
    <t>家庭事情</t>
    <rPh sb="0" eb="4">
      <t>カテイジジョウ</t>
    </rPh>
    <phoneticPr fontId="2"/>
  </si>
  <si>
    <t>失踪</t>
    <rPh sb="0" eb="2">
      <t>シッソウ</t>
    </rPh>
    <phoneticPr fontId="2"/>
  </si>
  <si>
    <t>大学院</t>
    <rPh sb="0" eb="3">
      <t>ダイガクイン</t>
    </rPh>
    <phoneticPr fontId="2"/>
  </si>
  <si>
    <t>進学未定</t>
    <rPh sb="0" eb="2">
      <t>シンガク</t>
    </rPh>
    <rPh sb="2" eb="4">
      <t>ミテイ</t>
    </rPh>
    <phoneticPr fontId="2"/>
  </si>
  <si>
    <t>出願経験</t>
    <rPh sb="0" eb="2">
      <t>シュツガン</t>
    </rPh>
    <rPh sb="2" eb="4">
      <t>ケイケン</t>
    </rPh>
    <phoneticPr fontId="3"/>
  </si>
  <si>
    <t>妊娠</t>
    <rPh sb="0" eb="2">
      <t>ニンシン</t>
    </rPh>
    <phoneticPr fontId="2"/>
  </si>
  <si>
    <t>コロナ自粛帰国</t>
    <rPh sb="3" eb="5">
      <t>ジシュク</t>
    </rPh>
    <rPh sb="5" eb="7">
      <t>キコク</t>
    </rPh>
    <phoneticPr fontId="2"/>
  </si>
  <si>
    <t>BINITA THAPA MAGAR</t>
  </si>
  <si>
    <t>1年生</t>
    <rPh sb="1" eb="3">
      <t>ネンセイ</t>
    </rPh>
    <phoneticPr fontId="3"/>
  </si>
  <si>
    <t>神戸親和大学</t>
  </si>
  <si>
    <t>流通科学大学</t>
  </si>
  <si>
    <t>芦屋大学</t>
  </si>
  <si>
    <t>東京国際ビジネスカレッジ神戸校</t>
  </si>
  <si>
    <t>転校</t>
    <rPh sb="0" eb="2">
      <t>テンコウ</t>
    </rPh>
    <phoneticPr fontId="2"/>
  </si>
  <si>
    <t>家族滞在ビザ変更</t>
    <rPh sb="0" eb="4">
      <t>カゾクタイザイ</t>
    </rPh>
    <rPh sb="6" eb="8">
      <t>ヘンコウ</t>
    </rPh>
    <phoneticPr fontId="2"/>
  </si>
  <si>
    <t>短期大学</t>
    <rPh sb="0" eb="4">
      <t>タンキダイガク</t>
    </rPh>
    <phoneticPr fontId="2"/>
  </si>
  <si>
    <t>日本経済大学</t>
  </si>
  <si>
    <t>神戸国際大学</t>
  </si>
  <si>
    <t>大阪観光大学</t>
  </si>
  <si>
    <t>大阪女学院大学</t>
  </si>
  <si>
    <t>和歌山社会福祉専門学校</t>
  </si>
  <si>
    <t>日本工科大学校</t>
  </si>
  <si>
    <t>東亜経理専門学校</t>
  </si>
  <si>
    <t>専門学校アートカレッジ神戸</t>
  </si>
  <si>
    <t>愛甲学院専門学校</t>
  </si>
  <si>
    <t>中央美術学園</t>
  </si>
  <si>
    <t>ICT専門学校</t>
  </si>
  <si>
    <t>CAD製図専門学校</t>
  </si>
  <si>
    <t>東京マルチ・AI専門学校</t>
  </si>
  <si>
    <t>大阪観光ビジネス学院</t>
  </si>
  <si>
    <t>浦和専門学校</t>
  </si>
  <si>
    <t>中央工学校OSAKA</t>
  </si>
  <si>
    <t>日産栃木自動車大学校</t>
  </si>
  <si>
    <t>読売自動車大学校</t>
  </si>
  <si>
    <t>2-1</t>
    <phoneticPr fontId="3"/>
  </si>
  <si>
    <t>2-2</t>
    <phoneticPr fontId="3"/>
  </si>
  <si>
    <t>2-3</t>
    <phoneticPr fontId="3"/>
  </si>
  <si>
    <t>2-4</t>
    <phoneticPr fontId="3"/>
  </si>
  <si>
    <t>2-5</t>
    <phoneticPr fontId="3"/>
  </si>
  <si>
    <t>2-6</t>
    <phoneticPr fontId="3"/>
  </si>
  <si>
    <t>2-7</t>
    <phoneticPr fontId="3"/>
  </si>
  <si>
    <t>2-8</t>
    <phoneticPr fontId="3"/>
  </si>
  <si>
    <t>2-9</t>
    <phoneticPr fontId="3"/>
  </si>
  <si>
    <t>2-10</t>
    <phoneticPr fontId="3"/>
  </si>
  <si>
    <t>2-11</t>
    <phoneticPr fontId="3"/>
  </si>
  <si>
    <t>2-12</t>
    <phoneticPr fontId="3"/>
  </si>
  <si>
    <t>2-13</t>
    <phoneticPr fontId="3"/>
  </si>
  <si>
    <t>尹 麗</t>
    <phoneticPr fontId="3"/>
  </si>
  <si>
    <t>PAING SHIN HTET</t>
    <phoneticPr fontId="3"/>
  </si>
  <si>
    <t>HTET HTOO KHIN</t>
  </si>
  <si>
    <t>THIRI HNIN HTET</t>
  </si>
  <si>
    <t>AYE WAI PHYO</t>
  </si>
  <si>
    <t>ARKAR HEIN</t>
  </si>
  <si>
    <t>MAY THINZAR KYAW</t>
  </si>
  <si>
    <t>EI THAE PHYU</t>
  </si>
  <si>
    <t>KAUNG KHANT SAN</t>
  </si>
  <si>
    <t>HTET NAING WIN</t>
  </si>
  <si>
    <t>HTET MYAT AUNG</t>
  </si>
  <si>
    <t>NYI NYI ZAW</t>
  </si>
  <si>
    <t>ARMAN HOSSAN OBEY</t>
  </si>
  <si>
    <t>SAW MOSES GEE</t>
    <phoneticPr fontId="3"/>
  </si>
  <si>
    <t>MAY IRINE</t>
  </si>
  <si>
    <t>任 一蕊</t>
    <phoneticPr fontId="3"/>
  </si>
  <si>
    <t>NGUYEN THI YEN</t>
    <phoneticPr fontId="3"/>
  </si>
  <si>
    <t>RANJU TAMANG</t>
  </si>
  <si>
    <t>EI MYAT NOE</t>
  </si>
  <si>
    <t>KAUNG MYAT TUN</t>
  </si>
  <si>
    <t>EI EI HTUN</t>
  </si>
  <si>
    <t>ZAW WAI PHYO</t>
  </si>
  <si>
    <t>MOE PYAE SAN</t>
  </si>
  <si>
    <t>NAGOLLE GEDARA LAHIRU MADUSHAN JAYARATHNE</t>
  </si>
  <si>
    <t>SHAHADAT HOSSAIN</t>
  </si>
  <si>
    <t>MARKARIO</t>
  </si>
  <si>
    <t>HNIN YU YU HLAING</t>
  </si>
  <si>
    <t>CHIT SU SU THEINT ZUN</t>
  </si>
  <si>
    <t>HANNI ZAW OO</t>
  </si>
  <si>
    <t>PRADHAN ANMOLISHA</t>
    <phoneticPr fontId="3"/>
  </si>
  <si>
    <t>THEINT THEINT PHYO</t>
  </si>
  <si>
    <t>SHRIJANA WAIBA</t>
  </si>
  <si>
    <t>CHAUDHARY RAMESH</t>
  </si>
  <si>
    <t>KHEM SHIWAKOTI</t>
  </si>
  <si>
    <t>HEM BAHADUR BASNET</t>
  </si>
  <si>
    <t>DAWANG TAMANG</t>
  </si>
  <si>
    <t>BHARAT GHARTI MAGAR</t>
    <phoneticPr fontId="3"/>
  </si>
  <si>
    <t>SEDHAI ANUSHA</t>
  </si>
  <si>
    <t>YAMIN PO PO THIN</t>
    <phoneticPr fontId="3"/>
  </si>
  <si>
    <t>NURUL AMIN</t>
  </si>
  <si>
    <t>AMIR FAHAD KHANDAKER PIAS</t>
    <phoneticPr fontId="3"/>
  </si>
  <si>
    <t>IKRAMUZZAMAN MD</t>
  </si>
  <si>
    <t>JOBAIDA HOSSAN PAYEL</t>
  </si>
  <si>
    <t>KYAW NYEIN HLAING</t>
  </si>
  <si>
    <t>AA KYIN NAR NAY KHYEE</t>
  </si>
  <si>
    <t xml:space="preserve">KHINE YAMIN OO </t>
  </si>
  <si>
    <r>
      <t>李 宗</t>
    </r>
    <r>
      <rPr>
        <sz val="11"/>
        <rFont val="Microsoft JhengHei"/>
        <family val="2"/>
        <charset val="136"/>
      </rPr>
      <t>燊</t>
    </r>
    <phoneticPr fontId="3"/>
  </si>
  <si>
    <t>TRAN VIET NHAT</t>
  </si>
  <si>
    <t>HOANG THANH TUNG</t>
  </si>
  <si>
    <t>B K KUMAR</t>
  </si>
  <si>
    <t>MITTHU RASKOTI</t>
  </si>
  <si>
    <t>PUNAM SAPKOTA</t>
  </si>
  <si>
    <t>THAPA ANJILA</t>
  </si>
  <si>
    <t>HNIN PA PA MOE</t>
  </si>
  <si>
    <t>MD.RASEL</t>
  </si>
  <si>
    <t>MD.ANAMUL HOQUE</t>
  </si>
  <si>
    <t>MD SAIFUL ISLAM SARKER</t>
  </si>
  <si>
    <t>MD.ABU MUSA</t>
  </si>
  <si>
    <t>MEHARAB HOSSAIN</t>
  </si>
  <si>
    <t>MD.SADEKUR RAHMAN ROMAN</t>
  </si>
  <si>
    <t>OBAYDUL ISLAM</t>
  </si>
  <si>
    <t>TOWHIDUL ISLAM</t>
  </si>
  <si>
    <t>MD KAIUMUN HASAN OMI</t>
  </si>
  <si>
    <t>瞿 萌</t>
    <phoneticPr fontId="3"/>
  </si>
  <si>
    <t>隋 金玉</t>
  </si>
  <si>
    <t>呉 妍</t>
    <phoneticPr fontId="3"/>
  </si>
  <si>
    <t>孫 小冉</t>
  </si>
  <si>
    <t>矯 欣茹</t>
  </si>
  <si>
    <t>UMA PHAGO</t>
  </si>
  <si>
    <t>KHADKA SUJAN</t>
  </si>
  <si>
    <t>ZWE MARN OO</t>
  </si>
  <si>
    <t>PYAE PHYO HEIN</t>
  </si>
  <si>
    <t xml:space="preserve">YAMONE PHOO </t>
  </si>
  <si>
    <t>KAMRUL HASSAN SHIAM</t>
  </si>
  <si>
    <t>REZWANA TASNIM NAWMI</t>
    <phoneticPr fontId="3"/>
  </si>
  <si>
    <t>GOLAM SAJJAD</t>
  </si>
  <si>
    <t>MANIK MIA</t>
  </si>
  <si>
    <t>ISLAM MD SAIDUL</t>
  </si>
  <si>
    <t>MD.EASIN HOSSEN REDOY</t>
  </si>
  <si>
    <t>TIN ZAW WIN</t>
  </si>
  <si>
    <t>OUEDRAOGO SAHOUDATOU</t>
  </si>
  <si>
    <t>AMRITA TIMALSINA</t>
  </si>
  <si>
    <t>SAPANA ADHIKARI</t>
  </si>
  <si>
    <t>SURAJ KUMAR RAMDAM</t>
  </si>
  <si>
    <t xml:space="preserve">RAM CHANDRA DHAKAL </t>
    <phoneticPr fontId="3"/>
  </si>
  <si>
    <t>SANGITA BHANDARI</t>
  </si>
  <si>
    <t xml:space="preserve">PRAMISHA JIMI </t>
  </si>
  <si>
    <t>HARI BOHARA</t>
  </si>
  <si>
    <t>MD.RIYAJAT</t>
  </si>
  <si>
    <t>MD. TAMIM IKBAL AKASH</t>
  </si>
  <si>
    <t>SHARIAR NAZIM JOY</t>
  </si>
  <si>
    <t>EMON</t>
  </si>
  <si>
    <t>ZIAUL ISLAM</t>
  </si>
  <si>
    <t>ASIF MD</t>
  </si>
  <si>
    <t xml:space="preserve">JOY SRII SHOYON SARKAR </t>
  </si>
  <si>
    <t>HOSSAIN MD AHAD</t>
  </si>
  <si>
    <t>DISSANAYAKE IMIHAMI MUDIYANSELAGE MALINDU PRABHASWARA</t>
  </si>
  <si>
    <t>GURUNG PUSPA</t>
  </si>
  <si>
    <t>RAKESH ROSHAN RAWAL</t>
  </si>
  <si>
    <t>ANIL BHUSAL</t>
  </si>
  <si>
    <t>BIWASH KHADKA</t>
  </si>
  <si>
    <t xml:space="preserve">DEVRAJ BASNET </t>
  </si>
  <si>
    <t>ALIF AHSAN SAHED</t>
  </si>
  <si>
    <t xml:space="preserve">JOY MD SABBIR AHMED KHAN </t>
  </si>
  <si>
    <t>SAKIL AHMMED</t>
  </si>
  <si>
    <t>SHIHAB ISTIAK ORIDRO</t>
  </si>
  <si>
    <t>MD AHSAN HABIB RAJU</t>
  </si>
  <si>
    <t>SHAHINUR AKTER JORNA</t>
  </si>
  <si>
    <t>MASUD PARVES</t>
  </si>
  <si>
    <t>郭 銘敖</t>
    <rPh sb="0" eb="1">
      <t>カク</t>
    </rPh>
    <rPh sb="2" eb="3">
      <t>メイ</t>
    </rPh>
    <rPh sb="3" eb="4">
      <t>ゴウ</t>
    </rPh>
    <phoneticPr fontId="4"/>
  </si>
  <si>
    <t>BANJADE SUBHAS</t>
  </si>
  <si>
    <t>TILAK PANDIT</t>
  </si>
  <si>
    <t>MD NAIEMOL ISLAM</t>
  </si>
  <si>
    <t>MOHAMED KAMALDEEN MOHAMED FESAL</t>
  </si>
  <si>
    <t>MOE THAE</t>
  </si>
  <si>
    <t>KYAW MIN SAN</t>
  </si>
  <si>
    <t>WANIGANETHTHI VIDANARALALAGE ACHINDRA THISARANI WANIGANETHTHI</t>
    <phoneticPr fontId="3"/>
  </si>
  <si>
    <t>李 凱</t>
    <rPh sb="0" eb="1">
      <t>リ</t>
    </rPh>
    <rPh sb="2" eb="3">
      <t>カイ</t>
    </rPh>
    <phoneticPr fontId="3"/>
  </si>
  <si>
    <t>孫 有卓</t>
    <rPh sb="2" eb="3">
      <t>ア</t>
    </rPh>
    <rPh sb="3" eb="4">
      <t>スグル</t>
    </rPh>
    <phoneticPr fontId="3"/>
  </si>
  <si>
    <t>THET HTET MOE OO</t>
  </si>
  <si>
    <t>SI THU KYAW</t>
  </si>
  <si>
    <t>AUNG MYAT HEIN</t>
  </si>
  <si>
    <t>ZAW MIN HTAY</t>
  </si>
  <si>
    <t>SANDESH DUWADI</t>
  </si>
  <si>
    <t>PRAMISHA GC</t>
  </si>
  <si>
    <t>BED KUMARI GAUTAM</t>
  </si>
  <si>
    <t>TAMANG BIPIN BAHADUR</t>
  </si>
  <si>
    <t>MALLIKA SINGH CHHETRI</t>
    <phoneticPr fontId="3"/>
  </si>
  <si>
    <t>ILANGAKOON LEKAM RALALAGE LAKSHITHA DHANANJAYA BANDARA WIJEKOON</t>
  </si>
  <si>
    <t>JAYASUNDARA RANASINGHE MUDIYANSELAGE CHAMIKA MADUSHANKA BANDARA</t>
  </si>
  <si>
    <t>MOHOTTI MUDIYANSELAGE LAKSHAN NIROSHANA SENAVIRATHNA</t>
  </si>
  <si>
    <t>MALLIKAKANKANAMALAGE THARUSHI NAVODYA CHANDRASEKARA</t>
  </si>
  <si>
    <t>張 洪宇</t>
  </si>
  <si>
    <t>NGUYEN THI ANH THU</t>
  </si>
  <si>
    <t>MANISH ACHARYA</t>
  </si>
  <si>
    <t>HSU MYAT AUNG</t>
  </si>
  <si>
    <t>SU MYAT WAI</t>
  </si>
  <si>
    <t>SUJINA SAPKOTA</t>
  </si>
  <si>
    <t>UKESH RAI</t>
  </si>
  <si>
    <t>TAHER SHADIN</t>
  </si>
  <si>
    <t>KAIF MD. KAWSAR</t>
  </si>
  <si>
    <t>MD. MASUM</t>
  </si>
  <si>
    <t>BEMINA HENNEDIGE DASHANA PRABATH PEIRIS</t>
  </si>
  <si>
    <t>MALIMBADAGE DILSHAN MADHUSHANKA</t>
  </si>
  <si>
    <t>KARANAKAGE BHAGYA NETHMINI</t>
  </si>
  <si>
    <t>RAI NIMISHA</t>
  </si>
  <si>
    <t>RUPESH CHAUDHARY</t>
  </si>
  <si>
    <t>PRASIDDIKA POKHREL</t>
  </si>
  <si>
    <t>JUBAIYER AHAMMED</t>
  </si>
  <si>
    <t>TRAN MINH DUC</t>
  </si>
  <si>
    <t>TAMANG SHREEJANA</t>
  </si>
  <si>
    <t>KABITA SHRESTHA</t>
  </si>
  <si>
    <t>LAMA SHANTI</t>
  </si>
  <si>
    <t>MD. ABDUL KARIM</t>
  </si>
  <si>
    <t>HOSSAIN SARUAR</t>
  </si>
  <si>
    <t>MD. HASIBUL HOQUE</t>
  </si>
  <si>
    <t>HASIB MD. ABDULLAH AL</t>
  </si>
  <si>
    <t>MD. ZAHIDUL ISLAM</t>
  </si>
  <si>
    <t>TAHMINA PARVIN</t>
  </si>
  <si>
    <t>KABYO MD. HASIN LABIB REZA</t>
  </si>
  <si>
    <t>KABIR MD. RAYHAN</t>
  </si>
  <si>
    <t>GODIGAMUWAGE THESHAN SANDEEPA GODIGAMUWA</t>
  </si>
  <si>
    <t>SUDIP SILWAL</t>
  </si>
  <si>
    <t>DIPU SHRESTHA</t>
  </si>
  <si>
    <t>ARJUN BUDHA</t>
  </si>
  <si>
    <t>LINDAMULLAGE CHARUNI DILSHANI BANDARA</t>
  </si>
  <si>
    <t>KHANAL PRAKASH</t>
  </si>
  <si>
    <t>PEMBA TSHERING LAMA</t>
    <phoneticPr fontId="3"/>
  </si>
  <si>
    <t>PUJA KUMARI THAPA</t>
    <phoneticPr fontId="3"/>
  </si>
  <si>
    <t>RACHANA RAYA</t>
  </si>
  <si>
    <t>MANDIRA LAMSAL</t>
  </si>
  <si>
    <t>SAMITA KARKI</t>
    <phoneticPr fontId="3"/>
  </si>
  <si>
    <t>ANU SHRESTHA</t>
  </si>
  <si>
    <t>DIPAS PANDEY</t>
    <phoneticPr fontId="3"/>
  </si>
  <si>
    <t>APSARA ADHIKARI</t>
    <phoneticPr fontId="3"/>
  </si>
  <si>
    <t>MANISH GHIMIRE</t>
    <phoneticPr fontId="3"/>
  </si>
  <si>
    <t>NIRMALA BOHARA</t>
  </si>
  <si>
    <t>SUSHMITA OLI</t>
    <phoneticPr fontId="3"/>
  </si>
  <si>
    <t>AMIN AL</t>
  </si>
  <si>
    <t>MD SHARIFUL ISLAM CHOWDHURY</t>
  </si>
  <si>
    <t>HABIBUR RAHMAN</t>
  </si>
  <si>
    <t>AAISHA LIMBU</t>
    <phoneticPr fontId="3"/>
  </si>
  <si>
    <t>NAHAR MOST SADIKUN</t>
    <phoneticPr fontId="3"/>
  </si>
  <si>
    <t>MALIK AYESHA SAJID</t>
    <phoneticPr fontId="3"/>
  </si>
  <si>
    <t>邱 継森</t>
  </si>
  <si>
    <t>PHOO EAIN SI</t>
  </si>
  <si>
    <t>SOE SOE SAN</t>
  </si>
  <si>
    <t>BAW MYAR</t>
  </si>
  <si>
    <t>THA ZIN PHYU</t>
  </si>
  <si>
    <t>NYAN LIN HTET</t>
  </si>
  <si>
    <t xml:space="preserve">CHUU WATHONE </t>
  </si>
  <si>
    <t>WIN MYAT THU</t>
  </si>
  <si>
    <t>WINE</t>
  </si>
  <si>
    <t>MOH MOH THU</t>
  </si>
  <si>
    <t>KAUNG ZIN KHANT</t>
  </si>
  <si>
    <t>THU ZAR WIN</t>
  </si>
  <si>
    <t xml:space="preserve">YATI KO KO </t>
  </si>
  <si>
    <t>RAKIBUL HASAN</t>
  </si>
  <si>
    <t>MD.SHARIF UDDIN</t>
  </si>
  <si>
    <t xml:space="preserve">RAIHAN MEHRAB HOSSAIN </t>
  </si>
  <si>
    <t>BHAWANA PANDEY</t>
  </si>
  <si>
    <t>SHIHAB AHAMED FAHIM</t>
    <phoneticPr fontId="3"/>
  </si>
  <si>
    <t>胡 文成</t>
  </si>
  <si>
    <t>張 宇洋</t>
    <rPh sb="0" eb="1">
      <t>チョウ</t>
    </rPh>
    <rPh sb="2" eb="4">
      <t>タカヒロ</t>
    </rPh>
    <phoneticPr fontId="3"/>
  </si>
  <si>
    <t>鄭 佳発</t>
    <rPh sb="2" eb="3">
      <t>ケイ</t>
    </rPh>
    <rPh sb="3" eb="4">
      <t>ハッ</t>
    </rPh>
    <phoneticPr fontId="3"/>
  </si>
  <si>
    <t>付 佳順</t>
    <rPh sb="3" eb="4">
      <t>ジュン</t>
    </rPh>
    <phoneticPr fontId="3"/>
  </si>
  <si>
    <t>YE MHAN OO</t>
  </si>
  <si>
    <t>MD YASIR ARAFAT</t>
  </si>
  <si>
    <t>HASAN MD MEHEDI</t>
  </si>
  <si>
    <t xml:space="preserve">MD MASUM BILLAH </t>
  </si>
  <si>
    <t xml:space="preserve">SAKIBUL HASAN POLASH </t>
  </si>
  <si>
    <t xml:space="preserve">MAHMUD MIRAZ </t>
    <phoneticPr fontId="3"/>
  </si>
  <si>
    <t>JAWAD AHMED JEHAN</t>
  </si>
  <si>
    <t>MOHAMMAD HOZAIFA</t>
  </si>
  <si>
    <t>ABDUR RAHMAN IMRAN</t>
  </si>
  <si>
    <t>MD.SAGAR KHANDAKER</t>
  </si>
  <si>
    <t>AMIR HAMZA BHUIYAN RONY</t>
  </si>
  <si>
    <t>ASADUZZAMAN NUR</t>
  </si>
  <si>
    <t>TANVIR AHAMMED ABIR</t>
  </si>
  <si>
    <t>DAS ANJALI</t>
  </si>
  <si>
    <t>有</t>
    <rPh sb="0" eb="1">
      <t>ア</t>
    </rPh>
    <phoneticPr fontId="3"/>
  </si>
  <si>
    <t>CAD製図専門学校</t>
    <phoneticPr fontId="3"/>
  </si>
  <si>
    <t>プロスペラ学院ビジネス専門学校</t>
    <phoneticPr fontId="3"/>
  </si>
  <si>
    <t>東亜経理専門学校</t>
    <phoneticPr fontId="3"/>
  </si>
  <si>
    <t>東京自動車大学校</t>
    <phoneticPr fontId="3"/>
  </si>
  <si>
    <t>関西国際旅行・ホテル専門学校</t>
    <rPh sb="0" eb="4">
      <t>カンサイコクサイ</t>
    </rPh>
    <rPh sb="4" eb="6">
      <t>リョコウ</t>
    </rPh>
    <rPh sb="10" eb="14">
      <t>センモンガッコウ</t>
    </rPh>
    <phoneticPr fontId="3"/>
  </si>
  <si>
    <t>神戸親和大学</t>
    <rPh sb="0" eb="6">
      <t>コウベシンワダイガク</t>
    </rPh>
    <phoneticPr fontId="3"/>
  </si>
  <si>
    <t>駿台観光＆外語ビジネス専門学校</t>
    <phoneticPr fontId="3"/>
  </si>
  <si>
    <t>東京外語専門学校</t>
    <phoneticPr fontId="3"/>
  </si>
  <si>
    <t>日本理工情報専門学校</t>
    <phoneticPr fontId="3"/>
  </si>
  <si>
    <t>中央工学校OSAKA</t>
    <phoneticPr fontId="3"/>
  </si>
  <si>
    <t>愛甲学院専門学校</t>
    <rPh sb="0" eb="2">
      <t>アイコウ</t>
    </rPh>
    <rPh sb="2" eb="4">
      <t>ガクイン</t>
    </rPh>
    <rPh sb="4" eb="8">
      <t>センモンガッコウ</t>
    </rPh>
    <phoneticPr fontId="3"/>
  </si>
  <si>
    <t>太田工科専門学校</t>
    <phoneticPr fontId="3"/>
  </si>
  <si>
    <t>東京国際ビジネスカレッジ神戸校</t>
    <phoneticPr fontId="3"/>
  </si>
  <si>
    <t>和歌山社会福祉専門学校</t>
    <phoneticPr fontId="3"/>
  </si>
  <si>
    <t>大阪観光ビジネス学院</t>
    <phoneticPr fontId="3"/>
  </si>
  <si>
    <t>関西国際旅行・ホテル専門学校</t>
    <phoneticPr fontId="3"/>
  </si>
  <si>
    <t>中央美術学園</t>
    <phoneticPr fontId="3"/>
  </si>
  <si>
    <t>専門学校アートカレッジ神戸</t>
    <rPh sb="0" eb="4">
      <t>センモンガッコウ</t>
    </rPh>
    <rPh sb="11" eb="13">
      <t>コウベ</t>
    </rPh>
    <phoneticPr fontId="3"/>
  </si>
  <si>
    <t>浦和専門学校</t>
    <phoneticPr fontId="3"/>
  </si>
  <si>
    <t>読売自動車大学校</t>
    <phoneticPr fontId="3"/>
  </si>
  <si>
    <t>トヨタ神戸自動車大学校</t>
    <phoneticPr fontId="3"/>
  </si>
  <si>
    <t>日本国際工科専門学校</t>
    <phoneticPr fontId="3"/>
  </si>
  <si>
    <t>ICT専門学校</t>
    <phoneticPr fontId="3"/>
  </si>
  <si>
    <t>日産栃木自動車大学校</t>
    <phoneticPr fontId="3"/>
  </si>
  <si>
    <t>退学</t>
  </si>
  <si>
    <t>国際観光専門学校名古屋校</t>
    <phoneticPr fontId="3"/>
  </si>
  <si>
    <t>日本デザイナー芸術学院</t>
    <phoneticPr fontId="3"/>
  </si>
  <si>
    <t>大阪コミュニティーワーカー専門学校</t>
    <rPh sb="13" eb="17">
      <t>センモンガッコウ</t>
    </rPh>
    <phoneticPr fontId="3"/>
  </si>
  <si>
    <t>ポプラ介護福祉学校</t>
    <phoneticPr fontId="3"/>
  </si>
  <si>
    <t>GIA 専門学校 新潟国際自動車大学校</t>
    <phoneticPr fontId="3"/>
  </si>
  <si>
    <t>中野スクールオブビジネス</t>
    <phoneticPr fontId="3"/>
  </si>
  <si>
    <t>日本工科大学校</t>
    <rPh sb="0" eb="2">
      <t>ニホン</t>
    </rPh>
    <rPh sb="2" eb="4">
      <t>コウカ</t>
    </rPh>
    <rPh sb="4" eb="7">
      <t>ダイガッコウ</t>
    </rPh>
    <phoneticPr fontId="3"/>
  </si>
  <si>
    <t>ECCコンピュータ専門学校</t>
    <rPh sb="9" eb="13">
      <t>センモンガッコウ</t>
    </rPh>
    <phoneticPr fontId="3"/>
  </si>
  <si>
    <t>WIN THEINGI SHWE</t>
    <phoneticPr fontId="3"/>
  </si>
  <si>
    <t>MD. MOHIN UDDIN DEWAN</t>
    <phoneticPr fontId="3"/>
  </si>
  <si>
    <t xml:space="preserve">DABNATH TAPO </t>
    <phoneticPr fontId="3"/>
  </si>
  <si>
    <t>MAY THAZIN PHOO</t>
    <phoneticPr fontId="3"/>
  </si>
  <si>
    <t>PATHAK SADHANA</t>
    <phoneticPr fontId="3"/>
  </si>
  <si>
    <t>BISHAM KHADKA</t>
    <phoneticPr fontId="3"/>
  </si>
  <si>
    <t>大阪コミュニティーワーカー専門学校</t>
    <phoneticPr fontId="3"/>
  </si>
  <si>
    <t>ANJALI LO TAMANG</t>
    <phoneticPr fontId="3"/>
  </si>
  <si>
    <t>CHAN MYAE THEINT SOE</t>
    <phoneticPr fontId="3"/>
  </si>
  <si>
    <t>SUNAR ROSHANI</t>
    <phoneticPr fontId="3"/>
  </si>
  <si>
    <t>東京マルチ・AI専門学校</t>
    <phoneticPr fontId="3"/>
  </si>
  <si>
    <t>MOHAMMAD ULLAH MAHFUJ</t>
    <phoneticPr fontId="3"/>
  </si>
  <si>
    <t>AMBIKA DARJI</t>
    <phoneticPr fontId="3"/>
  </si>
  <si>
    <t>SAMARAWEERA KUSAL DILITHA</t>
    <phoneticPr fontId="3"/>
  </si>
  <si>
    <t>DISSANAYAKA MUDIYANSELAGE CHAMUDITHA RANDUNU BANDARA</t>
    <phoneticPr fontId="3"/>
  </si>
  <si>
    <t>HUKUMRAJ KHATRI</t>
    <phoneticPr fontId="3"/>
  </si>
  <si>
    <t>DEDDUWA PATHIRANAGE PETHUM CHANUKA</t>
    <phoneticPr fontId="3"/>
  </si>
  <si>
    <t>BUI VIET HOANG</t>
    <phoneticPr fontId="3"/>
  </si>
  <si>
    <t>宋 嘯天</t>
    <phoneticPr fontId="3"/>
  </si>
  <si>
    <t>○</t>
    <phoneticPr fontId="3"/>
  </si>
  <si>
    <t>C5</t>
  </si>
  <si>
    <t>C5</t>
    <phoneticPr fontId="3"/>
  </si>
  <si>
    <t>S</t>
  </si>
  <si>
    <t>B1</t>
  </si>
  <si>
    <t>李 双</t>
  </si>
  <si>
    <t>李 欣怡</t>
  </si>
  <si>
    <t>石 浩林</t>
  </si>
  <si>
    <t>王 福広</t>
  </si>
  <si>
    <t>武 俊剛</t>
  </si>
  <si>
    <t>A</t>
  </si>
  <si>
    <t>大学院</t>
  </si>
  <si>
    <t>神戸市外国語大学大学院研究生</t>
    <rPh sb="0" eb="8">
      <t>コウベシガイコクゴダイガク</t>
    </rPh>
    <rPh sb="8" eb="11">
      <t>ダイガクイン</t>
    </rPh>
    <rPh sb="11" eb="14">
      <t>ケンキュウセイ</t>
    </rPh>
    <phoneticPr fontId="3"/>
  </si>
  <si>
    <t>C6</t>
    <phoneticPr fontId="3"/>
  </si>
  <si>
    <t>鄭 暁海</t>
    <phoneticPr fontId="3"/>
  </si>
  <si>
    <t>陳 偉</t>
    <phoneticPr fontId="3"/>
  </si>
  <si>
    <t>退学</t>
    <rPh sb="0" eb="2">
      <t>タイガク</t>
    </rPh>
    <phoneticPr fontId="3"/>
  </si>
  <si>
    <t>A4</t>
    <phoneticPr fontId="3"/>
  </si>
  <si>
    <t>劉 丞</t>
    <phoneticPr fontId="3"/>
  </si>
  <si>
    <t>蒋 愛蘭</t>
    <phoneticPr fontId="3"/>
  </si>
  <si>
    <t>楊 楚驍</t>
    <phoneticPr fontId="3"/>
  </si>
  <si>
    <t>A1</t>
    <phoneticPr fontId="3"/>
  </si>
  <si>
    <t>神戸・甲陽音楽&amp;ダンス専門学校</t>
    <phoneticPr fontId="3"/>
  </si>
  <si>
    <t>神戸電子専門学校</t>
    <rPh sb="0" eb="4">
      <t>コウベデンシ</t>
    </rPh>
    <rPh sb="4" eb="8">
      <t>センモンガッコウ</t>
    </rPh>
    <phoneticPr fontId="3"/>
  </si>
  <si>
    <t>神戸電子専門学校</t>
    <rPh sb="0" eb="8">
      <t>コウベ</t>
    </rPh>
    <phoneticPr fontId="3"/>
  </si>
  <si>
    <t>流通科学大学</t>
    <rPh sb="0" eb="6">
      <t>リュウツウカガクダイガク</t>
    </rPh>
    <phoneticPr fontId="3"/>
  </si>
  <si>
    <t>大学</t>
    <rPh sb="0" eb="2">
      <t>ダイガク</t>
    </rPh>
    <phoneticPr fontId="3"/>
  </si>
  <si>
    <t>神戸国際大学</t>
    <rPh sb="0" eb="6">
      <t>コウベコクサイダイガク</t>
    </rPh>
    <phoneticPr fontId="3"/>
  </si>
  <si>
    <t>YOON LAE LAE TUN</t>
    <phoneticPr fontId="3"/>
  </si>
  <si>
    <t>兵庫大学</t>
    <rPh sb="0" eb="4">
      <t>ヒョウゴダイガク</t>
    </rPh>
    <phoneticPr fontId="3"/>
  </si>
  <si>
    <t>中央工学校OSAKA</t>
    <phoneticPr fontId="3"/>
  </si>
  <si>
    <t>駿台観光＆ホテルブライダルビジネスカレッジ</t>
    <phoneticPr fontId="3"/>
  </si>
  <si>
    <t>大阪産業大学</t>
    <phoneticPr fontId="3"/>
  </si>
  <si>
    <t>名古屋外語ホテルブライダル専門学校</t>
    <phoneticPr fontId="3"/>
  </si>
  <si>
    <t>関西経理専門学校</t>
    <phoneticPr fontId="3"/>
  </si>
  <si>
    <t>神戸YMCA学院専門学校</t>
    <phoneticPr fontId="3"/>
  </si>
  <si>
    <t>日本経済大学</t>
    <phoneticPr fontId="3"/>
  </si>
  <si>
    <t>浦和専門学校</t>
    <phoneticPr fontId="3"/>
  </si>
  <si>
    <t>愛甲学院専門学校</t>
    <phoneticPr fontId="3"/>
  </si>
  <si>
    <t>新潟食料農業大学</t>
    <phoneticPr fontId="3"/>
  </si>
  <si>
    <t>千葉モードビジネス専門学校</t>
    <phoneticPr fontId="3"/>
  </si>
  <si>
    <t>東京グローバルビジネス専門学校</t>
    <phoneticPr fontId="3"/>
  </si>
  <si>
    <t>大阪社会福祉専門学校</t>
    <phoneticPr fontId="3"/>
  </si>
  <si>
    <t>麻生専門学校</t>
    <phoneticPr fontId="3"/>
  </si>
  <si>
    <t>関西国際大学</t>
    <phoneticPr fontId="3"/>
  </si>
  <si>
    <t>太田工科専門学校</t>
    <phoneticPr fontId="3"/>
  </si>
  <si>
    <t>SAMIUL ISLAM</t>
    <phoneticPr fontId="3"/>
  </si>
  <si>
    <t xml:space="preserve">PHYO THIHA KYAW </t>
    <phoneticPr fontId="3"/>
  </si>
  <si>
    <t>MAHATO BIJAY KUMAR</t>
    <phoneticPr fontId="3"/>
  </si>
  <si>
    <t>HNIN PWINT WAI</t>
    <phoneticPr fontId="3"/>
  </si>
  <si>
    <t>PAWAN CHONGBANG</t>
    <phoneticPr fontId="3"/>
  </si>
  <si>
    <t>LAMA RANJITA</t>
    <phoneticPr fontId="3"/>
  </si>
  <si>
    <t>KARAN TAMANG</t>
    <phoneticPr fontId="3"/>
  </si>
  <si>
    <t>THAW NANDAR AUNG</t>
    <phoneticPr fontId="3"/>
  </si>
  <si>
    <t>有</t>
    <rPh sb="0" eb="1">
      <t>アリ</t>
    </rPh>
    <phoneticPr fontId="3"/>
  </si>
  <si>
    <t>兵庫県立総合衛生学院</t>
  </si>
  <si>
    <t>兵庫県立総合衛生学院</t>
    <phoneticPr fontId="3"/>
  </si>
  <si>
    <t>ECC国際外語専門学校</t>
  </si>
  <si>
    <t>立命館アジア太平洋大学</t>
    <rPh sb="0" eb="11">
      <t>リツメイカンアジア</t>
    </rPh>
    <phoneticPr fontId="3"/>
  </si>
  <si>
    <t>神戸芸術工科大学</t>
    <phoneticPr fontId="3"/>
  </si>
  <si>
    <t>南山大学大学院研修生</t>
    <phoneticPr fontId="3"/>
  </si>
  <si>
    <t>神戸国際調理製菓専門学校</t>
  </si>
  <si>
    <t>神戸国際調理製菓専門学校</t>
    <phoneticPr fontId="3"/>
  </si>
  <si>
    <t>太田工科専門学校</t>
  </si>
  <si>
    <t>関西国際旅行・ホテル専門学校</t>
  </si>
  <si>
    <t>トヨタ神戸自動車大学校</t>
  </si>
  <si>
    <t>HTET EAINDRAY LINN</t>
    <phoneticPr fontId="3"/>
  </si>
  <si>
    <t>SHAIDUL ISLAM</t>
    <phoneticPr fontId="3"/>
  </si>
  <si>
    <t>ECCコンピュータ専門学校</t>
  </si>
  <si>
    <t>ECC国際外語専門学校</t>
    <phoneticPr fontId="3"/>
  </si>
  <si>
    <t>日本理工情報専門学校</t>
  </si>
  <si>
    <t>大阪社会福祉専門学校</t>
  </si>
  <si>
    <t>ポプラ介護福祉学校</t>
  </si>
  <si>
    <t>駿台観光＆外語ビジネス専門学校</t>
  </si>
  <si>
    <t>東京グローバルビジネス専門学校</t>
  </si>
  <si>
    <t>大阪コミュニティーワーカー専門学校</t>
  </si>
  <si>
    <t>国際観光ビジネス学院</t>
  </si>
  <si>
    <t>駿台観光＆ホテルブライダルビジネスカレッジ</t>
  </si>
  <si>
    <t>麻生専門学校</t>
  </si>
  <si>
    <t>千葉モードビジネス専門学校</t>
  </si>
  <si>
    <t>名古屋外語ホテルブライダル専門学校</t>
  </si>
  <si>
    <t>日本デザイナー芸術学院</t>
  </si>
  <si>
    <t>GIA 専門学校 新潟国際自動車大学校</t>
  </si>
  <si>
    <t>日本国際工科専門学校</t>
  </si>
  <si>
    <t>神戸YMCA学院専門学校</t>
  </si>
  <si>
    <t>中野スクールオブビジネス</t>
  </si>
  <si>
    <t>東京外語専門学校</t>
  </si>
  <si>
    <t>国際観光専門学校名古屋校</t>
  </si>
  <si>
    <t>関西経理専門学校</t>
  </si>
  <si>
    <t>神戸・甲陽音楽&amp;ダンス専門学校</t>
  </si>
  <si>
    <t>プロスペラ学院ビジネス専門学校</t>
  </si>
  <si>
    <t>東京自動車大学校</t>
  </si>
  <si>
    <t>HEIN THURA NAY YU</t>
    <phoneticPr fontId="3"/>
  </si>
  <si>
    <t>MREDUL CHOUDHURY</t>
    <phoneticPr fontId="3"/>
  </si>
  <si>
    <t>SAI PAN SENG</t>
    <phoneticPr fontId="3"/>
  </si>
  <si>
    <t>ECCコンピュータ専門学校</t>
    <phoneticPr fontId="3"/>
  </si>
  <si>
    <t>流通科学大学</t>
    <phoneticPr fontId="3"/>
  </si>
  <si>
    <t>大阪女学院大学</t>
    <phoneticPr fontId="3"/>
  </si>
  <si>
    <t>桃山学院大学</t>
    <phoneticPr fontId="3"/>
  </si>
  <si>
    <t>神戸国際大学</t>
    <phoneticPr fontId="3"/>
  </si>
  <si>
    <t>神戸親和大学</t>
    <phoneticPr fontId="3"/>
  </si>
  <si>
    <t>特定活動ビザ</t>
  </si>
  <si>
    <t>エール学園</t>
    <rPh sb="3" eb="5">
      <t>ガクエン</t>
    </rPh>
    <phoneticPr fontId="3"/>
  </si>
  <si>
    <t>専門学校日本マンガ芸術学院</t>
    <phoneticPr fontId="3"/>
  </si>
  <si>
    <t>芦屋大学</t>
    <phoneticPr fontId="3"/>
  </si>
  <si>
    <t>神戸松蔭大学</t>
  </si>
  <si>
    <t>神戸松蔭大学</t>
    <phoneticPr fontId="3"/>
  </si>
  <si>
    <t>神戸電子専門学校</t>
    <phoneticPr fontId="3"/>
  </si>
  <si>
    <t>日本コンピュータ専門学校</t>
    <rPh sb="8" eb="12">
      <t>センモンガッコウ</t>
    </rPh>
    <phoneticPr fontId="3"/>
  </si>
  <si>
    <t>専門学校日本デジタルカレッジ</t>
    <rPh sb="0" eb="4">
      <t>センモンガッコウ</t>
    </rPh>
    <phoneticPr fontId="3"/>
  </si>
  <si>
    <t>日本コンピュータ専門学校</t>
    <phoneticPr fontId="3"/>
  </si>
  <si>
    <t>MEHEDI HASAN</t>
    <phoneticPr fontId="3"/>
  </si>
  <si>
    <t>SOLA学園</t>
    <phoneticPr fontId="3"/>
  </si>
  <si>
    <t>関西国際大学</t>
  </si>
  <si>
    <t>兵庫大学</t>
  </si>
  <si>
    <t>神戸芸術工科大学</t>
  </si>
  <si>
    <t>神戸市外国語大学大学院研究生</t>
  </si>
  <si>
    <t>立命館アジア太平洋大学</t>
  </si>
  <si>
    <t>桃山学院大学</t>
  </si>
  <si>
    <t>大阪産業大学</t>
  </si>
  <si>
    <t>南山大学大学院研修生</t>
  </si>
  <si>
    <t>新潟食料農業大学</t>
  </si>
  <si>
    <t>日本経済大学渋谷キャンパス</t>
  </si>
  <si>
    <t>日本経済大学渋谷キャンパス</t>
    <phoneticPr fontId="3"/>
  </si>
  <si>
    <t>四国大学短期学部</t>
  </si>
  <si>
    <t>四国大学短期学部</t>
    <phoneticPr fontId="3"/>
  </si>
  <si>
    <t>卒業</t>
  </si>
  <si>
    <t>留学国変更</t>
  </si>
  <si>
    <t>SOLA学園</t>
  </si>
  <si>
    <t>エール学園</t>
  </si>
  <si>
    <t>大阪観光ビジネス学院</t>
    <rPh sb="0" eb="2">
      <t>オオサカ</t>
    </rPh>
    <phoneticPr fontId="3"/>
  </si>
  <si>
    <t>転校</t>
  </si>
  <si>
    <t>帰国</t>
    <rPh sb="0" eb="2">
      <t>キコク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</si>
</sst>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&quot;人&quot;"/>
    <numFmt numFmtId="177" formatCode="0.0%"/>
    <numFmt numFmtId="178" formatCode="[$-F800]dddd\,\ mmmm\ dd\,\ yyyy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6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7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26">
    <cellStyle name="パーセント 2" xfId="6" xr:uid="{00000000-0005-0000-0000-000000000000}"/>
    <cellStyle name="パーセント 2 2" xfId="11" xr:uid="{00000000-0005-0000-0000-000001000000}"/>
    <cellStyle name="パーセント 2 3" xfId="16" xr:uid="{00000000-0005-0000-0000-000002000000}"/>
    <cellStyle name="パーセント 2 4" xfId="21" xr:uid="{00000000-0005-0000-0000-000003000000}"/>
    <cellStyle name="パーセント 3" xfId="8" xr:uid="{00000000-0005-0000-0000-000004000000}"/>
    <cellStyle name="パーセント 3 2" xfId="13" xr:uid="{00000000-0005-0000-0000-000005000000}"/>
    <cellStyle name="パーセント 3 3" xfId="18" xr:uid="{00000000-0005-0000-0000-000006000000}"/>
    <cellStyle name="パーセント 3 4" xfId="23" xr:uid="{00000000-0005-0000-0000-000007000000}"/>
    <cellStyle name="標準" xfId="0" builtinId="0"/>
    <cellStyle name="標準 2" xfId="2" xr:uid="{00000000-0005-0000-0000-000009000000}"/>
    <cellStyle name="標準 2 3" xfId="5" xr:uid="{00000000-0005-0000-0000-00000A000000}"/>
    <cellStyle name="標準 3" xfId="3" xr:uid="{00000000-0005-0000-0000-00000B000000}"/>
    <cellStyle name="標準 4" xfId="4" xr:uid="{00000000-0005-0000-0000-00000C000000}"/>
    <cellStyle name="標準 4 2" xfId="10" xr:uid="{00000000-0005-0000-0000-00000D000000}"/>
    <cellStyle name="標準 4 3" xfId="15" xr:uid="{00000000-0005-0000-0000-00000E000000}"/>
    <cellStyle name="標準 4 4" xfId="20" xr:uid="{00000000-0005-0000-0000-00000F000000}"/>
    <cellStyle name="標準 5" xfId="7" xr:uid="{00000000-0005-0000-0000-000010000000}"/>
    <cellStyle name="標準 5 2" xfId="12" xr:uid="{00000000-0005-0000-0000-000011000000}"/>
    <cellStyle name="標準 5 3" xfId="17" xr:uid="{00000000-0005-0000-0000-000012000000}"/>
    <cellStyle name="標準 5 4" xfId="22" xr:uid="{00000000-0005-0000-0000-000013000000}"/>
    <cellStyle name="標準 6" xfId="9" xr:uid="{00000000-0005-0000-0000-000014000000}"/>
    <cellStyle name="標準 6 2" xfId="14" xr:uid="{00000000-0005-0000-0000-000015000000}"/>
    <cellStyle name="標準 6 3" xfId="19" xr:uid="{00000000-0005-0000-0000-000016000000}"/>
    <cellStyle name="標準 6 4" xfId="24" xr:uid="{00000000-0005-0000-0000-000017000000}"/>
    <cellStyle name="標準 7" xfId="25" xr:uid="{00000000-0005-0000-0000-000018000000}"/>
    <cellStyle name="標準 8" xfId="1" xr:uid="{00000000-0005-0000-0000-000019000000}"/>
  </cellStyles>
  <dxfs count="15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2022</a:t>
            </a:r>
            <a:r>
              <a:rPr lang="ja-JP" altLang="en-US"/>
              <a:t>年度入学者　卒業率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75-4BB3-80A4-92E03BE29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75-4BB3-80A4-92E03BE29F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5A-41CB-8AF4-AB0B9C529FD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卒業者割合!$A$1:$A$3</c:f>
              <c:strCache>
                <c:ptCount val="3"/>
                <c:pt idx="0">
                  <c:v>卒業・修了</c:v>
                </c:pt>
                <c:pt idx="1">
                  <c:v>退学</c:v>
                </c:pt>
                <c:pt idx="2">
                  <c:v>延長</c:v>
                </c:pt>
              </c:strCache>
            </c:strRef>
          </c:cat>
          <c:val>
            <c:numRef>
              <c:f>卒業者割合!$B$1:$B$3</c:f>
              <c:numCache>
                <c:formatCode>General"人"</c:formatCode>
                <c:ptCount val="3"/>
                <c:pt idx="0">
                  <c:v>250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3-4A00-8FA0-B19BFD9B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卒業生進路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F71C4F5-DEB1-4604-817F-443A2065B77F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B48B763B-EAE4-4A13-93B9-747C7DA55B40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4CE-476C-A302-1E0F3F117E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0FBE40-D46C-47DF-A308-BE70AE91B6EF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E450D299-562A-4D5F-8A54-A548F8BF46CD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4CE-476C-A302-1E0F3F117E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9D23B2-270C-4F3D-9077-E89C2ABC047D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E947E873-88E7-4ED7-98CA-3C4314CDECE5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4CE-476C-A302-1E0F3F117E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33BFCA8-32CA-43A3-9279-404805FACCF4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7866D27E-E3D5-4750-A589-773F308945D4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4CE-476C-A302-1E0F3F117E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F2DAF6-6574-4971-B62C-C1C804D0120E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01B4F52F-C1BC-4E0E-BCE1-FF49C08620CD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4CE-476C-A302-1E0F3F117E9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1B90F03-2B1A-490A-8033-B84AB360B0A1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1AE0F7D9-6421-4979-8260-3AE52BE3E9AA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4CE-476C-A302-1E0F3F117E9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17A9E1-CB14-41E6-8E46-10E258A7F523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DB716CFF-B031-4347-9204-7D2AEDF16BC7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4CE-476C-A302-1E0F3F117E9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5ECE12-63A0-492B-8A94-D46195E22E6F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EADEAB73-8DF0-49EA-A797-0F49137431DD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4CE-476C-A302-1E0F3F117E9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9247FD-83E6-4C37-BFA9-3A3E052A671E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BBA7F15A-3264-4323-9898-681CFA4F132A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4CE-476C-A302-1E0F3F117E9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607AF0-5725-4F10-B8DE-3F04F597CB17}" type="CELLRANGE">
                      <a:rPr lang="ja-JP" altLang="en-US"/>
                      <a:pPr/>
                      <a:t>[CELLRANGE]</a:t>
                    </a:fld>
                    <a:r>
                      <a:rPr lang="ja-JP" altLang="en-US" baseline="0"/>
                      <a:t>, </a:t>
                    </a:r>
                    <a:fld id="{EDC2FC77-2E3D-4397-BDD0-98C90A3F35B2}" type="VALUE">
                      <a:rPr lang="ja-JP" altLang="en-US" baseline="0"/>
                      <a:pPr/>
                      <a:t>[値]</a:t>
                    </a:fld>
                    <a:endParaRPr lang="ja-JP" altLang="en-US" baseline="0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CB1-44E9-8092-5065C983B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卒業生進路!$A$1:$A$10</c:f>
              <c:strCache>
                <c:ptCount val="10"/>
                <c:pt idx="0">
                  <c:v>専門学校</c:v>
                </c:pt>
                <c:pt idx="1">
                  <c:v>大学</c:v>
                </c:pt>
                <c:pt idx="2">
                  <c:v>大学院</c:v>
                </c:pt>
                <c:pt idx="3">
                  <c:v>進学未定</c:v>
                </c:pt>
                <c:pt idx="4">
                  <c:v>帰国予定</c:v>
                </c:pt>
                <c:pt idx="5">
                  <c:v>就職</c:v>
                </c:pt>
                <c:pt idx="6">
                  <c:v>短期大学</c:v>
                </c:pt>
                <c:pt idx="7">
                  <c:v>就職予定</c:v>
                </c:pt>
                <c:pt idx="8">
                  <c:v>家族滞在</c:v>
                </c:pt>
                <c:pt idx="9">
                  <c:v>帰国</c:v>
                </c:pt>
              </c:strCache>
            </c:strRef>
          </c:cat>
          <c:val>
            <c:numRef>
              <c:f>卒業生進路!$B$1:$B$10</c:f>
              <c:numCache>
                <c:formatCode>General"人"</c:formatCode>
                <c:ptCount val="10"/>
                <c:pt idx="0">
                  <c:v>197</c:v>
                </c:pt>
                <c:pt idx="1">
                  <c:v>40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卒業生進路!$C$1:$C$10</c15:f>
                <c15:dlblRangeCache>
                  <c:ptCount val="10"/>
                  <c:pt idx="0">
                    <c:v>82.4%</c:v>
                  </c:pt>
                  <c:pt idx="1">
                    <c:v>16.7%</c:v>
                  </c:pt>
                  <c:pt idx="2">
                    <c:v>0.4%</c:v>
                  </c:pt>
                  <c:pt idx="3">
                    <c:v>0.0%</c:v>
                  </c:pt>
                  <c:pt idx="4">
                    <c:v>0.0%</c:v>
                  </c:pt>
                  <c:pt idx="5">
                    <c:v>0.0%</c:v>
                  </c:pt>
                  <c:pt idx="6">
                    <c:v>0.0%</c:v>
                  </c:pt>
                  <c:pt idx="7">
                    <c:v>0.0%</c:v>
                  </c:pt>
                  <c:pt idx="8">
                    <c:v>0.0%</c:v>
                  </c:pt>
                  <c:pt idx="9">
                    <c:v>0.4%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D53-4F6C-BAB7-38D2E053F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1855118000"/>
        <c:axId val="-1857134960"/>
      </c:barChart>
      <c:catAx>
        <c:axId val="-185511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7134960"/>
        <c:crosses val="autoZero"/>
        <c:auto val="1"/>
        <c:lblAlgn val="ctr"/>
        <c:lblOffset val="100"/>
        <c:noMultiLvlLbl val="0"/>
      </c:catAx>
      <c:valAx>
        <c:axId val="-18571349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&quot;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511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退学内訳!$A$1:$A$7</c:f>
              <c:strCache>
                <c:ptCount val="7"/>
                <c:pt idx="0">
                  <c:v>自己都合</c:v>
                </c:pt>
                <c:pt idx="1">
                  <c:v>進学</c:v>
                </c:pt>
                <c:pt idx="2">
                  <c:v>就職</c:v>
                </c:pt>
                <c:pt idx="3">
                  <c:v>家族滞在ビザ変更</c:v>
                </c:pt>
                <c:pt idx="4">
                  <c:v>学費未納</c:v>
                </c:pt>
                <c:pt idx="5">
                  <c:v>病気</c:v>
                </c:pt>
                <c:pt idx="6">
                  <c:v>転校</c:v>
                </c:pt>
              </c:strCache>
            </c:strRef>
          </c:cat>
          <c:val>
            <c:numRef>
              <c:f>退学内訳!$B$1:$B$7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1-4A6A-BB95-BC4260064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855066096"/>
        <c:axId val="-1851689856"/>
      </c:barChart>
      <c:catAx>
        <c:axId val="-185506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退学理由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1689856"/>
        <c:crosses val="autoZero"/>
        <c:auto val="1"/>
        <c:lblAlgn val="ctr"/>
        <c:lblOffset val="100"/>
        <c:noMultiLvlLbl val="0"/>
      </c:catAx>
      <c:valAx>
        <c:axId val="-18516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-185506609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合格率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F-4804-9E5B-4BBE8F0FBB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F-4804-9E5B-4BBE8F0FBBC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合格率!$A$2:$A$3</c:f>
              <c:strCache>
                <c:ptCount val="2"/>
                <c:pt idx="0">
                  <c:v>合格者</c:v>
                </c:pt>
                <c:pt idx="1">
                  <c:v>未合格者</c:v>
                </c:pt>
              </c:strCache>
            </c:strRef>
          </c:cat>
          <c:val>
            <c:numRef>
              <c:f>合格率!$B$2:$B$3</c:f>
              <c:numCache>
                <c:formatCode>General"人"</c:formatCode>
                <c:ptCount val="2"/>
                <c:pt idx="0">
                  <c:v>245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F-48AF-862C-DF861C5A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366712</xdr:colOff>
      <xdr:row>4</xdr:row>
      <xdr:rowOff>61912</xdr:rowOff>
    </xdr:from>
    <xdr:to>
      <xdr:col>6</xdr:col>
      <xdr:colOff>671512</xdr:colOff>
      <xdr:row>15</xdr:row>
      <xdr:rowOff>185737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FC6479-86F1-47BA-9A60-22156F347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</xdr:row>
      <xdr:rowOff>138112</xdr:rowOff>
    </xdr:from>
    <xdr:to>
      <xdr:col>7</xdr:col>
      <xdr:colOff>590550</xdr:colOff>
      <xdr:row>22</xdr:row>
      <xdr:rowOff>23812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85DAB16-CDAF-4FDE-957F-6567F580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17</xdr:row>
      <xdr:rowOff>23812</xdr:rowOff>
    </xdr:from>
    <xdr:to>
      <xdr:col>7</xdr:col>
      <xdr:colOff>9525</xdr:colOff>
      <xdr:row>28</xdr:row>
      <xdr:rowOff>147637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03E55D-11B6-4CC8-BF66-9D9FA53C6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8</xdr:row>
      <xdr:rowOff>80962</xdr:rowOff>
    </xdr:from>
    <xdr:to>
      <xdr:col>6</xdr:col>
      <xdr:colOff>552450</xdr:colOff>
      <xdr:row>19</xdr:row>
      <xdr:rowOff>204787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B9D561F-0BE6-43E6-9889-CBD17F5AD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北條亮一" refreshedDate="45735.783228356479" createdVersion="6" refreshedVersion="8" minRefreshableVersion="3" recordCount="263" xr:uid="{00000000-000A-0000-FFFF-FFFF00000000}">
  <cacheSource type="worksheet">
    <worksheetSource ref="K1:L264" sheet="Sheet1"/>
  </cacheSource>
  <cacheFields count="2">
    <cacheField name="卒業者進路" numFmtId="0">
      <sharedItems/>
    </cacheField>
    <cacheField name="大学・大学院" numFmtId="0">
      <sharedItems count="60">
        <s v=""/>
        <s v="神戸国際大学"/>
        <s v="立命館アジア太平洋大学"/>
        <s v="神戸親和大学"/>
        <s v="兵庫大学"/>
        <s v="流通科学大学"/>
        <s v="大阪女学院大学"/>
        <s v="桃山学院大学"/>
        <s v="大阪産業大学"/>
        <s v="日本経済大学"/>
        <s v="神戸芸術工科大学"/>
        <s v="南山大学大学院研修生"/>
        <s v="芦屋大学"/>
        <s v="神戸松蔭大学"/>
        <s v="新潟食料農業大学"/>
        <s v="日本経済大学渋谷キャンパス"/>
        <s v="関西国際大学"/>
        <s v="四国大学短期学部"/>
        <s v="大阪観光大学"/>
        <s v="神戸市外国語大学大学院研究生"/>
        <s v="神戸市外国語大学大学院外国語学研究科" u="1"/>
        <s v="大東文化大学大学院経営学研究生" u="1"/>
        <s v="大阪経済法科大学" u="1"/>
        <s v="日本大学大学院歯学研究科" u="1"/>
        <s v="東京都立大学大学院研究生" u="1"/>
        <s v="京都情報大学院大学" u="1"/>
        <s v="兵庫県立大学大学院外国語科研究生" u="1"/>
        <s v="徳島大学大学院薬学部研究生" u="1"/>
        <s v="神戸医療未来大学" u="1"/>
        <s v="立命館大学" u="1"/>
        <s v="テンプル大学" u="1"/>
        <s v="名古屋芸術大学" u="1"/>
        <s v="関西大学大学院（博士課程）" u="1"/>
        <s v="関東学院大学" u="1"/>
        <s v="関西学院大学大学院" u="1"/>
        <s v="関西大学大学院システム理工学研究生" u="1"/>
        <s v="武蔵野大学" u="1"/>
        <s v="大阪観光大学（編入）" u="1"/>
        <s v="明治大学大学院（修士）" u="1"/>
        <s v="神戸学院大学" u="1"/>
        <s v="三重大学人文学部研究生" u="1"/>
        <s v="長崎大学環境科学部研究生" u="1"/>
        <s v="関西学院大学" u="1"/>
        <s v="神戸大学大学院" u="1"/>
        <s v="四国大学" u="1"/>
        <s v="東北大学" u="1"/>
        <s v="神戸市外国語大学" u="1"/>
        <s v="神戸大学大学院研究生" u="1"/>
        <s v="神戸市外国語大学大学院" u="1"/>
        <s v="帝塚山大学" u="1"/>
        <s v="三重大学研究生" u="1"/>
        <s v="至誠館大学" u="1"/>
        <s v="東京工業大学大学院研究生" u="1"/>
        <s v="筑波学院大学国際別科" u="1"/>
        <s v="兵庫県立大学" u="1"/>
        <s v="神戸医療福祉大学" u="1"/>
        <s v="広島大学大学院" u="1"/>
        <s v="国際医療福祉大学" u="1"/>
        <s v="神戸山手大学" u="1"/>
        <s v="横浜国立大学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北條亮一" refreshedDate="45735.783776851851" createdVersion="6" refreshedVersion="8" minRefreshableVersion="3" recordCount="263" xr:uid="{00000000-000A-0000-FFFF-FFFF01000000}">
  <cacheSource type="worksheet">
    <worksheetSource ref="K1:M264" sheet="Sheet1"/>
  </cacheSource>
  <cacheFields count="3">
    <cacheField name="卒業者進路" numFmtId="0">
      <sharedItems/>
    </cacheField>
    <cacheField name="大学・大学院" numFmtId="0">
      <sharedItems/>
    </cacheField>
    <cacheField name="専門学校" numFmtId="0">
      <sharedItems count="118">
        <s v="兵庫県立総合衛生学院"/>
        <s v="神戸電子専門学校"/>
        <s v="東京国際ビジネスカレッジ神戸校"/>
        <s v=""/>
        <s v="ECCコンピュータ専門学校"/>
        <s v="トヨタ神戸自動車大学校"/>
        <s v="ECC国際外語専門学校"/>
        <s v="和歌山社会福祉専門学校"/>
        <s v="CAD製図専門学校"/>
        <s v="エール学園"/>
        <s v="プロスペラ学院ビジネス専門学校"/>
        <s v="東亜経理専門学校"/>
        <s v="東京自動車大学校"/>
        <s v="中央工学校OSAKA"/>
        <s v="駿台観光＆ホテルブライダルビジネスカレッジ"/>
        <s v="関西国際旅行・ホテル専門学校"/>
        <s v="名古屋外語ホテルブライダル専門学校"/>
        <s v="関西経理専門学校"/>
        <s v="神戸YMCA学院専門学校"/>
        <s v="駿台観光＆外語ビジネス専門学校"/>
        <s v="東京外語専門学校"/>
        <s v="日本理工情報専門学校"/>
        <s v="ICT専門学校"/>
        <s v="愛甲学院専門学校"/>
        <s v="太田工科専門学校"/>
        <s v="浦和専門学校"/>
        <s v="大阪観光ビジネス学院"/>
        <s v="中央美術学園"/>
        <s v="GIA 専門学校 新潟国際自動車大学校"/>
        <s v="専門学校日本マンガ芸術学院"/>
        <s v="専門学校アートカレッジ神戸"/>
        <s v="読売自動車大学校"/>
        <s v="日本国際工科専門学校"/>
        <s v="日産栃木自動車大学校"/>
        <s v="神戸国際調理製菓専門学校"/>
        <s v="大阪コミュニティーワーカー専門学校"/>
        <s v="千葉モードビジネス専門学校"/>
        <s v="東京グローバルビジネス専門学校"/>
        <s v="大阪社会福祉専門学校"/>
        <s v="日本コンピュータ専門学校"/>
        <s v="麻生専門学校"/>
        <s v="国際観光専門学校名古屋校"/>
        <s v="日本デザイナー芸術学院"/>
        <s v="専門学校日本デジタルカレッジ"/>
        <s v="国際観光ビジネス学院"/>
        <s v="ポプラ介護福祉学校"/>
        <s v="東京マルチ・AI専門学校"/>
        <s v="中野スクールオブビジネス"/>
        <s v="SOLA学園"/>
        <s v="日本工科大学校"/>
        <s v="神戸・甲陽音楽&amp;ダンス専門学校"/>
        <s v="関西国際旅行ホテル・専門学校" u="1"/>
        <s v="新潟国際自動車大学校" u="1"/>
        <s v="関西国際旅行ホテル専門学校" u="1"/>
        <s v="駿台ITビジネスカレッジ" u="1"/>
        <s v="代々木アニメーション学院" u="1"/>
        <s v="柏木実業専門学校" u="1"/>
        <s v="トヨタ自動車大学校神戸校" u="1"/>
        <s v="東京国際学園外語専門学校" u="1"/>
        <s v="国際外語観光エアライン専門学校" u="1"/>
        <s v="九州ビジネス専門学校" u="1"/>
        <s v="国際産業技術専門学校" u="1"/>
        <s v="日本マンガ芸術学院" u="1"/>
        <s v="NIKKO外語専門学校" u="1"/>
        <s v="東北電子専門学校" u="1"/>
        <s v="大阪女学院大学" u="1"/>
        <s v="日本グローバルビジネス専門学校" u="1"/>
        <s v="ビジョンクエスト情報デザイン専門学校" u="1"/>
        <s v="花壇自動車大学校" u="1"/>
        <s v="福岡外語専門学校" u="1"/>
        <s v="岩谷テクノビジネス専門学校" u="1"/>
        <s v="西日本アカデミー航空専門学校" u="1"/>
        <s v="長岡公務員情報ビジネス専門学校" u="1"/>
        <s v="京都情報コンピュータ専門学校" u="1"/>
        <s v="京都ホテル観光ブライダル専門学校" u="1"/>
        <s v="東京工科自動車大学校" u="1"/>
        <s v="中央情報専門学校" u="1"/>
        <s v="つくば自動車大学校" u="1"/>
        <s v="大阪コンピュータ専門学校" u="1"/>
        <s v="早稲田文理専門学校" u="1"/>
        <s v="大原簿記専門学校三宮校" u="1"/>
        <s v="三鷹日商簿記専門学校" u="1"/>
        <s v="ディライトグローバル専門学校" u="1"/>
        <s v="郡山健康科学専門学校" u="1"/>
        <s v="阪神自動車航空専門学校" u="1"/>
        <s v="姫路保育福祉専門学校" u="1"/>
        <s v="新潟ビジネス専門学校" u="1"/>
        <s v="プロスぺラ学院ビジネス専門学校" u="1"/>
        <s v="岡山情報ビジネス学院" u="1"/>
        <s v="大村グローバルビジネス専門学校" u="1"/>
        <s v="四日市福祉専門学校" u="1"/>
        <s v="駿台トラベルホテル専門学校" u="1"/>
        <s v="TBC学院" u="1"/>
        <s v="大阪総合福祉専門学校" u="1"/>
        <s v="大阪医専" u="1"/>
        <s v="HAL大阪" u="1"/>
        <s v="大阪建設専門学校" u="1"/>
        <s v="ホンダ自動車大学校" u="1"/>
        <s v="ICT" u="1"/>
        <s v="名古屋モード学園" u="1"/>
        <s v="穴吹工科カレッジ" u="1"/>
        <s v="日本健康医療" u="1"/>
        <s v="アートカレッジ神戸" u="1"/>
        <s v="長岡公務員・情報ビジネス" u="1"/>
        <s v="トヨタ自動車大学校" u="1"/>
        <s v="大原" u="1"/>
        <s v="JMC" u="1"/>
        <s v="奈良介護福祉中央学院" u="1"/>
        <s v="東亜経理" u="1"/>
        <s v="西日本アカデミー" u="1"/>
        <s v="東京国際ビジネスカレッジ" u="1"/>
        <s v="愛甲" u="1"/>
        <s v="和歌山福祉専門学校" u="1"/>
        <s v="アートカレッジ" u="1"/>
        <s v="日本コンピュータ" u="1"/>
        <s v="大阪コミュニティワーカー専門学校" u="1"/>
        <s v="日中芸術専門学校" u="1"/>
        <s v="京都芸術デザイン専門学校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専門学校"/>
    <x v="0"/>
  </r>
  <r>
    <s v="専門学校"/>
    <x v="0"/>
  </r>
  <r>
    <s v="専門学校"/>
    <x v="0"/>
  </r>
  <r>
    <s v="専門学校"/>
    <x v="0"/>
  </r>
  <r>
    <s v="大学"/>
    <x v="1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2"/>
  </r>
  <r>
    <s v="大学"/>
    <x v="3"/>
  </r>
  <r>
    <s v="大学"/>
    <x v="4"/>
  </r>
  <r>
    <s v="専門学校"/>
    <x v="0"/>
  </r>
  <r>
    <s v="専門学校"/>
    <x v="0"/>
  </r>
  <r>
    <s v="専門学校"/>
    <x v="0"/>
  </r>
  <r>
    <s v="特定活動ビザ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5"/>
  </r>
  <r>
    <s v="大学"/>
    <x v="5"/>
  </r>
  <r>
    <s v="大学"/>
    <x v="6"/>
  </r>
  <r>
    <s v="専門学校"/>
    <x v="0"/>
  </r>
  <r>
    <s v="大学"/>
    <x v="7"/>
  </r>
  <r>
    <s v="専門学校"/>
    <x v="0"/>
  </r>
  <r>
    <s v="大学"/>
    <x v="8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3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9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1"/>
  </r>
  <r>
    <s v="専門学校"/>
    <x v="0"/>
  </r>
  <r>
    <s v="専門学校"/>
    <x v="0"/>
  </r>
  <r>
    <s v="専門学校"/>
    <x v="0"/>
  </r>
  <r>
    <s v="大学"/>
    <x v="5"/>
  </r>
  <r>
    <s v="大学"/>
    <x v="10"/>
  </r>
  <r>
    <s v="大学"/>
    <x v="3"/>
  </r>
  <r>
    <s v="大学"/>
    <x v="3"/>
  </r>
  <r>
    <s v="大学"/>
    <x v="3"/>
  </r>
  <r>
    <s v="大学"/>
    <x v="5"/>
  </r>
  <r>
    <s v="専門学校"/>
    <x v="0"/>
  </r>
  <r>
    <s v="専門学校"/>
    <x v="0"/>
  </r>
  <r>
    <s v="専門学校"/>
    <x v="0"/>
  </r>
  <r>
    <s v="特定活動ビザ"/>
    <x v="0"/>
  </r>
  <r>
    <s v="専門学校"/>
    <x v="0"/>
  </r>
  <r>
    <s v="特定活動ビザ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院"/>
    <x v="11"/>
  </r>
  <r>
    <s v="大学"/>
    <x v="5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9"/>
  </r>
  <r>
    <s v="専門学校"/>
    <x v="0"/>
  </r>
  <r>
    <s v="大学"/>
    <x v="12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9"/>
  </r>
  <r>
    <s v="大学"/>
    <x v="9"/>
  </r>
  <r>
    <s v="大学"/>
    <x v="9"/>
  </r>
  <r>
    <s v="専門学校"/>
    <x v="0"/>
  </r>
  <r>
    <s v="専門学校"/>
    <x v="0"/>
  </r>
  <r>
    <s v="大学"/>
    <x v="1"/>
  </r>
  <r>
    <s v="専門学校"/>
    <x v="0"/>
  </r>
  <r>
    <s v="大学"/>
    <x v="13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14"/>
  </r>
  <r>
    <s v="大学"/>
    <x v="6"/>
  </r>
  <r>
    <s v="特定活動ビザ"/>
    <x v="0"/>
  </r>
  <r>
    <s v="特定活動ビザ"/>
    <x v="0"/>
  </r>
  <r>
    <s v="特定活動ビザ"/>
    <x v="0"/>
  </r>
  <r>
    <s v="専門学校"/>
    <x v="0"/>
  </r>
  <r>
    <s v="専門学校"/>
    <x v="0"/>
  </r>
  <r>
    <s v="大学"/>
    <x v="15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16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3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大学"/>
    <x v="17"/>
  </r>
  <r>
    <s v="大学"/>
    <x v="18"/>
  </r>
  <r>
    <s v="大学"/>
    <x v="12"/>
  </r>
  <r>
    <s v="大学"/>
    <x v="5"/>
  </r>
  <r>
    <s v="大学"/>
    <x v="5"/>
  </r>
  <r>
    <s v="専門学校"/>
    <x v="0"/>
  </r>
  <r>
    <s v="大学"/>
    <x v="5"/>
  </r>
  <r>
    <s v="専門学校"/>
    <x v="0"/>
  </r>
  <r>
    <s v="大学"/>
    <x v="5"/>
  </r>
  <r>
    <s v="専門学校"/>
    <x v="0"/>
  </r>
  <r>
    <s v="専門学校"/>
    <x v="0"/>
  </r>
  <r>
    <s v="大学"/>
    <x v="5"/>
  </r>
  <r>
    <s v="専門学校"/>
    <x v="0"/>
  </r>
  <r>
    <s v="専門学校"/>
    <x v="0"/>
  </r>
  <r>
    <s v="大学"/>
    <x v="5"/>
  </r>
  <r>
    <s v="大学"/>
    <x v="3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就職"/>
    <x v="0"/>
  </r>
  <r>
    <s v="帰国予定"/>
    <x v="0"/>
  </r>
  <r>
    <s v="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専門学校"/>
    <x v="0"/>
  </r>
  <r>
    <s v=""/>
    <x v="19"/>
  </r>
  <r>
    <s v=""/>
    <x v="0"/>
  </r>
  <r>
    <s v=""/>
    <x v="0"/>
  </r>
  <r>
    <s v=""/>
    <x v="0"/>
  </r>
  <r>
    <s v=""/>
    <x v="0"/>
  </r>
  <r>
    <s v=""/>
    <x v="0"/>
  </r>
  <r>
    <s v=""/>
    <x v="0"/>
  </r>
  <r>
    <s v=""/>
    <x v="0"/>
  </r>
  <r>
    <s v=""/>
    <x v="0"/>
  </r>
  <r>
    <s v=""/>
    <x v="0"/>
  </r>
  <r>
    <s v="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s v="専門学校"/>
    <s v=""/>
    <x v="0"/>
  </r>
  <r>
    <s v="専門学校"/>
    <s v=""/>
    <x v="1"/>
  </r>
  <r>
    <s v="専門学校"/>
    <s v=""/>
    <x v="1"/>
  </r>
  <r>
    <s v="専門学校"/>
    <s v=""/>
    <x v="2"/>
  </r>
  <r>
    <s v="大学"/>
    <s v="神戸国際大学"/>
    <x v="3"/>
  </r>
  <r>
    <s v="専門学校"/>
    <s v=""/>
    <x v="4"/>
  </r>
  <r>
    <s v="専門学校"/>
    <s v=""/>
    <x v="5"/>
  </r>
  <r>
    <s v="専門学校"/>
    <s v=""/>
    <x v="4"/>
  </r>
  <r>
    <s v="専門学校"/>
    <s v=""/>
    <x v="6"/>
  </r>
  <r>
    <s v="専門学校"/>
    <s v=""/>
    <x v="6"/>
  </r>
  <r>
    <s v="専門学校"/>
    <s v=""/>
    <x v="1"/>
  </r>
  <r>
    <s v="専門学校"/>
    <s v=""/>
    <x v="4"/>
  </r>
  <r>
    <s v="専門学校"/>
    <s v=""/>
    <x v="1"/>
  </r>
  <r>
    <s v="専門学校"/>
    <s v=""/>
    <x v="2"/>
  </r>
  <r>
    <s v="専門学校"/>
    <s v=""/>
    <x v="1"/>
  </r>
  <r>
    <s v="専門学校"/>
    <s v=""/>
    <x v="2"/>
  </r>
  <r>
    <s v="専門学校"/>
    <s v=""/>
    <x v="1"/>
  </r>
  <r>
    <s v="大学"/>
    <s v="立命館アジア太平洋大学"/>
    <x v="3"/>
  </r>
  <r>
    <s v="大学"/>
    <s v="神戸親和大学"/>
    <x v="3"/>
  </r>
  <r>
    <s v="大学"/>
    <s v="兵庫大学"/>
    <x v="3"/>
  </r>
  <r>
    <s v="専門学校"/>
    <s v=""/>
    <x v="7"/>
  </r>
  <r>
    <s v="専門学校"/>
    <s v=""/>
    <x v="6"/>
  </r>
  <r>
    <s v="専門学校"/>
    <s v=""/>
    <x v="8"/>
  </r>
  <r>
    <s v="特定活動ビザ"/>
    <s v=""/>
    <x v="3"/>
  </r>
  <r>
    <s v="専門学校"/>
    <s v=""/>
    <x v="2"/>
  </r>
  <r>
    <s v="専門学校"/>
    <s v=""/>
    <x v="9"/>
  </r>
  <r>
    <s v="専門学校"/>
    <s v=""/>
    <x v="10"/>
  </r>
  <r>
    <s v="専門学校"/>
    <s v=""/>
    <x v="11"/>
  </r>
  <r>
    <s v="専門学校"/>
    <s v=""/>
    <x v="12"/>
  </r>
  <r>
    <s v="専門学校"/>
    <s v=""/>
    <x v="8"/>
  </r>
  <r>
    <s v="大学"/>
    <s v="流通科学大学"/>
    <x v="3"/>
  </r>
  <r>
    <s v="大学"/>
    <s v="流通科学大学"/>
    <x v="3"/>
  </r>
  <r>
    <s v="大学"/>
    <s v="大阪女学院大学"/>
    <x v="3"/>
  </r>
  <r>
    <s v="専門学校"/>
    <s v=""/>
    <x v="13"/>
  </r>
  <r>
    <s v="大学"/>
    <s v="桃山学院大学"/>
    <x v="3"/>
  </r>
  <r>
    <s v="専門学校"/>
    <s v=""/>
    <x v="14"/>
  </r>
  <r>
    <s v="大学"/>
    <s v="大阪産業大学"/>
    <x v="3"/>
  </r>
  <r>
    <s v="専門学校"/>
    <s v=""/>
    <x v="14"/>
  </r>
  <r>
    <s v="専門学校"/>
    <s v=""/>
    <x v="15"/>
  </r>
  <r>
    <s v="専門学校"/>
    <s v=""/>
    <x v="16"/>
  </r>
  <r>
    <s v="専門学校"/>
    <s v=""/>
    <x v="17"/>
  </r>
  <r>
    <s v="専門学校"/>
    <s v=""/>
    <x v="2"/>
  </r>
  <r>
    <s v="専門学校"/>
    <s v=""/>
    <x v="11"/>
  </r>
  <r>
    <s v="専門学校"/>
    <s v=""/>
    <x v="11"/>
  </r>
  <r>
    <s v="専門学校"/>
    <s v=""/>
    <x v="15"/>
  </r>
  <r>
    <s v="大学"/>
    <s v="神戸親和大学"/>
    <x v="3"/>
  </r>
  <r>
    <s v="専門学校"/>
    <s v=""/>
    <x v="18"/>
  </r>
  <r>
    <s v="専門学校"/>
    <s v=""/>
    <x v="19"/>
  </r>
  <r>
    <s v="専門学校"/>
    <s v=""/>
    <x v="20"/>
  </r>
  <r>
    <s v="専門学校"/>
    <s v=""/>
    <x v="4"/>
  </r>
  <r>
    <s v="専門学校"/>
    <s v=""/>
    <x v="21"/>
  </r>
  <r>
    <s v="専門学校"/>
    <s v=""/>
    <x v="22"/>
  </r>
  <r>
    <s v="専門学校"/>
    <s v=""/>
    <x v="11"/>
  </r>
  <r>
    <s v="専門学校"/>
    <s v=""/>
    <x v="1"/>
  </r>
  <r>
    <s v="専門学校"/>
    <s v=""/>
    <x v="6"/>
  </r>
  <r>
    <s v="専門学校"/>
    <s v=""/>
    <x v="13"/>
  </r>
  <r>
    <s v="専門学校"/>
    <s v=""/>
    <x v="19"/>
  </r>
  <r>
    <s v="専門学校"/>
    <s v=""/>
    <x v="4"/>
  </r>
  <r>
    <s v="大学"/>
    <s v="日本経済大学"/>
    <x v="3"/>
  </r>
  <r>
    <s v="専門学校"/>
    <s v=""/>
    <x v="23"/>
  </r>
  <r>
    <s v="専門学校"/>
    <s v=""/>
    <x v="5"/>
  </r>
  <r>
    <s v="専門学校"/>
    <s v=""/>
    <x v="23"/>
  </r>
  <r>
    <s v="専門学校"/>
    <s v=""/>
    <x v="11"/>
  </r>
  <r>
    <s v="専門学校"/>
    <s v=""/>
    <x v="11"/>
  </r>
  <r>
    <s v="専門学校"/>
    <s v=""/>
    <x v="11"/>
  </r>
  <r>
    <s v="専門学校"/>
    <s v=""/>
    <x v="11"/>
  </r>
  <r>
    <s v="専門学校"/>
    <s v=""/>
    <x v="23"/>
  </r>
  <r>
    <s v="専門学校"/>
    <s v=""/>
    <x v="24"/>
  </r>
  <r>
    <s v="専門学校"/>
    <s v=""/>
    <x v="8"/>
  </r>
  <r>
    <s v="専門学校"/>
    <s v=""/>
    <x v="11"/>
  </r>
  <r>
    <s v="専門学校"/>
    <s v=""/>
    <x v="2"/>
  </r>
  <r>
    <s v="大学"/>
    <s v="神戸国際大学"/>
    <x v="3"/>
  </r>
  <r>
    <s v="専門学校"/>
    <s v=""/>
    <x v="8"/>
  </r>
  <r>
    <s v="専門学校"/>
    <s v=""/>
    <x v="2"/>
  </r>
  <r>
    <s v="専門学校"/>
    <s v=""/>
    <x v="25"/>
  </r>
  <r>
    <s v="大学"/>
    <s v="流通科学大学"/>
    <x v="3"/>
  </r>
  <r>
    <s v="大学"/>
    <s v="神戸芸術工科大学"/>
    <x v="3"/>
  </r>
  <r>
    <s v="大学"/>
    <s v="神戸親和大学"/>
    <x v="3"/>
  </r>
  <r>
    <s v="大学"/>
    <s v="神戸親和大学"/>
    <x v="3"/>
  </r>
  <r>
    <s v="大学"/>
    <s v="神戸親和大学"/>
    <x v="3"/>
  </r>
  <r>
    <s v="大学"/>
    <s v="流通科学大学"/>
    <x v="3"/>
  </r>
  <r>
    <s v="専門学校"/>
    <s v=""/>
    <x v="7"/>
  </r>
  <r>
    <s v="専門学校"/>
    <s v=""/>
    <x v="11"/>
  </r>
  <r>
    <s v="専門学校"/>
    <s v=""/>
    <x v="26"/>
  </r>
  <r>
    <s v="特定活動ビザ"/>
    <s v=""/>
    <x v="3"/>
  </r>
  <r>
    <s v="専門学校"/>
    <s v=""/>
    <x v="1"/>
  </r>
  <r>
    <s v="特定活動ビザ"/>
    <s v=""/>
    <x v="3"/>
  </r>
  <r>
    <s v="専門学校"/>
    <s v=""/>
    <x v="11"/>
  </r>
  <r>
    <s v="専門学校"/>
    <s v=""/>
    <x v="15"/>
  </r>
  <r>
    <s v="専門学校"/>
    <s v=""/>
    <x v="27"/>
  </r>
  <r>
    <s v="専門学校"/>
    <s v=""/>
    <x v="2"/>
  </r>
  <r>
    <s v="専門学校"/>
    <s v=""/>
    <x v="8"/>
  </r>
  <r>
    <s v="専門学校"/>
    <s v=""/>
    <x v="28"/>
  </r>
  <r>
    <s v="専門学校"/>
    <s v=""/>
    <x v="27"/>
  </r>
  <r>
    <s v="専門学校"/>
    <s v=""/>
    <x v="5"/>
  </r>
  <r>
    <s v="大学院"/>
    <s v="南山大学大学院研修生"/>
    <x v="3"/>
  </r>
  <r>
    <s v="大学"/>
    <s v="流通科学大学"/>
    <x v="3"/>
  </r>
  <r>
    <s v="専門学校"/>
    <s v=""/>
    <x v="15"/>
  </r>
  <r>
    <s v="専門学校"/>
    <s v=""/>
    <x v="15"/>
  </r>
  <r>
    <s v="専門学校"/>
    <s v=""/>
    <x v="15"/>
  </r>
  <r>
    <s v="専門学校"/>
    <s v=""/>
    <x v="29"/>
  </r>
  <r>
    <s v="専門学校"/>
    <s v=""/>
    <x v="30"/>
  </r>
  <r>
    <s v="専門学校"/>
    <s v=""/>
    <x v="11"/>
  </r>
  <r>
    <s v="専門学校"/>
    <s v=""/>
    <x v="30"/>
  </r>
  <r>
    <s v="専門学校"/>
    <s v=""/>
    <x v="2"/>
  </r>
  <r>
    <s v="専門学校"/>
    <s v=""/>
    <x v="22"/>
  </r>
  <r>
    <s v="専門学校"/>
    <s v=""/>
    <x v="25"/>
  </r>
  <r>
    <s v="専門学校"/>
    <s v=""/>
    <x v="27"/>
  </r>
  <r>
    <s v="専門学校"/>
    <s v=""/>
    <x v="2"/>
  </r>
  <r>
    <s v="専門学校"/>
    <s v=""/>
    <x v="31"/>
  </r>
  <r>
    <s v="専門学校"/>
    <s v=""/>
    <x v="31"/>
  </r>
  <r>
    <s v="専門学校"/>
    <s v=""/>
    <x v="5"/>
  </r>
  <r>
    <s v="大学"/>
    <s v="日本経済大学"/>
    <x v="3"/>
  </r>
  <r>
    <s v="専門学校"/>
    <s v=""/>
    <x v="32"/>
  </r>
  <r>
    <s v="大学"/>
    <s v="芦屋大学"/>
    <x v="3"/>
  </r>
  <r>
    <s v="専門学校"/>
    <s v=""/>
    <x v="27"/>
  </r>
  <r>
    <s v="専門学校"/>
    <s v=""/>
    <x v="22"/>
  </r>
  <r>
    <s v="専門学校"/>
    <s v=""/>
    <x v="30"/>
  </r>
  <r>
    <s v="専門学校"/>
    <s v=""/>
    <x v="23"/>
  </r>
  <r>
    <s v="専門学校"/>
    <s v=""/>
    <x v="23"/>
  </r>
  <r>
    <s v="専門学校"/>
    <s v=""/>
    <x v="21"/>
  </r>
  <r>
    <s v="専門学校"/>
    <s v=""/>
    <x v="25"/>
  </r>
  <r>
    <s v="大学"/>
    <s v="日本経済大学"/>
    <x v="3"/>
  </r>
  <r>
    <s v="大学"/>
    <s v="日本経済大学"/>
    <x v="3"/>
  </r>
  <r>
    <s v="大学"/>
    <s v="日本経済大学"/>
    <x v="3"/>
  </r>
  <r>
    <s v="専門学校"/>
    <s v=""/>
    <x v="22"/>
  </r>
  <r>
    <s v="専門学校"/>
    <s v=""/>
    <x v="22"/>
  </r>
  <r>
    <s v="大学"/>
    <s v="神戸国際大学"/>
    <x v="3"/>
  </r>
  <r>
    <s v="専門学校"/>
    <s v=""/>
    <x v="23"/>
  </r>
  <r>
    <s v="大学"/>
    <s v="神戸松蔭大学"/>
    <x v="3"/>
  </r>
  <r>
    <s v="専門学校"/>
    <s v=""/>
    <x v="25"/>
  </r>
  <r>
    <s v="専門学校"/>
    <s v=""/>
    <x v="13"/>
  </r>
  <r>
    <s v="専門学校"/>
    <s v=""/>
    <x v="33"/>
  </r>
  <r>
    <s v="専門学校"/>
    <s v=""/>
    <x v="1"/>
  </r>
  <r>
    <s v="専門学校"/>
    <s v=""/>
    <x v="1"/>
  </r>
  <r>
    <s v="専門学校"/>
    <s v=""/>
    <x v="34"/>
  </r>
  <r>
    <s v="専門学校"/>
    <s v=""/>
    <x v="35"/>
  </r>
  <r>
    <s v="専門学校"/>
    <s v=""/>
    <x v="0"/>
  </r>
  <r>
    <s v="大学"/>
    <s v="新潟食料農業大学"/>
    <x v="3"/>
  </r>
  <r>
    <s v="大学"/>
    <s v="大阪女学院大学"/>
    <x v="3"/>
  </r>
  <r>
    <s v="特定活動ビザ"/>
    <s v=""/>
    <x v="3"/>
  </r>
  <r>
    <s v="特定活動ビザ"/>
    <s v=""/>
    <x v="3"/>
  </r>
  <r>
    <s v="特定活動ビザ"/>
    <s v=""/>
    <x v="3"/>
  </r>
  <r>
    <s v="専門学校"/>
    <s v=""/>
    <x v="36"/>
  </r>
  <r>
    <s v="専門学校"/>
    <s v=""/>
    <x v="15"/>
  </r>
  <r>
    <s v="大学"/>
    <s v="日本経済大学渋谷キャンパス"/>
    <x v="3"/>
  </r>
  <r>
    <s v="専門学校"/>
    <s v=""/>
    <x v="37"/>
  </r>
  <r>
    <s v="専門学校"/>
    <s v=""/>
    <x v="6"/>
  </r>
  <r>
    <s v="専門学校"/>
    <s v=""/>
    <x v="38"/>
  </r>
  <r>
    <s v="専門学校"/>
    <s v=""/>
    <x v="1"/>
  </r>
  <r>
    <s v="専門学校"/>
    <s v=""/>
    <x v="23"/>
  </r>
  <r>
    <s v="専門学校"/>
    <s v=""/>
    <x v="23"/>
  </r>
  <r>
    <s v="専門学校"/>
    <s v=""/>
    <x v="2"/>
  </r>
  <r>
    <s v=""/>
    <s v=""/>
    <x v="3"/>
  </r>
  <r>
    <s v="専門学校"/>
    <s v=""/>
    <x v="39"/>
  </r>
  <r>
    <s v="専門学校"/>
    <s v=""/>
    <x v="30"/>
  </r>
  <r>
    <s v="専門学校"/>
    <s v=""/>
    <x v="11"/>
  </r>
  <r>
    <s v="専門学校"/>
    <s v=""/>
    <x v="40"/>
  </r>
  <r>
    <s v="専門学校"/>
    <s v=""/>
    <x v="4"/>
  </r>
  <r>
    <s v="専門学校"/>
    <s v=""/>
    <x v="4"/>
  </r>
  <r>
    <s v="専門学校"/>
    <s v=""/>
    <x v="15"/>
  </r>
  <r>
    <s v="専門学校"/>
    <s v=""/>
    <x v="30"/>
  </r>
  <r>
    <s v="専門学校"/>
    <s v=""/>
    <x v="41"/>
  </r>
  <r>
    <s v="専門学校"/>
    <s v=""/>
    <x v="42"/>
  </r>
  <r>
    <s v="専門学校"/>
    <s v=""/>
    <x v="19"/>
  </r>
  <r>
    <s v="専門学校"/>
    <s v=""/>
    <x v="27"/>
  </r>
  <r>
    <s v="専門学校"/>
    <s v=""/>
    <x v="27"/>
  </r>
  <r>
    <s v="大学"/>
    <s v="関西国際大学"/>
    <x v="3"/>
  </r>
  <r>
    <s v="専門学校"/>
    <s v=""/>
    <x v="1"/>
  </r>
  <r>
    <s v="専門学校"/>
    <s v=""/>
    <x v="43"/>
  </r>
  <r>
    <s v="専門学校"/>
    <s v=""/>
    <x v="39"/>
  </r>
  <r>
    <s v="専門学校"/>
    <s v=""/>
    <x v="30"/>
  </r>
  <r>
    <s v="専門学校"/>
    <s v=""/>
    <x v="44"/>
  </r>
  <r>
    <s v="専門学校"/>
    <s v=""/>
    <x v="15"/>
  </r>
  <r>
    <s v="専門学校"/>
    <s v=""/>
    <x v="35"/>
  </r>
  <r>
    <s v="専門学校"/>
    <s v=""/>
    <x v="2"/>
  </r>
  <r>
    <s v="専門学校"/>
    <s v=""/>
    <x v="30"/>
  </r>
  <r>
    <s v="専門学校"/>
    <s v=""/>
    <x v="45"/>
  </r>
  <r>
    <s v="専門学校"/>
    <s v=""/>
    <x v="11"/>
  </r>
  <r>
    <s v="専門学校"/>
    <s v=""/>
    <x v="44"/>
  </r>
  <r>
    <s v="専門学校"/>
    <s v=""/>
    <x v="24"/>
  </r>
  <r>
    <s v="専門学校"/>
    <s v=""/>
    <x v="46"/>
  </r>
  <r>
    <s v="専門学校"/>
    <s v=""/>
    <x v="27"/>
  </r>
  <r>
    <s v="専門学校"/>
    <s v=""/>
    <x v="28"/>
  </r>
  <r>
    <s v="専門学校"/>
    <s v=""/>
    <x v="15"/>
  </r>
  <r>
    <s v="専門学校"/>
    <s v=""/>
    <x v="15"/>
  </r>
  <r>
    <s v="専門学校"/>
    <s v=""/>
    <x v="15"/>
  </r>
  <r>
    <s v="専門学校"/>
    <s v=""/>
    <x v="27"/>
  </r>
  <r>
    <s v="専門学校"/>
    <s v=""/>
    <x v="15"/>
  </r>
  <r>
    <s v="大学"/>
    <s v="神戸親和大学"/>
    <x v="3"/>
  </r>
  <r>
    <s v="専門学校"/>
    <s v=""/>
    <x v="24"/>
  </r>
  <r>
    <s v="専門学校"/>
    <s v=""/>
    <x v="15"/>
  </r>
  <r>
    <s v="専門学校"/>
    <s v=""/>
    <x v="23"/>
  </r>
  <r>
    <s v="専門学校"/>
    <s v=""/>
    <x v="30"/>
  </r>
  <r>
    <s v="専門学校"/>
    <s v=""/>
    <x v="30"/>
  </r>
  <r>
    <s v="専門学校"/>
    <s v=""/>
    <x v="7"/>
  </r>
  <r>
    <s v="専門学校"/>
    <s v=""/>
    <x v="15"/>
  </r>
  <r>
    <s v="専門学校"/>
    <s v=""/>
    <x v="15"/>
  </r>
  <r>
    <s v="専門学校"/>
    <s v=""/>
    <x v="15"/>
  </r>
  <r>
    <s v="専門学校"/>
    <s v=""/>
    <x v="45"/>
  </r>
  <r>
    <s v="専門学校"/>
    <s v=""/>
    <x v="47"/>
  </r>
  <r>
    <s v="専門学校"/>
    <s v=""/>
    <x v="45"/>
  </r>
  <r>
    <s v="専門学校"/>
    <s v=""/>
    <x v="48"/>
  </r>
  <r>
    <s v="専門学校"/>
    <s v=""/>
    <x v="30"/>
  </r>
  <r>
    <s v="専門学校"/>
    <s v=""/>
    <x v="15"/>
  </r>
  <r>
    <s v="専門学校"/>
    <s v=""/>
    <x v="15"/>
  </r>
  <r>
    <s v="専門学校"/>
    <s v=""/>
    <x v="15"/>
  </r>
  <r>
    <s v="専門学校"/>
    <s v=""/>
    <x v="45"/>
  </r>
  <r>
    <s v="専門学校"/>
    <s v=""/>
    <x v="15"/>
  </r>
  <r>
    <s v="専門学校"/>
    <s v=""/>
    <x v="27"/>
  </r>
  <r>
    <s v="専門学校"/>
    <s v=""/>
    <x v="8"/>
  </r>
  <r>
    <s v="専門学校"/>
    <s v=""/>
    <x v="8"/>
  </r>
  <r>
    <s v="専門学校"/>
    <s v=""/>
    <x v="15"/>
  </r>
  <r>
    <s v="大学"/>
    <s v="四国大学短期学部"/>
    <x v="3"/>
  </r>
  <r>
    <s v="大学"/>
    <s v="大阪観光大学"/>
    <x v="3"/>
  </r>
  <r>
    <s v="大学"/>
    <s v="芦屋大学"/>
    <x v="3"/>
  </r>
  <r>
    <s v="大学"/>
    <s v="流通科学大学"/>
    <x v="3"/>
  </r>
  <r>
    <s v="大学"/>
    <s v="流通科学大学"/>
    <x v="3"/>
  </r>
  <r>
    <s v="専門学校"/>
    <s v=""/>
    <x v="15"/>
  </r>
  <r>
    <s v="大学"/>
    <s v="流通科学大学"/>
    <x v="3"/>
  </r>
  <r>
    <s v="専門学校"/>
    <s v=""/>
    <x v="4"/>
  </r>
  <r>
    <s v="大学"/>
    <s v="流通科学大学"/>
    <x v="3"/>
  </r>
  <r>
    <s v="専門学校"/>
    <s v=""/>
    <x v="1"/>
  </r>
  <r>
    <s v="専門学校"/>
    <s v=""/>
    <x v="2"/>
  </r>
  <r>
    <s v="大学"/>
    <s v="流通科学大学"/>
    <x v="3"/>
  </r>
  <r>
    <s v="専門学校"/>
    <s v=""/>
    <x v="37"/>
  </r>
  <r>
    <s v="専門学校"/>
    <s v=""/>
    <x v="5"/>
  </r>
  <r>
    <s v="大学"/>
    <s v="流通科学大学"/>
    <x v="3"/>
  </r>
  <r>
    <s v="大学"/>
    <s v="神戸親和大学"/>
    <x v="3"/>
  </r>
  <r>
    <s v="専門学校"/>
    <s v=""/>
    <x v="5"/>
  </r>
  <r>
    <s v="専門学校"/>
    <s v=""/>
    <x v="22"/>
  </r>
  <r>
    <s v="専門学校"/>
    <s v=""/>
    <x v="22"/>
  </r>
  <r>
    <s v="専門学校"/>
    <s v=""/>
    <x v="11"/>
  </r>
  <r>
    <s v="専門学校"/>
    <s v=""/>
    <x v="22"/>
  </r>
  <r>
    <s v="就職"/>
    <s v=""/>
    <x v="3"/>
  </r>
  <r>
    <s v="帰国予定"/>
    <s v=""/>
    <x v="3"/>
  </r>
  <r>
    <s v=""/>
    <s v=""/>
    <x v="3"/>
  </r>
  <r>
    <s v="専門学校"/>
    <s v=""/>
    <x v="49"/>
  </r>
  <r>
    <s v="専門学校"/>
    <s v=""/>
    <x v="13"/>
  </r>
  <r>
    <s v="専門学校"/>
    <s v=""/>
    <x v="22"/>
  </r>
  <r>
    <s v="専門学校"/>
    <s v=""/>
    <x v="2"/>
  </r>
  <r>
    <s v="専門学校"/>
    <s v=""/>
    <x v="24"/>
  </r>
  <r>
    <s v="専門学校"/>
    <s v=""/>
    <x v="24"/>
  </r>
  <r>
    <s v="専門学校"/>
    <s v=""/>
    <x v="24"/>
  </r>
  <r>
    <s v="専門学校"/>
    <s v=""/>
    <x v="2"/>
  </r>
  <r>
    <s v="専門学校"/>
    <s v=""/>
    <x v="2"/>
  </r>
  <r>
    <s v="専門学校"/>
    <s v=""/>
    <x v="2"/>
  </r>
  <r>
    <s v="専門学校"/>
    <s v=""/>
    <x v="8"/>
  </r>
  <r>
    <s v="専門学校"/>
    <s v=""/>
    <x v="8"/>
  </r>
  <r>
    <s v="専門学校"/>
    <s v=""/>
    <x v="8"/>
  </r>
  <r>
    <s v="専門学校"/>
    <s v=""/>
    <x v="22"/>
  </r>
  <r>
    <s v="専門学校"/>
    <s v=""/>
    <x v="2"/>
  </r>
  <r>
    <s v=""/>
    <s v="神戸市外国語大学大学院研究生"/>
    <x v="3"/>
  </r>
  <r>
    <s v=""/>
    <s v=""/>
    <x v="50"/>
  </r>
  <r>
    <s v=""/>
    <s v=""/>
    <x v="3"/>
  </r>
  <r>
    <s v=""/>
    <s v=""/>
    <x v="3"/>
  </r>
  <r>
    <s v=""/>
    <s v=""/>
    <x v="3"/>
  </r>
  <r>
    <s v=""/>
    <s v=""/>
    <x v="3"/>
  </r>
  <r>
    <s v=""/>
    <s v=""/>
    <x v="3"/>
  </r>
  <r>
    <s v=""/>
    <s v=""/>
    <x v="3"/>
  </r>
  <r>
    <s v=""/>
    <s v=""/>
    <x v="3"/>
  </r>
  <r>
    <s v=""/>
    <s v=""/>
    <x v="3"/>
  </r>
  <r>
    <s v=""/>
    <s v="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ピボットテーブル2" cacheId="7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rowHeaderCaption="進学先">
  <location ref="A1:B21" firstHeaderRow="1" firstDataRow="1" firstDataCol="1"/>
  <pivotFields count="2">
    <pivotField showAll="0"/>
    <pivotField axis="axisRow" dataField="1" showAll="0" sortType="descending">
      <items count="61">
        <item h="1" x="0"/>
        <item m="1" x="56"/>
        <item m="1" x="44"/>
        <item m="1" x="55"/>
        <item x="10"/>
        <item m="1" x="58"/>
        <item m="1" x="46"/>
        <item m="1" x="43"/>
        <item m="1" x="49"/>
        <item x="9"/>
        <item m="1" x="54"/>
        <item m="1" x="29"/>
        <item x="5"/>
        <item m="1" x="48"/>
        <item m="1" x="53"/>
        <item x="1"/>
        <item x="16"/>
        <item x="12"/>
        <item m="1" x="45"/>
        <item m="1" x="57"/>
        <item x="4"/>
        <item m="1" x="51"/>
        <item m="1" x="47"/>
        <item m="1" x="59"/>
        <item m="1" x="52"/>
        <item x="19"/>
        <item m="1" x="50"/>
        <item m="1" x="41"/>
        <item m="1" x="42"/>
        <item m="1" x="40"/>
        <item m="1" x="20"/>
        <item m="1" x="21"/>
        <item m="1" x="22"/>
        <item m="1" x="23"/>
        <item x="18"/>
        <item m="1" x="24"/>
        <item m="1" x="25"/>
        <item m="1" x="26"/>
        <item m="1" x="27"/>
        <item m="1" x="28"/>
        <item m="1" x="30"/>
        <item x="6"/>
        <item x="3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2"/>
        <item x="7"/>
        <item x="8"/>
        <item x="11"/>
        <item x="13"/>
        <item x="14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0">
    <i>
      <x v="12"/>
    </i>
    <i>
      <x v="42"/>
    </i>
    <i>
      <x v="9"/>
    </i>
    <i>
      <x v="15"/>
    </i>
    <i>
      <x v="17"/>
    </i>
    <i>
      <x v="41"/>
    </i>
    <i>
      <x v="54"/>
    </i>
    <i>
      <x v="58"/>
    </i>
    <i>
      <x v="56"/>
    </i>
    <i>
      <x v="25"/>
    </i>
    <i>
      <x v="20"/>
    </i>
    <i>
      <x v="34"/>
    </i>
    <i>
      <x v="55"/>
    </i>
    <i>
      <x v="4"/>
    </i>
    <i>
      <x v="57"/>
    </i>
    <i>
      <x v="16"/>
    </i>
    <i>
      <x v="59"/>
    </i>
    <i>
      <x v="52"/>
    </i>
    <i>
      <x v="53"/>
    </i>
    <i t="grand">
      <x/>
    </i>
  </rowItems>
  <colItems count="1">
    <i/>
  </colItems>
  <dataFields count="1">
    <dataField name="人数" fld="1" subtotal="count" baseField="1" baseItem="1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ピボットテーブル3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rowHeaderCaption="進学先">
  <location ref="A1:B49" firstHeaderRow="1" firstDataRow="1" firstDataCol="1"/>
  <pivotFields count="3">
    <pivotField showAll="0"/>
    <pivotField showAll="0"/>
    <pivotField axis="axisRow" dataField="1" showAll="0" sortType="descending">
      <items count="119">
        <item h="1" x="3"/>
        <item m="1" x="98"/>
        <item m="1" x="106"/>
        <item m="1" x="102"/>
        <item m="1" x="111"/>
        <item m="1" x="109"/>
        <item m="1" x="105"/>
        <item m="1" x="108"/>
        <item m="1" x="110"/>
        <item m="1" x="116"/>
        <item m="1" x="114"/>
        <item m="1" x="101"/>
        <item m="1" x="112"/>
        <item m="1" x="103"/>
        <item m="1" x="117"/>
        <item x="49"/>
        <item m="1" x="107"/>
        <item m="1" x="104"/>
        <item m="1" x="99"/>
        <item x="7"/>
        <item x="1"/>
        <item m="1" x="84"/>
        <item m="1" x="97"/>
        <item m="1" x="100"/>
        <item m="1" x="115"/>
        <item x="9"/>
        <item x="6"/>
        <item m="1" x="113"/>
        <item m="1" x="53"/>
        <item x="38"/>
        <item x="5"/>
        <item x="21"/>
        <item m="1" x="95"/>
        <item m="1" x="96"/>
        <item x="11"/>
        <item m="1" x="55"/>
        <item x="30"/>
        <item x="2"/>
        <item m="1" x="56"/>
        <item x="46"/>
        <item m="1" x="57"/>
        <item x="22"/>
        <item m="1" x="58"/>
        <item m="1" x="59"/>
        <item m="1" x="60"/>
        <item x="27"/>
        <item m="1" x="61"/>
        <item m="1" x="62"/>
        <item m="1" x="63"/>
        <item x="25"/>
        <item m="1" x="64"/>
        <item m="1" x="65"/>
        <item m="1" x="66"/>
        <item m="1" x="67"/>
        <item m="1" x="68"/>
        <item x="23"/>
        <item m="1" x="69"/>
        <item x="31"/>
        <item m="1" x="70"/>
        <item x="8"/>
        <item x="48"/>
        <item m="1" x="71"/>
        <item m="1" x="72"/>
        <item m="1" x="73"/>
        <item m="1" x="74"/>
        <item m="1" x="75"/>
        <item m="1" x="76"/>
        <item m="1" x="77"/>
        <item m="1" x="78"/>
        <item x="26"/>
        <item x="13"/>
        <item m="1" x="79"/>
        <item m="1" x="80"/>
        <item m="1" x="81"/>
        <item m="1" x="82"/>
        <item m="1" x="83"/>
        <item m="1" x="85"/>
        <item m="1" x="86"/>
        <item m="1" x="87"/>
        <item m="1" x="88"/>
        <item m="1" x="89"/>
        <item m="1" x="90"/>
        <item x="33"/>
        <item m="1" x="91"/>
        <item m="1" x="92"/>
        <item m="1" x="93"/>
        <item m="1" x="94"/>
        <item x="0"/>
        <item x="4"/>
        <item x="10"/>
        <item x="12"/>
        <item x="14"/>
        <item x="15"/>
        <item x="16"/>
        <item x="17"/>
        <item x="18"/>
        <item x="19"/>
        <item x="20"/>
        <item x="24"/>
        <item m="1" x="51"/>
        <item m="1" x="52"/>
        <item x="32"/>
        <item x="34"/>
        <item x="35"/>
        <item x="36"/>
        <item x="37"/>
        <item x="40"/>
        <item x="41"/>
        <item x="42"/>
        <item x="44"/>
        <item x="45"/>
        <item x="28"/>
        <item x="47"/>
        <item m="1" x="54"/>
        <item x="50"/>
        <item h="1" x="29"/>
        <item h="1" x="39"/>
        <item h="1"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8">
    <i>
      <x v="92"/>
    </i>
    <i>
      <x v="37"/>
    </i>
    <i>
      <x v="34"/>
    </i>
    <i>
      <x v="20"/>
    </i>
    <i>
      <x v="59"/>
    </i>
    <i>
      <x v="36"/>
    </i>
    <i>
      <x v="41"/>
    </i>
    <i>
      <x v="45"/>
    </i>
    <i>
      <x v="55"/>
    </i>
    <i>
      <x v="88"/>
    </i>
    <i>
      <x v="98"/>
    </i>
    <i>
      <x v="30"/>
    </i>
    <i>
      <x v="26"/>
    </i>
    <i>
      <x v="110"/>
    </i>
    <i>
      <x v="49"/>
    </i>
    <i>
      <x v="70"/>
    </i>
    <i>
      <x v="19"/>
    </i>
    <i>
      <x v="96"/>
    </i>
    <i>
      <x v="105"/>
    </i>
    <i>
      <x v="31"/>
    </i>
    <i>
      <x v="103"/>
    </i>
    <i>
      <x v="111"/>
    </i>
    <i>
      <x v="109"/>
    </i>
    <i>
      <x v="57"/>
    </i>
    <i>
      <x v="87"/>
    </i>
    <i>
      <x v="91"/>
    </i>
    <i>
      <x v="108"/>
    </i>
    <i>
      <x v="104"/>
    </i>
    <i>
      <x v="102"/>
    </i>
    <i>
      <x v="112"/>
    </i>
    <i>
      <x v="106"/>
    </i>
    <i>
      <x v="69"/>
    </i>
    <i>
      <x v="90"/>
    </i>
    <i>
      <x v="94"/>
    </i>
    <i>
      <x v="39"/>
    </i>
    <i>
      <x v="95"/>
    </i>
    <i>
      <x v="15"/>
    </i>
    <i>
      <x v="29"/>
    </i>
    <i>
      <x v="107"/>
    </i>
    <i>
      <x v="97"/>
    </i>
    <i>
      <x v="89"/>
    </i>
    <i>
      <x v="82"/>
    </i>
    <i>
      <x v="60"/>
    </i>
    <i>
      <x v="101"/>
    </i>
    <i>
      <x v="114"/>
    </i>
    <i>
      <x v="25"/>
    </i>
    <i>
      <x v="93"/>
    </i>
    <i t="grand">
      <x/>
    </i>
  </rowItems>
  <colItems count="1">
    <i/>
  </colItems>
  <dataFields count="1">
    <dataField name="人数" fld="2" subtotal="count" baseField="0" baseItem="3335727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A1:N264" totalsRowShown="0" dataDxfId="14">
  <autoFilter ref="A1:N264" xr:uid="{00000000-000C-0000-FFFF-FFFF00000000}"/>
  <sortState xmlns:xlrd2="http://schemas.microsoft.com/office/spreadsheetml/2017/richdata2" ref="A2:N253">
    <sortCondition ref="B1:B264"/>
  </sortState>
  <tableColumns count="14">
    <tableColumn id="1" xr3:uid="{00000000-0010-0000-0000-000001000000}" name="学籍番号" dataDxfId="13"/>
    <tableColumn id="2" xr3:uid="{00000000-0010-0000-0000-000002000000}" name="クラス" dataDxfId="12"/>
    <tableColumn id="3" xr3:uid="{00000000-0010-0000-0000-000003000000}" name="氏名" dataDxfId="11"/>
    <tableColumn id="4" xr3:uid="{00000000-0010-0000-0000-000004000000}" name="卒業・退学" dataDxfId="10"/>
    <tableColumn id="5" xr3:uid="{00000000-0010-0000-0000-000005000000}" name="進路区分" dataDxfId="9"/>
    <tableColumn id="6" xr3:uid="{00000000-0010-0000-0000-000006000000}" name="最終合格校" dataDxfId="8"/>
    <tableColumn id="8" xr3:uid="{00000000-0010-0000-0000-000008000000}" name="出願経験" dataDxfId="7"/>
    <tableColumn id="14" xr3:uid="{00000000-0010-0000-0000-00000E000000}" name="1年生" dataDxfId="6"/>
    <tableColumn id="7" xr3:uid="{00000000-0010-0000-0000-000007000000}" name="退学理由" dataDxfId="5"/>
    <tableColumn id="9" xr3:uid="{00000000-0010-0000-0000-000009000000}" name="進学希望" dataDxfId="4">
      <calculatedColumnFormula>IF(OR(テーブル1[[#This Row],[最終合格校]]&lt;&gt;"",テーブル1[[#This Row],[進路区分]]="進学未定",テーブル1[[#This Row],[出願経験]]="有"),"○","")&amp;F2</calculatedColumnFormula>
    </tableColumn>
    <tableColumn id="10" xr3:uid="{00000000-0010-0000-0000-00000A000000}" name="卒業者進路" dataDxfId="3">
      <calculatedColumnFormula>IF(OR(D2="卒業",D2="修了",D2="延長"),E2,"")</calculatedColumnFormula>
    </tableColumn>
    <tableColumn id="11" xr3:uid="{00000000-0010-0000-0000-00000B000000}" name="大学・大学院" dataDxfId="2">
      <calculatedColumnFormula>IF(E2="大学",F2,IF(E2="大学院",F2,""))</calculatedColumnFormula>
    </tableColumn>
    <tableColumn id="12" xr3:uid="{00000000-0010-0000-0000-00000C000000}" name="専門学校" dataDxfId="1">
      <calculatedColumnFormula>IF(E2="専門学校",F2,"")</calculatedColumnFormula>
    </tableColumn>
    <tableColumn id="13" xr3:uid="{00000000-0010-0000-0000-00000D000000}" name="進学先" dataDxfId="0">
      <calculatedColumnFormula>テーブル1[[#This Row],[大学・大学院]]&amp;テーブル1[[#This Row],[専門学校]]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5"/>
  <sheetViews>
    <sheetView tabSelected="1" workbookViewId="0">
      <pane ySplit="1" topLeftCell="A219" activePane="bottomLeft" state="frozen"/>
      <selection pane="bottomLeft" activeCell="J254" sqref="J254"/>
    </sheetView>
  </sheetViews>
  <sheetFormatPr defaultRowHeight="18.75" x14ac:dyDescent="0.4"/>
  <cols>
    <col min="3" max="3" width="24" customWidth="1"/>
    <col min="4" max="4" width="12.125" customWidth="1"/>
    <col min="5" max="5" width="13" bestFit="1" customWidth="1"/>
    <col min="6" max="6" width="25.5" bestFit="1" customWidth="1"/>
    <col min="7" max="8" width="7.125" customWidth="1"/>
    <col min="9" max="9" width="10.25" customWidth="1"/>
    <col min="10" max="10" width="27.625" bestFit="1" customWidth="1"/>
    <col min="11" max="11" width="12.125" customWidth="1"/>
    <col min="12" max="12" width="17.25" bestFit="1" customWidth="1"/>
    <col min="13" max="14" width="25.5" bestFit="1" customWidth="1"/>
  </cols>
  <sheetData>
    <row r="1" spans="1:14" x14ac:dyDescent="0.4">
      <c r="A1" t="s">
        <v>26</v>
      </c>
      <c r="B1" t="s">
        <v>25</v>
      </c>
      <c r="C1" t="s">
        <v>24</v>
      </c>
      <c r="D1" t="s">
        <v>3</v>
      </c>
      <c r="E1" t="s">
        <v>1</v>
      </c>
      <c r="F1" t="s">
        <v>0</v>
      </c>
      <c r="G1" t="s">
        <v>44</v>
      </c>
      <c r="H1" t="s">
        <v>48</v>
      </c>
      <c r="I1" t="s">
        <v>4</v>
      </c>
      <c r="J1" t="s">
        <v>6</v>
      </c>
      <c r="K1" t="s">
        <v>13</v>
      </c>
      <c r="L1" t="s">
        <v>18</v>
      </c>
      <c r="M1" t="s">
        <v>19</v>
      </c>
      <c r="N1" t="s">
        <v>23</v>
      </c>
    </row>
    <row r="2" spans="1:14" x14ac:dyDescent="0.4">
      <c r="A2" s="4">
        <v>2304010</v>
      </c>
      <c r="B2" s="5" t="s">
        <v>74</v>
      </c>
      <c r="C2" t="s">
        <v>87</v>
      </c>
      <c r="D2" t="s">
        <v>486</v>
      </c>
      <c r="E2" t="s">
        <v>15</v>
      </c>
      <c r="F2" t="s">
        <v>416</v>
      </c>
      <c r="G2" t="s">
        <v>307</v>
      </c>
      <c r="J2" t="str">
        <f>IF(OR(テーブル1[[#This Row],[最終合格校]]&lt;&gt;"",テーブル1[[#This Row],[進路区分]]="進学未定",テーブル1[[#This Row],[出願経験]]="有"),"○","")&amp;F2</f>
        <v>○兵庫県立総合衛生学院</v>
      </c>
      <c r="K2" t="str">
        <f t="shared" ref="K2:K65" si="0">IF(OR(D2="卒業",D2="修了",D2="延長"),E2,"")</f>
        <v>専門学校</v>
      </c>
      <c r="L2" t="str">
        <f t="shared" ref="L2:L65" si="1">IF(E2="大学",F2,IF(E2="大学院",F2,""))</f>
        <v/>
      </c>
      <c r="M2" t="str">
        <f t="shared" ref="M2:M65" si="2">IF(E2="専門学校",F2,"")</f>
        <v>兵庫県立総合衛生学院</v>
      </c>
      <c r="N2" t="str">
        <f>テーブル1[[#This Row],[大学・大学院]]&amp;テーブル1[[#This Row],[専門学校]]</f>
        <v>兵庫県立総合衛生学院</v>
      </c>
    </row>
    <row r="3" spans="1:14" x14ac:dyDescent="0.4">
      <c r="A3" s="4">
        <v>2304066</v>
      </c>
      <c r="B3" s="5" t="s">
        <v>74</v>
      </c>
      <c r="C3" t="s">
        <v>88</v>
      </c>
      <c r="D3" t="s">
        <v>486</v>
      </c>
      <c r="E3" t="s">
        <v>15</v>
      </c>
      <c r="F3" t="s">
        <v>38</v>
      </c>
      <c r="G3" t="s">
        <v>307</v>
      </c>
      <c r="J3" t="str">
        <f>IF(OR(テーブル1[[#This Row],[最終合格校]]&lt;&gt;"",テーブル1[[#This Row],[進路区分]]="進学未定",テーブル1[[#This Row],[出願経験]]="有"),"○","")&amp;F3</f>
        <v>○神戸電子専門学校</v>
      </c>
      <c r="K3" t="str">
        <f t="shared" si="0"/>
        <v>専門学校</v>
      </c>
      <c r="L3" t="str">
        <f t="shared" si="1"/>
        <v/>
      </c>
      <c r="M3" t="str">
        <f t="shared" si="2"/>
        <v>神戸電子専門学校</v>
      </c>
      <c r="N3" t="str">
        <f>テーブル1[[#This Row],[大学・大学院]]&amp;テーブル1[[#This Row],[専門学校]]</f>
        <v>神戸電子専門学校</v>
      </c>
    </row>
    <row r="4" spans="1:14" x14ac:dyDescent="0.4">
      <c r="A4" s="4">
        <v>2304067</v>
      </c>
      <c r="B4" s="5" t="s">
        <v>74</v>
      </c>
      <c r="C4" t="s">
        <v>89</v>
      </c>
      <c r="D4" t="s">
        <v>486</v>
      </c>
      <c r="E4" t="s">
        <v>15</v>
      </c>
      <c r="F4" t="s">
        <v>38</v>
      </c>
      <c r="G4" t="s">
        <v>307</v>
      </c>
      <c r="J4" t="str">
        <f>IF(OR(テーブル1[[#This Row],[最終合格校]]&lt;&gt;"",テーブル1[[#This Row],[進路区分]]="進学未定",テーブル1[[#This Row],[出願経験]]="有"),"○","")&amp;F4</f>
        <v>○神戸電子専門学校</v>
      </c>
      <c r="K4" t="str">
        <f t="shared" si="0"/>
        <v>専門学校</v>
      </c>
      <c r="L4" t="str">
        <f t="shared" si="1"/>
        <v/>
      </c>
      <c r="M4" t="str">
        <f t="shared" si="2"/>
        <v>神戸電子専門学校</v>
      </c>
      <c r="N4" t="str">
        <f>テーブル1[[#This Row],[大学・大学院]]&amp;テーブル1[[#This Row],[専門学校]]</f>
        <v>神戸電子専門学校</v>
      </c>
    </row>
    <row r="5" spans="1:14" x14ac:dyDescent="0.4">
      <c r="A5" s="4">
        <v>2304069</v>
      </c>
      <c r="B5" s="5" t="s">
        <v>74</v>
      </c>
      <c r="C5" t="s">
        <v>90</v>
      </c>
      <c r="D5" t="s">
        <v>486</v>
      </c>
      <c r="E5" t="s">
        <v>15</v>
      </c>
      <c r="F5" t="s">
        <v>320</v>
      </c>
      <c r="G5" t="s">
        <v>307</v>
      </c>
      <c r="J5" t="str">
        <f>IF(OR(テーブル1[[#This Row],[最終合格校]]&lt;&gt;"",テーブル1[[#This Row],[進路区分]]="進学未定",テーブル1[[#This Row],[出願経験]]="有"),"○","")&amp;F5</f>
        <v>○東京国際ビジネスカレッジ神戸校</v>
      </c>
      <c r="K5" t="str">
        <f t="shared" si="0"/>
        <v>専門学校</v>
      </c>
      <c r="L5" t="str">
        <f t="shared" si="1"/>
        <v/>
      </c>
      <c r="M5" t="str">
        <f t="shared" si="2"/>
        <v>東京国際ビジネスカレッジ神戸校</v>
      </c>
      <c r="N5" t="str">
        <f>テーブル1[[#This Row],[大学・大学院]]&amp;テーブル1[[#This Row],[専門学校]]</f>
        <v>東京国際ビジネスカレッジ神戸校</v>
      </c>
    </row>
    <row r="6" spans="1:14" x14ac:dyDescent="0.4">
      <c r="A6" s="4">
        <v>2304070</v>
      </c>
      <c r="B6" s="5" t="s">
        <v>74</v>
      </c>
      <c r="C6" t="s">
        <v>388</v>
      </c>
      <c r="D6" t="s">
        <v>486</v>
      </c>
      <c r="E6" t="s">
        <v>14</v>
      </c>
      <c r="F6" t="s">
        <v>387</v>
      </c>
      <c r="G6" t="s">
        <v>307</v>
      </c>
      <c r="J6" t="str">
        <f>IF(OR(テーブル1[[#This Row],[最終合格校]]&lt;&gt;"",テーブル1[[#This Row],[進路区分]]="進学未定",テーブル1[[#This Row],[出願経験]]="有"),"○","")&amp;F6</f>
        <v>○神戸国際大学</v>
      </c>
      <c r="K6" t="str">
        <f t="shared" si="0"/>
        <v>大学</v>
      </c>
      <c r="L6" t="str">
        <f t="shared" si="1"/>
        <v>神戸国際大学</v>
      </c>
      <c r="M6" t="str">
        <f t="shared" si="2"/>
        <v/>
      </c>
      <c r="N6" t="str">
        <f>テーブル1[[#This Row],[大学・大学院]]&amp;テーブル1[[#This Row],[専門学校]]</f>
        <v>神戸国際大学</v>
      </c>
    </row>
    <row r="7" spans="1:14" x14ac:dyDescent="0.4">
      <c r="A7" s="4">
        <v>2304071</v>
      </c>
      <c r="B7" s="6" t="s">
        <v>74</v>
      </c>
      <c r="C7" s="7" t="s">
        <v>91</v>
      </c>
      <c r="D7" t="s">
        <v>486</v>
      </c>
      <c r="E7" t="s">
        <v>15</v>
      </c>
      <c r="F7" t="s">
        <v>455</v>
      </c>
      <c r="G7" t="s">
        <v>307</v>
      </c>
      <c r="J7" t="str">
        <f>IF(OR(テーブル1[[#This Row],[最終合格校]]&lt;&gt;"",テーブル1[[#This Row],[進路区分]]="進学未定",テーブル1[[#This Row],[出願経験]]="有"),"○","")&amp;F7</f>
        <v>○ECCコンピュータ専門学校</v>
      </c>
      <c r="K7" t="str">
        <f t="shared" si="0"/>
        <v>専門学校</v>
      </c>
      <c r="L7" t="str">
        <f t="shared" si="1"/>
        <v/>
      </c>
      <c r="M7" t="str">
        <f t="shared" si="2"/>
        <v>ECCコンピュータ専門学校</v>
      </c>
      <c r="N7" t="str">
        <f>テーブル1[[#This Row],[大学・大学院]]&amp;テーブル1[[#This Row],[専門学校]]</f>
        <v>ECCコンピュータ専門学校</v>
      </c>
    </row>
    <row r="8" spans="1:14" x14ac:dyDescent="0.4">
      <c r="A8" s="4">
        <v>2304072</v>
      </c>
      <c r="B8" s="6" t="s">
        <v>74</v>
      </c>
      <c r="C8" s="7" t="s">
        <v>92</v>
      </c>
      <c r="D8" t="s">
        <v>486</v>
      </c>
      <c r="E8" t="s">
        <v>15</v>
      </c>
      <c r="F8" t="s">
        <v>328</v>
      </c>
      <c r="G8" t="s">
        <v>307</v>
      </c>
      <c r="J8" t="str">
        <f>IF(OR(テーブル1[[#This Row],[最終合格校]]&lt;&gt;"",テーブル1[[#This Row],[進路区分]]="進学未定",テーブル1[[#This Row],[出願経験]]="有"),"○","")&amp;F8</f>
        <v>○トヨタ神戸自動車大学校</v>
      </c>
      <c r="K8" t="str">
        <f t="shared" si="0"/>
        <v>専門学校</v>
      </c>
      <c r="L8" t="str">
        <f t="shared" si="1"/>
        <v/>
      </c>
      <c r="M8" t="str">
        <f t="shared" si="2"/>
        <v>トヨタ神戸自動車大学校</v>
      </c>
      <c r="N8" t="str">
        <f>テーブル1[[#This Row],[大学・大学院]]&amp;テーブル1[[#This Row],[専門学校]]</f>
        <v>トヨタ神戸自動車大学校</v>
      </c>
    </row>
    <row r="9" spans="1:14" x14ac:dyDescent="0.4">
      <c r="A9" s="4">
        <v>2304073</v>
      </c>
      <c r="B9" s="6" t="s">
        <v>74</v>
      </c>
      <c r="C9" s="7" t="s">
        <v>341</v>
      </c>
      <c r="D9" t="s">
        <v>486</v>
      </c>
      <c r="E9" t="s">
        <v>15</v>
      </c>
      <c r="F9" t="s">
        <v>340</v>
      </c>
      <c r="G9" t="s">
        <v>307</v>
      </c>
      <c r="J9" t="str">
        <f>IF(OR(テーブル1[[#This Row],[最終合格校]]&lt;&gt;"",テーブル1[[#This Row],[進路区分]]="進学未定",テーブル1[[#This Row],[出願経験]]="有"),"○","")&amp;F9</f>
        <v>○ECCコンピュータ専門学校</v>
      </c>
      <c r="K9" t="str">
        <f t="shared" si="0"/>
        <v>専門学校</v>
      </c>
      <c r="L9" t="str">
        <f t="shared" si="1"/>
        <v/>
      </c>
      <c r="M9" t="str">
        <f t="shared" si="2"/>
        <v>ECCコンピュータ専門学校</v>
      </c>
      <c r="N9" t="str">
        <f>テーブル1[[#This Row],[大学・大学院]]&amp;テーブル1[[#This Row],[専門学校]]</f>
        <v>ECCコンピュータ専門学校</v>
      </c>
    </row>
    <row r="10" spans="1:14" x14ac:dyDescent="0.4">
      <c r="A10" s="4">
        <v>2304074</v>
      </c>
      <c r="B10" s="6" t="s">
        <v>74</v>
      </c>
      <c r="C10" s="7" t="s">
        <v>93</v>
      </c>
      <c r="D10" t="s">
        <v>486</v>
      </c>
      <c r="E10" t="s">
        <v>15</v>
      </c>
      <c r="F10" t="s">
        <v>429</v>
      </c>
      <c r="G10" t="s">
        <v>307</v>
      </c>
      <c r="J10" t="str">
        <f>IF(OR(テーブル1[[#This Row],[最終合格校]]&lt;&gt;"",テーブル1[[#This Row],[進路区分]]="進学未定",テーブル1[[#This Row],[出願経験]]="有"),"○","")&amp;F10</f>
        <v>○ECC国際外語専門学校</v>
      </c>
      <c r="K10" t="str">
        <f t="shared" si="0"/>
        <v>専門学校</v>
      </c>
      <c r="L10" t="str">
        <f t="shared" si="1"/>
        <v/>
      </c>
      <c r="M10" t="str">
        <f t="shared" si="2"/>
        <v>ECC国際外語専門学校</v>
      </c>
      <c r="N10" t="str">
        <f>テーブル1[[#This Row],[大学・大学院]]&amp;テーブル1[[#This Row],[専門学校]]</f>
        <v>ECC国際外語専門学校</v>
      </c>
    </row>
    <row r="11" spans="1:14" x14ac:dyDescent="0.4">
      <c r="A11" s="4">
        <v>2304075</v>
      </c>
      <c r="B11" s="5" t="s">
        <v>74</v>
      </c>
      <c r="C11" t="s">
        <v>94</v>
      </c>
      <c r="D11" t="s">
        <v>486</v>
      </c>
      <c r="E11" t="s">
        <v>15</v>
      </c>
      <c r="F11" t="s">
        <v>417</v>
      </c>
      <c r="G11" t="s">
        <v>307</v>
      </c>
      <c r="J11" t="str">
        <f>IF(OR(テーブル1[[#This Row],[最終合格校]]&lt;&gt;"",テーブル1[[#This Row],[進路区分]]="進学未定",テーブル1[[#This Row],[出願経験]]="有"),"○","")&amp;F11</f>
        <v>○ECC国際外語専門学校</v>
      </c>
      <c r="K11" t="str">
        <f t="shared" si="0"/>
        <v>専門学校</v>
      </c>
      <c r="L11" t="str">
        <f t="shared" si="1"/>
        <v/>
      </c>
      <c r="M11" t="str">
        <f t="shared" si="2"/>
        <v>ECC国際外語専門学校</v>
      </c>
      <c r="N11" t="str">
        <f>テーブル1[[#This Row],[大学・大学院]]&amp;テーブル1[[#This Row],[専門学校]]</f>
        <v>ECC国際外語専門学校</v>
      </c>
    </row>
    <row r="12" spans="1:14" x14ac:dyDescent="0.4">
      <c r="A12" s="4">
        <v>2304081</v>
      </c>
      <c r="B12" s="6" t="s">
        <v>74</v>
      </c>
      <c r="C12" s="7" t="s">
        <v>95</v>
      </c>
      <c r="D12" t="s">
        <v>486</v>
      </c>
      <c r="E12" t="s">
        <v>15</v>
      </c>
      <c r="F12" t="s">
        <v>38</v>
      </c>
      <c r="G12" t="s">
        <v>307</v>
      </c>
      <c r="J12" t="str">
        <f>IF(OR(テーブル1[[#This Row],[最終合格校]]&lt;&gt;"",テーブル1[[#This Row],[進路区分]]="進学未定",テーブル1[[#This Row],[出願経験]]="有"),"○","")&amp;F12</f>
        <v>○神戸電子専門学校</v>
      </c>
      <c r="K12" t="str">
        <f t="shared" si="0"/>
        <v>専門学校</v>
      </c>
      <c r="L12" t="str">
        <f t="shared" si="1"/>
        <v/>
      </c>
      <c r="M12" t="str">
        <f t="shared" si="2"/>
        <v>神戸電子専門学校</v>
      </c>
      <c r="N12" t="str">
        <f>テーブル1[[#This Row],[大学・大学院]]&amp;テーブル1[[#This Row],[専門学校]]</f>
        <v>神戸電子専門学校</v>
      </c>
    </row>
    <row r="13" spans="1:14" x14ac:dyDescent="0.4">
      <c r="A13" s="4">
        <v>2304090</v>
      </c>
      <c r="B13" s="5" t="s">
        <v>74</v>
      </c>
      <c r="C13" t="s">
        <v>96</v>
      </c>
      <c r="D13" t="s">
        <v>486</v>
      </c>
      <c r="E13" t="s">
        <v>15</v>
      </c>
      <c r="F13" t="s">
        <v>340</v>
      </c>
      <c r="G13" t="s">
        <v>307</v>
      </c>
      <c r="J13" t="str">
        <f>IF(OR(テーブル1[[#This Row],[最終合格校]]&lt;&gt;"",テーブル1[[#This Row],[進路区分]]="進学未定",テーブル1[[#This Row],[出願経験]]="有"),"○","")&amp;F13</f>
        <v>○ECCコンピュータ専門学校</v>
      </c>
      <c r="K13" t="str">
        <f t="shared" si="0"/>
        <v>専門学校</v>
      </c>
      <c r="L13" t="str">
        <f t="shared" si="1"/>
        <v/>
      </c>
      <c r="M13" t="str">
        <f t="shared" si="2"/>
        <v>ECCコンピュータ専門学校</v>
      </c>
      <c r="N13" t="str">
        <f>テーブル1[[#This Row],[大学・大学院]]&amp;テーブル1[[#This Row],[専門学校]]</f>
        <v>ECCコンピュータ専門学校</v>
      </c>
    </row>
    <row r="14" spans="1:14" x14ac:dyDescent="0.4">
      <c r="A14" s="4">
        <v>2304092</v>
      </c>
      <c r="B14" s="5" t="s">
        <v>74</v>
      </c>
      <c r="C14" t="s">
        <v>97</v>
      </c>
      <c r="D14" t="s">
        <v>486</v>
      </c>
      <c r="E14" t="s">
        <v>15</v>
      </c>
      <c r="F14" t="s">
        <v>38</v>
      </c>
      <c r="G14" t="s">
        <v>307</v>
      </c>
      <c r="J14" t="str">
        <f>IF(OR(テーブル1[[#This Row],[最終合格校]]&lt;&gt;"",テーブル1[[#This Row],[進路区分]]="進学未定",テーブル1[[#This Row],[出願経験]]="有"),"○","")&amp;F14</f>
        <v>○神戸電子専門学校</v>
      </c>
      <c r="K14" t="str">
        <f t="shared" si="0"/>
        <v>専門学校</v>
      </c>
      <c r="L14" t="str">
        <f t="shared" si="1"/>
        <v/>
      </c>
      <c r="M14" t="str">
        <f t="shared" si="2"/>
        <v>神戸電子専門学校</v>
      </c>
      <c r="N14" t="str">
        <f>テーブル1[[#This Row],[大学・大学院]]&amp;テーブル1[[#This Row],[専門学校]]</f>
        <v>神戸電子専門学校</v>
      </c>
    </row>
    <row r="15" spans="1:14" x14ac:dyDescent="0.4">
      <c r="A15" s="4">
        <v>2304093</v>
      </c>
      <c r="B15" s="5" t="s">
        <v>74</v>
      </c>
      <c r="C15" t="s">
        <v>98</v>
      </c>
      <c r="D15" t="s">
        <v>486</v>
      </c>
      <c r="E15" t="s">
        <v>461</v>
      </c>
      <c r="F15" t="s">
        <v>320</v>
      </c>
      <c r="G15" t="s">
        <v>307</v>
      </c>
      <c r="J15" t="str">
        <f>IF(OR(テーブル1[[#This Row],[最終合格校]]&lt;&gt;"",テーブル1[[#This Row],[進路区分]]="進学未定",テーブル1[[#This Row],[出願経験]]="有"),"○","")&amp;F15</f>
        <v>○東京国際ビジネスカレッジ神戸校</v>
      </c>
      <c r="K15" t="str">
        <f t="shared" si="0"/>
        <v>特定活動ビザ</v>
      </c>
      <c r="L15" t="str">
        <f t="shared" si="1"/>
        <v/>
      </c>
      <c r="M15" t="str">
        <f t="shared" si="2"/>
        <v/>
      </c>
      <c r="N15" t="str">
        <f>テーブル1[[#This Row],[大学・大学院]]&amp;テーブル1[[#This Row],[専門学校]]</f>
        <v/>
      </c>
    </row>
    <row r="16" spans="1:14" x14ac:dyDescent="0.4">
      <c r="A16" s="4">
        <v>2304095</v>
      </c>
      <c r="B16" s="6" t="s">
        <v>74</v>
      </c>
      <c r="C16" s="7" t="s">
        <v>99</v>
      </c>
      <c r="D16" t="s">
        <v>486</v>
      </c>
      <c r="E16" t="s">
        <v>15</v>
      </c>
      <c r="F16" t="s">
        <v>383</v>
      </c>
      <c r="G16" t="s">
        <v>307</v>
      </c>
      <c r="J16" t="str">
        <f>IF(OR(テーブル1[[#This Row],[最終合格校]]&lt;&gt;"",テーブル1[[#This Row],[進路区分]]="進学未定",テーブル1[[#This Row],[出願経験]]="有"),"○","")&amp;F16</f>
        <v>○神戸電子専門学校</v>
      </c>
      <c r="K16" t="str">
        <f t="shared" si="0"/>
        <v>専門学校</v>
      </c>
      <c r="L16" t="str">
        <f t="shared" si="1"/>
        <v/>
      </c>
      <c r="M16" t="str">
        <f t="shared" si="2"/>
        <v>神戸電子専門学校</v>
      </c>
      <c r="N16" t="str">
        <f>テーブル1[[#This Row],[大学・大学院]]&amp;テーブル1[[#This Row],[専門学校]]</f>
        <v>神戸電子専門学校</v>
      </c>
    </row>
    <row r="17" spans="1:14" x14ac:dyDescent="0.4">
      <c r="A17" s="4">
        <v>2307007</v>
      </c>
      <c r="B17" s="5" t="s">
        <v>74</v>
      </c>
      <c r="C17" t="s">
        <v>100</v>
      </c>
      <c r="D17" t="s">
        <v>486</v>
      </c>
      <c r="E17" t="s">
        <v>15</v>
      </c>
      <c r="F17" t="s">
        <v>320</v>
      </c>
      <c r="G17" t="s">
        <v>307</v>
      </c>
      <c r="J17" t="str">
        <f>IF(OR(テーブル1[[#This Row],[最終合格校]]&lt;&gt;"",テーブル1[[#This Row],[進路区分]]="進学未定",テーブル1[[#This Row],[出願経験]]="有"),"○","")&amp;F17</f>
        <v>○東京国際ビジネスカレッジ神戸校</v>
      </c>
      <c r="K17" t="str">
        <f t="shared" si="0"/>
        <v>専門学校</v>
      </c>
      <c r="L17" t="str">
        <f t="shared" si="1"/>
        <v/>
      </c>
      <c r="M17" t="str">
        <f t="shared" si="2"/>
        <v>東京国際ビジネスカレッジ神戸校</v>
      </c>
      <c r="N17" t="str">
        <f>テーブル1[[#This Row],[大学・大学院]]&amp;テーブル1[[#This Row],[専門学校]]</f>
        <v>東京国際ビジネスカレッジ神戸校</v>
      </c>
    </row>
    <row r="18" spans="1:14" x14ac:dyDescent="0.4">
      <c r="A18" s="4">
        <v>2307011</v>
      </c>
      <c r="B18" s="6" t="s">
        <v>74</v>
      </c>
      <c r="C18" s="7" t="s">
        <v>101</v>
      </c>
      <c r="D18" t="s">
        <v>486</v>
      </c>
      <c r="E18" t="s">
        <v>15</v>
      </c>
      <c r="F18" t="s">
        <v>383</v>
      </c>
      <c r="G18" t="s">
        <v>307</v>
      </c>
      <c r="J18" t="str">
        <f>IF(OR(テーブル1[[#This Row],[最終合格校]]&lt;&gt;"",テーブル1[[#This Row],[進路区分]]="進学未定",テーブル1[[#This Row],[出願経験]]="有"),"○","")&amp;F18</f>
        <v>○神戸電子専門学校</v>
      </c>
      <c r="K18" t="str">
        <f t="shared" si="0"/>
        <v>専門学校</v>
      </c>
      <c r="L18" t="str">
        <f t="shared" si="1"/>
        <v/>
      </c>
      <c r="M18" t="str">
        <f t="shared" si="2"/>
        <v>神戸電子専門学校</v>
      </c>
      <c r="N18" t="str">
        <f>テーブル1[[#This Row],[大学・大学院]]&amp;テーブル1[[#This Row],[専門学校]]</f>
        <v>神戸電子専門学校</v>
      </c>
    </row>
    <row r="19" spans="1:14" x14ac:dyDescent="0.4">
      <c r="A19" s="4">
        <v>2310016</v>
      </c>
      <c r="B19" s="5" t="s">
        <v>74</v>
      </c>
      <c r="C19" t="s">
        <v>426</v>
      </c>
      <c r="D19" t="s">
        <v>486</v>
      </c>
      <c r="E19" t="s">
        <v>14</v>
      </c>
      <c r="F19" t="s">
        <v>418</v>
      </c>
      <c r="G19" t="s">
        <v>307</v>
      </c>
      <c r="J19" t="str">
        <f>IF(OR(テーブル1[[#This Row],[最終合格校]]&lt;&gt;"",テーブル1[[#This Row],[進路区分]]="進学未定",テーブル1[[#This Row],[出願経験]]="有"),"○","")&amp;F19</f>
        <v>○立命館アジア太平洋大学</v>
      </c>
      <c r="K19" t="str">
        <f t="shared" si="0"/>
        <v>大学</v>
      </c>
      <c r="L19" t="str">
        <f t="shared" si="1"/>
        <v>立命館アジア太平洋大学</v>
      </c>
      <c r="M19" t="str">
        <f t="shared" si="2"/>
        <v/>
      </c>
      <c r="N19" t="str">
        <f>テーブル1[[#This Row],[大学・大学院]]&amp;テーブル1[[#This Row],[専門学校]]</f>
        <v>立命館アジア太平洋大学</v>
      </c>
    </row>
    <row r="20" spans="1:14" x14ac:dyDescent="0.4">
      <c r="A20" s="4">
        <v>2304001</v>
      </c>
      <c r="B20" s="5" t="s">
        <v>75</v>
      </c>
      <c r="C20" t="s">
        <v>102</v>
      </c>
      <c r="D20" t="s">
        <v>486</v>
      </c>
      <c r="E20" t="s">
        <v>14</v>
      </c>
      <c r="F20" t="s">
        <v>49</v>
      </c>
      <c r="G20" t="s">
        <v>307</v>
      </c>
      <c r="J20" t="str">
        <f>IF(OR(テーブル1[[#This Row],[最終合格校]]&lt;&gt;"",テーブル1[[#This Row],[進路区分]]="進学未定",テーブル1[[#This Row],[出願経験]]="有"),"○","")&amp;F20</f>
        <v>○神戸親和大学</v>
      </c>
      <c r="K20" t="str">
        <f t="shared" si="0"/>
        <v>大学</v>
      </c>
      <c r="L20" t="str">
        <f t="shared" si="1"/>
        <v>神戸親和大学</v>
      </c>
      <c r="M20" t="str">
        <f t="shared" si="2"/>
        <v/>
      </c>
      <c r="N20" t="str">
        <f>テーブル1[[#This Row],[大学・大学院]]&amp;テーブル1[[#This Row],[専門学校]]</f>
        <v>神戸親和大学</v>
      </c>
    </row>
    <row r="21" spans="1:14" x14ac:dyDescent="0.4">
      <c r="A21" s="4">
        <v>2304021</v>
      </c>
      <c r="B21" s="5" t="s">
        <v>75</v>
      </c>
      <c r="C21" t="s">
        <v>103</v>
      </c>
      <c r="D21" t="s">
        <v>486</v>
      </c>
      <c r="E21" t="s">
        <v>14</v>
      </c>
      <c r="F21" t="s">
        <v>389</v>
      </c>
      <c r="G21" t="s">
        <v>307</v>
      </c>
      <c r="J21" t="str">
        <f>IF(OR(テーブル1[[#This Row],[最終合格校]]&lt;&gt;"",テーブル1[[#This Row],[進路区分]]="進学未定",テーブル1[[#This Row],[出願経験]]="有"),"○","")&amp;F21</f>
        <v>○兵庫大学</v>
      </c>
      <c r="K21" t="str">
        <f t="shared" si="0"/>
        <v>大学</v>
      </c>
      <c r="L21" t="str">
        <f t="shared" si="1"/>
        <v>兵庫大学</v>
      </c>
      <c r="M21" t="str">
        <f t="shared" si="2"/>
        <v/>
      </c>
      <c r="N21" t="str">
        <f>テーブル1[[#This Row],[大学・大学院]]&amp;テーブル1[[#This Row],[専門学校]]</f>
        <v>兵庫大学</v>
      </c>
    </row>
    <row r="22" spans="1:14" x14ac:dyDescent="0.4">
      <c r="A22" s="4">
        <v>2304040</v>
      </c>
      <c r="B22" s="5" t="s">
        <v>75</v>
      </c>
      <c r="C22" t="s">
        <v>104</v>
      </c>
      <c r="D22" t="s">
        <v>486</v>
      </c>
      <c r="E22" t="s">
        <v>15</v>
      </c>
      <c r="F22" t="s">
        <v>60</v>
      </c>
      <c r="G22" t="s">
        <v>307</v>
      </c>
      <c r="J22" t="str">
        <f>IF(OR(テーブル1[[#This Row],[最終合格校]]&lt;&gt;"",テーブル1[[#This Row],[進路区分]]="進学未定",テーブル1[[#This Row],[出願経験]]="有"),"○","")&amp;F22</f>
        <v>○和歌山社会福祉専門学校</v>
      </c>
      <c r="K22" t="str">
        <f t="shared" si="0"/>
        <v>専門学校</v>
      </c>
      <c r="L22" t="str">
        <f t="shared" si="1"/>
        <v/>
      </c>
      <c r="M22" t="str">
        <f t="shared" si="2"/>
        <v>和歌山社会福祉専門学校</v>
      </c>
      <c r="N22" t="str">
        <f>テーブル1[[#This Row],[大学・大学院]]&amp;テーブル1[[#This Row],[専門学校]]</f>
        <v>和歌山社会福祉専門学校</v>
      </c>
    </row>
    <row r="23" spans="1:14" x14ac:dyDescent="0.4">
      <c r="A23" s="4">
        <v>2304068</v>
      </c>
      <c r="B23" s="5" t="s">
        <v>75</v>
      </c>
      <c r="C23" t="s">
        <v>105</v>
      </c>
      <c r="D23" t="s">
        <v>486</v>
      </c>
      <c r="E23" t="s">
        <v>15</v>
      </c>
      <c r="F23" t="s">
        <v>417</v>
      </c>
      <c r="G23" t="s">
        <v>307</v>
      </c>
      <c r="J23" t="str">
        <f>IF(OR(テーブル1[[#This Row],[最終合格校]]&lt;&gt;"",テーブル1[[#This Row],[進路区分]]="進学未定",テーブル1[[#This Row],[出願経験]]="有"),"○","")&amp;F23</f>
        <v>○ECC国際外語専門学校</v>
      </c>
      <c r="K23" t="str">
        <f t="shared" si="0"/>
        <v>専門学校</v>
      </c>
      <c r="L23" t="str">
        <f t="shared" si="1"/>
        <v/>
      </c>
      <c r="M23" t="str">
        <f t="shared" si="2"/>
        <v>ECC国際外語専門学校</v>
      </c>
      <c r="N23" t="str">
        <f>テーブル1[[#This Row],[大学・大学院]]&amp;テーブル1[[#This Row],[専門学校]]</f>
        <v>ECC国際外語専門学校</v>
      </c>
    </row>
    <row r="24" spans="1:14" x14ac:dyDescent="0.4">
      <c r="A24" s="4">
        <v>2304080</v>
      </c>
      <c r="B24" s="5" t="s">
        <v>75</v>
      </c>
      <c r="C24" t="s">
        <v>106</v>
      </c>
      <c r="D24" t="s">
        <v>486</v>
      </c>
      <c r="E24" t="s">
        <v>15</v>
      </c>
      <c r="F24" t="s">
        <v>308</v>
      </c>
      <c r="G24" t="s">
        <v>307</v>
      </c>
      <c r="J24" t="str">
        <f>IF(OR(テーブル1[[#This Row],[最終合格校]]&lt;&gt;"",テーブル1[[#This Row],[進路区分]]="進学未定",テーブル1[[#This Row],[出願経験]]="有"),"○","")&amp;F24</f>
        <v>○CAD製図専門学校</v>
      </c>
      <c r="K24" t="str">
        <f t="shared" si="0"/>
        <v>専門学校</v>
      </c>
      <c r="L24" t="str">
        <f t="shared" si="1"/>
        <v/>
      </c>
      <c r="M24" t="str">
        <f t="shared" si="2"/>
        <v>CAD製図専門学校</v>
      </c>
      <c r="N24" t="str">
        <f>テーブル1[[#This Row],[大学・大学院]]&amp;テーブル1[[#This Row],[専門学校]]</f>
        <v>CAD製図専門学校</v>
      </c>
    </row>
    <row r="25" spans="1:14" x14ac:dyDescent="0.4">
      <c r="A25" s="4">
        <v>2304083</v>
      </c>
      <c r="B25" s="5" t="s">
        <v>75</v>
      </c>
      <c r="C25" t="s">
        <v>107</v>
      </c>
      <c r="D25" t="s">
        <v>486</v>
      </c>
      <c r="E25" t="s">
        <v>461</v>
      </c>
      <c r="J25" t="str">
        <f>IF(OR(テーブル1[[#This Row],[最終合格校]]&lt;&gt;"",テーブル1[[#This Row],[進路区分]]="進学未定",テーブル1[[#This Row],[出願経験]]="有"),"○","")&amp;F25</f>
        <v/>
      </c>
      <c r="K25" t="str">
        <f t="shared" si="0"/>
        <v>特定活動ビザ</v>
      </c>
      <c r="L25" t="str">
        <f t="shared" si="1"/>
        <v/>
      </c>
      <c r="M25" t="str">
        <f t="shared" si="2"/>
        <v/>
      </c>
      <c r="N25" t="str">
        <f>テーブル1[[#This Row],[大学・大学院]]&amp;テーブル1[[#This Row],[専門学校]]</f>
        <v/>
      </c>
    </row>
    <row r="26" spans="1:14" x14ac:dyDescent="0.4">
      <c r="A26" s="4">
        <v>2304084</v>
      </c>
      <c r="B26" s="5" t="s">
        <v>75</v>
      </c>
      <c r="C26" t="s">
        <v>108</v>
      </c>
      <c r="D26" t="s">
        <v>486</v>
      </c>
      <c r="E26" t="s">
        <v>15</v>
      </c>
      <c r="F26" t="s">
        <v>320</v>
      </c>
      <c r="G26" t="s">
        <v>307</v>
      </c>
      <c r="J26" t="str">
        <f>IF(OR(テーブル1[[#This Row],[最終合格校]]&lt;&gt;"",テーブル1[[#This Row],[進路区分]]="進学未定",テーブル1[[#This Row],[出願経験]]="有"),"○","")&amp;F26</f>
        <v>○東京国際ビジネスカレッジ神戸校</v>
      </c>
      <c r="K26" t="str">
        <f t="shared" si="0"/>
        <v>専門学校</v>
      </c>
      <c r="L26" t="str">
        <f t="shared" si="1"/>
        <v/>
      </c>
      <c r="M26" t="str">
        <f t="shared" si="2"/>
        <v>東京国際ビジネスカレッジ神戸校</v>
      </c>
      <c r="N26" t="str">
        <f>テーブル1[[#This Row],[大学・大学院]]&amp;テーブル1[[#This Row],[専門学校]]</f>
        <v>東京国際ビジネスカレッジ神戸校</v>
      </c>
    </row>
    <row r="27" spans="1:14" x14ac:dyDescent="0.4">
      <c r="A27" s="4">
        <v>2304085</v>
      </c>
      <c r="B27" s="5" t="s">
        <v>75</v>
      </c>
      <c r="C27" t="s">
        <v>109</v>
      </c>
      <c r="D27" t="s">
        <v>486</v>
      </c>
      <c r="E27" t="s">
        <v>15</v>
      </c>
      <c r="F27" t="s">
        <v>462</v>
      </c>
      <c r="G27" t="s">
        <v>307</v>
      </c>
      <c r="J27" t="str">
        <f>IF(OR(テーブル1[[#This Row],[最終合格校]]&lt;&gt;"",テーブル1[[#This Row],[進路区分]]="進学未定",テーブル1[[#This Row],[出願経験]]="有"),"○","")&amp;F27</f>
        <v>○エール学園</v>
      </c>
      <c r="K27" t="str">
        <f t="shared" si="0"/>
        <v>専門学校</v>
      </c>
      <c r="L27" t="str">
        <f t="shared" si="1"/>
        <v/>
      </c>
      <c r="M27" t="str">
        <f t="shared" si="2"/>
        <v>エール学園</v>
      </c>
      <c r="N27" t="str">
        <f>テーブル1[[#This Row],[大学・大学院]]&amp;テーブル1[[#This Row],[専門学校]]</f>
        <v>エール学園</v>
      </c>
    </row>
    <row r="28" spans="1:14" x14ac:dyDescent="0.4">
      <c r="A28" s="4">
        <v>2304086</v>
      </c>
      <c r="B28" s="5" t="s">
        <v>75</v>
      </c>
      <c r="C28" t="s">
        <v>344</v>
      </c>
      <c r="D28" t="s">
        <v>486</v>
      </c>
      <c r="E28" t="s">
        <v>15</v>
      </c>
      <c r="F28" t="s">
        <v>309</v>
      </c>
      <c r="G28" t="s">
        <v>307</v>
      </c>
      <c r="J28" t="str">
        <f>IF(OR(テーブル1[[#This Row],[最終合格校]]&lt;&gt;"",テーブル1[[#This Row],[進路区分]]="進学未定",テーブル1[[#This Row],[出願経験]]="有"),"○","")&amp;F28</f>
        <v>○プロスペラ学院ビジネス専門学校</v>
      </c>
      <c r="K28" t="str">
        <f t="shared" si="0"/>
        <v>専門学校</v>
      </c>
      <c r="L28" t="str">
        <f t="shared" si="1"/>
        <v/>
      </c>
      <c r="M28" t="str">
        <f t="shared" si="2"/>
        <v>プロスペラ学院ビジネス専門学校</v>
      </c>
      <c r="N28" t="str">
        <f>テーブル1[[#This Row],[大学・大学院]]&amp;テーブル1[[#This Row],[専門学校]]</f>
        <v>プロスペラ学院ビジネス専門学校</v>
      </c>
    </row>
    <row r="29" spans="1:14" x14ac:dyDescent="0.4">
      <c r="A29" s="4">
        <v>2304139</v>
      </c>
      <c r="B29" s="5" t="s">
        <v>75</v>
      </c>
      <c r="C29" t="s">
        <v>110</v>
      </c>
      <c r="D29" t="s">
        <v>486</v>
      </c>
      <c r="E29" t="s">
        <v>15</v>
      </c>
      <c r="F29" t="s">
        <v>310</v>
      </c>
      <c r="G29" t="s">
        <v>307</v>
      </c>
      <c r="J29" t="str">
        <f>IF(OR(テーブル1[[#This Row],[最終合格校]]&lt;&gt;"",テーブル1[[#This Row],[進路区分]]="進学未定",テーブル1[[#This Row],[出願経験]]="有"),"○","")&amp;F29</f>
        <v>○東亜経理専門学校</v>
      </c>
      <c r="K29" t="str">
        <f t="shared" si="0"/>
        <v>専門学校</v>
      </c>
      <c r="L29" t="str">
        <f t="shared" si="1"/>
        <v/>
      </c>
      <c r="M29" t="str">
        <f t="shared" si="2"/>
        <v>東亜経理専門学校</v>
      </c>
      <c r="N29" t="str">
        <f>テーブル1[[#This Row],[大学・大学院]]&amp;テーブル1[[#This Row],[専門学校]]</f>
        <v>東亜経理専門学校</v>
      </c>
    </row>
    <row r="30" spans="1:14" x14ac:dyDescent="0.4">
      <c r="A30" s="4">
        <v>2304140</v>
      </c>
      <c r="B30" s="5" t="s">
        <v>75</v>
      </c>
      <c r="C30" t="s">
        <v>354</v>
      </c>
      <c r="D30" t="s">
        <v>486</v>
      </c>
      <c r="E30" t="s">
        <v>15</v>
      </c>
      <c r="F30" t="s">
        <v>311</v>
      </c>
      <c r="G30" t="s">
        <v>307</v>
      </c>
      <c r="J30" t="str">
        <f>IF(OR(テーブル1[[#This Row],[最終合格校]]&lt;&gt;"",テーブル1[[#This Row],[進路区分]]="進学未定",テーブル1[[#This Row],[出願経験]]="有"),"○","")&amp;F30</f>
        <v>○東京自動車大学校</v>
      </c>
      <c r="K30" t="str">
        <f t="shared" si="0"/>
        <v>専門学校</v>
      </c>
      <c r="L30" t="str">
        <f t="shared" si="1"/>
        <v/>
      </c>
      <c r="M30" t="str">
        <f t="shared" si="2"/>
        <v>東京自動車大学校</v>
      </c>
      <c r="N30" t="str">
        <f>テーブル1[[#This Row],[大学・大学院]]&amp;テーブル1[[#This Row],[専門学校]]</f>
        <v>東京自動車大学校</v>
      </c>
    </row>
    <row r="31" spans="1:14" x14ac:dyDescent="0.4">
      <c r="A31" s="4">
        <v>2304141</v>
      </c>
      <c r="B31" s="5" t="s">
        <v>75</v>
      </c>
      <c r="C31" t="s">
        <v>111</v>
      </c>
      <c r="D31" t="s">
        <v>486</v>
      </c>
      <c r="E31" t="s">
        <v>15</v>
      </c>
      <c r="F31" t="s">
        <v>308</v>
      </c>
      <c r="G31" t="s">
        <v>307</v>
      </c>
      <c r="J31" t="str">
        <f>IF(OR(テーブル1[[#This Row],[最終合格校]]&lt;&gt;"",テーブル1[[#This Row],[進路区分]]="進学未定",テーブル1[[#This Row],[出願経験]]="有"),"○","")&amp;F31</f>
        <v>○CAD製図専門学校</v>
      </c>
      <c r="K31" t="str">
        <f t="shared" si="0"/>
        <v>専門学校</v>
      </c>
      <c r="L31" t="str">
        <f t="shared" si="1"/>
        <v/>
      </c>
      <c r="M31" t="str">
        <f t="shared" si="2"/>
        <v>CAD製図専門学校</v>
      </c>
      <c r="N31" t="str">
        <f>テーブル1[[#This Row],[大学・大学院]]&amp;テーブル1[[#This Row],[専門学校]]</f>
        <v>CAD製図専門学校</v>
      </c>
    </row>
    <row r="32" spans="1:14" x14ac:dyDescent="0.4">
      <c r="A32" s="4">
        <v>2307010</v>
      </c>
      <c r="B32" s="5" t="s">
        <v>75</v>
      </c>
      <c r="C32" t="s">
        <v>112</v>
      </c>
      <c r="D32" t="s">
        <v>486</v>
      </c>
      <c r="E32" t="s">
        <v>14</v>
      </c>
      <c r="F32" t="s">
        <v>456</v>
      </c>
      <c r="G32" t="s">
        <v>307</v>
      </c>
      <c r="J32" t="str">
        <f>IF(OR(テーブル1[[#This Row],[最終合格校]]&lt;&gt;"",テーブル1[[#This Row],[進路区分]]="進学未定",テーブル1[[#This Row],[出願経験]]="有"),"○","")&amp;F32</f>
        <v>○流通科学大学</v>
      </c>
      <c r="K32" t="str">
        <f t="shared" si="0"/>
        <v>大学</v>
      </c>
      <c r="L32" t="str">
        <f t="shared" si="1"/>
        <v>流通科学大学</v>
      </c>
      <c r="M32" t="str">
        <f t="shared" si="2"/>
        <v/>
      </c>
      <c r="N32" t="str">
        <f>テーブル1[[#This Row],[大学・大学院]]&amp;テーブル1[[#This Row],[専門学校]]</f>
        <v>流通科学大学</v>
      </c>
    </row>
    <row r="33" spans="1:14" x14ac:dyDescent="0.4">
      <c r="A33" s="4">
        <v>2307018</v>
      </c>
      <c r="B33" s="5" t="s">
        <v>75</v>
      </c>
      <c r="C33" t="s">
        <v>113</v>
      </c>
      <c r="D33" t="s">
        <v>486</v>
      </c>
      <c r="E33" t="s">
        <v>14</v>
      </c>
      <c r="F33" t="s">
        <v>456</v>
      </c>
      <c r="G33" t="s">
        <v>307</v>
      </c>
      <c r="J33" t="str">
        <f>IF(OR(テーブル1[[#This Row],[最終合格校]]&lt;&gt;"",テーブル1[[#This Row],[進路区分]]="進学未定",テーブル1[[#This Row],[出願経験]]="有"),"○","")&amp;F33</f>
        <v>○流通科学大学</v>
      </c>
      <c r="K33" t="str">
        <f t="shared" si="0"/>
        <v>大学</v>
      </c>
      <c r="L33" t="str">
        <f t="shared" si="1"/>
        <v>流通科学大学</v>
      </c>
      <c r="M33" t="str">
        <f t="shared" si="2"/>
        <v/>
      </c>
      <c r="N33" t="str">
        <f>テーブル1[[#This Row],[大学・大学院]]&amp;テーブル1[[#This Row],[専門学校]]</f>
        <v>流通科学大学</v>
      </c>
    </row>
    <row r="34" spans="1:14" x14ac:dyDescent="0.4">
      <c r="A34" s="4">
        <v>2307022</v>
      </c>
      <c r="B34" s="5" t="s">
        <v>75</v>
      </c>
      <c r="C34" t="s">
        <v>114</v>
      </c>
      <c r="D34" t="s">
        <v>486</v>
      </c>
      <c r="E34" t="s">
        <v>14</v>
      </c>
      <c r="F34" t="s">
        <v>457</v>
      </c>
      <c r="G34" t="s">
        <v>307</v>
      </c>
      <c r="J34" t="str">
        <f>IF(OR(テーブル1[[#This Row],[最終合格校]]&lt;&gt;"",テーブル1[[#This Row],[進路区分]]="進学未定",テーブル1[[#This Row],[出願経験]]="有"),"○","")&amp;F34</f>
        <v>○大阪女学院大学</v>
      </c>
      <c r="K34" t="str">
        <f t="shared" si="0"/>
        <v>大学</v>
      </c>
      <c r="L34" t="str">
        <f t="shared" si="1"/>
        <v>大阪女学院大学</v>
      </c>
      <c r="M34" t="str">
        <f t="shared" si="2"/>
        <v/>
      </c>
      <c r="N34" t="str">
        <f>テーブル1[[#This Row],[大学・大学院]]&amp;テーブル1[[#This Row],[専門学校]]</f>
        <v>大阪女学院大学</v>
      </c>
    </row>
    <row r="35" spans="1:14" x14ac:dyDescent="0.4">
      <c r="A35" s="4">
        <v>2307023</v>
      </c>
      <c r="B35" s="5" t="s">
        <v>75</v>
      </c>
      <c r="C35" t="s">
        <v>115</v>
      </c>
      <c r="D35" t="s">
        <v>486</v>
      </c>
      <c r="E35" t="s">
        <v>15</v>
      </c>
      <c r="F35" t="s">
        <v>390</v>
      </c>
      <c r="G35" t="s">
        <v>307</v>
      </c>
      <c r="J35" t="str">
        <f>IF(OR(テーブル1[[#This Row],[最終合格校]]&lt;&gt;"",テーブル1[[#This Row],[進路区分]]="進学未定",テーブル1[[#This Row],[出願経験]]="有"),"○","")&amp;F35</f>
        <v>○中央工学校OSAKA</v>
      </c>
      <c r="K35" t="str">
        <f t="shared" si="0"/>
        <v>専門学校</v>
      </c>
      <c r="L35" t="str">
        <f t="shared" si="1"/>
        <v/>
      </c>
      <c r="M35" t="str">
        <f t="shared" si="2"/>
        <v>中央工学校OSAKA</v>
      </c>
      <c r="N35" t="str">
        <f>テーブル1[[#This Row],[大学・大学院]]&amp;テーブル1[[#This Row],[専門学校]]</f>
        <v>中央工学校OSAKA</v>
      </c>
    </row>
    <row r="36" spans="1:14" x14ac:dyDescent="0.4">
      <c r="A36" s="4">
        <v>2307055</v>
      </c>
      <c r="B36" s="5" t="s">
        <v>75</v>
      </c>
      <c r="C36" t="s">
        <v>116</v>
      </c>
      <c r="D36" t="s">
        <v>486</v>
      </c>
      <c r="E36" t="s">
        <v>14</v>
      </c>
      <c r="F36" t="s">
        <v>458</v>
      </c>
      <c r="G36" t="s">
        <v>307</v>
      </c>
      <c r="J36" t="str">
        <f>IF(OR(テーブル1[[#This Row],[最終合格校]]&lt;&gt;"",テーブル1[[#This Row],[進路区分]]="進学未定",テーブル1[[#This Row],[出願経験]]="有"),"○","")&amp;F36</f>
        <v>○桃山学院大学</v>
      </c>
      <c r="K36" t="str">
        <f t="shared" si="0"/>
        <v>大学</v>
      </c>
      <c r="L36" t="str">
        <f t="shared" si="1"/>
        <v>桃山学院大学</v>
      </c>
      <c r="M36" t="str">
        <f t="shared" si="2"/>
        <v/>
      </c>
      <c r="N36" t="str">
        <f>テーブル1[[#This Row],[大学・大学院]]&amp;テーブル1[[#This Row],[専門学校]]</f>
        <v>桃山学院大学</v>
      </c>
    </row>
    <row r="37" spans="1:14" x14ac:dyDescent="0.4">
      <c r="A37" s="4">
        <v>2310014</v>
      </c>
      <c r="B37" s="5" t="s">
        <v>75</v>
      </c>
      <c r="C37" t="s">
        <v>409</v>
      </c>
      <c r="D37" t="s">
        <v>486</v>
      </c>
      <c r="E37" t="s">
        <v>15</v>
      </c>
      <c r="F37" t="s">
        <v>391</v>
      </c>
      <c r="G37" t="s">
        <v>307</v>
      </c>
      <c r="J37" t="str">
        <f>IF(OR(テーブル1[[#This Row],[最終合格校]]&lt;&gt;"",テーブル1[[#This Row],[進路区分]]="進学未定",テーブル1[[#This Row],[出願経験]]="有"),"○","")&amp;F37</f>
        <v>○駿台観光＆ホテルブライダルビジネスカレッジ</v>
      </c>
      <c r="K37" t="str">
        <f t="shared" si="0"/>
        <v>専門学校</v>
      </c>
      <c r="L37" t="str">
        <f t="shared" si="1"/>
        <v/>
      </c>
      <c r="M37" t="str">
        <f t="shared" si="2"/>
        <v>駿台観光＆ホテルブライダルビジネスカレッジ</v>
      </c>
      <c r="N37" t="str">
        <f>テーブル1[[#This Row],[大学・大学院]]&amp;テーブル1[[#This Row],[専門学校]]</f>
        <v>駿台観光＆ホテルブライダルビジネスカレッジ</v>
      </c>
    </row>
    <row r="38" spans="1:14" x14ac:dyDescent="0.4">
      <c r="A38" s="4">
        <v>2310020</v>
      </c>
      <c r="B38" s="5" t="s">
        <v>75</v>
      </c>
      <c r="C38" t="s">
        <v>407</v>
      </c>
      <c r="D38" t="s">
        <v>486</v>
      </c>
      <c r="E38" t="s">
        <v>14</v>
      </c>
      <c r="F38" t="s">
        <v>392</v>
      </c>
      <c r="G38" t="s">
        <v>307</v>
      </c>
      <c r="J38" t="str">
        <f>IF(OR(テーブル1[[#This Row],[最終合格校]]&lt;&gt;"",テーブル1[[#This Row],[進路区分]]="進学未定",テーブル1[[#This Row],[出願経験]]="有"),"○","")&amp;F38</f>
        <v>○大阪産業大学</v>
      </c>
      <c r="K38" t="str">
        <f t="shared" si="0"/>
        <v>大学</v>
      </c>
      <c r="L38" t="str">
        <f t="shared" si="1"/>
        <v>大阪産業大学</v>
      </c>
      <c r="M38" t="str">
        <f t="shared" si="2"/>
        <v/>
      </c>
      <c r="N38" t="str">
        <f>テーブル1[[#This Row],[大学・大学院]]&amp;テーブル1[[#This Row],[専門学校]]</f>
        <v>大阪産業大学</v>
      </c>
    </row>
    <row r="39" spans="1:14" x14ac:dyDescent="0.4">
      <c r="A39" s="4">
        <v>2310025</v>
      </c>
      <c r="B39" s="5" t="s">
        <v>75</v>
      </c>
      <c r="C39" t="s">
        <v>117</v>
      </c>
      <c r="D39" t="s">
        <v>486</v>
      </c>
      <c r="E39" t="s">
        <v>15</v>
      </c>
      <c r="F39" t="s">
        <v>391</v>
      </c>
      <c r="G39" t="s">
        <v>307</v>
      </c>
      <c r="J39" t="str">
        <f>IF(OR(テーブル1[[#This Row],[最終合格校]]&lt;&gt;"",テーブル1[[#This Row],[進路区分]]="進学未定",テーブル1[[#This Row],[出願経験]]="有"),"○","")&amp;F39</f>
        <v>○駿台観光＆ホテルブライダルビジネスカレッジ</v>
      </c>
      <c r="K39" t="str">
        <f t="shared" si="0"/>
        <v>専門学校</v>
      </c>
      <c r="L39" t="str">
        <f t="shared" si="1"/>
        <v/>
      </c>
      <c r="M39" t="str">
        <f t="shared" si="2"/>
        <v>駿台観光＆ホテルブライダルビジネスカレッジ</v>
      </c>
      <c r="N39" t="str">
        <f>テーブル1[[#This Row],[大学・大学院]]&amp;テーブル1[[#This Row],[専門学校]]</f>
        <v>駿台観光＆ホテルブライダルビジネスカレッジ</v>
      </c>
    </row>
    <row r="40" spans="1:14" x14ac:dyDescent="0.4">
      <c r="A40" s="4">
        <v>2304028</v>
      </c>
      <c r="B40" s="5" t="s">
        <v>76</v>
      </c>
      <c r="C40" t="s">
        <v>118</v>
      </c>
      <c r="D40" t="s">
        <v>486</v>
      </c>
      <c r="E40" t="s">
        <v>15</v>
      </c>
      <c r="F40" t="s">
        <v>312</v>
      </c>
      <c r="G40" t="s">
        <v>307</v>
      </c>
      <c r="J40" t="str">
        <f>IF(OR(テーブル1[[#This Row],[最終合格校]]&lt;&gt;"",テーブル1[[#This Row],[進路区分]]="進学未定",テーブル1[[#This Row],[出願経験]]="有"),"○","")&amp;F40</f>
        <v>○関西国際旅行・ホテル専門学校</v>
      </c>
      <c r="K40" t="str">
        <f t="shared" si="0"/>
        <v>専門学校</v>
      </c>
      <c r="L40" t="str">
        <f t="shared" si="1"/>
        <v/>
      </c>
      <c r="M40" t="str">
        <f t="shared" si="2"/>
        <v>関西国際旅行・ホテル専門学校</v>
      </c>
      <c r="N40" t="str">
        <f>テーブル1[[#This Row],[大学・大学院]]&amp;テーブル1[[#This Row],[専門学校]]</f>
        <v>関西国際旅行・ホテル専門学校</v>
      </c>
    </row>
    <row r="41" spans="1:14" x14ac:dyDescent="0.4">
      <c r="A41" s="4">
        <v>2304031</v>
      </c>
      <c r="B41" s="5" t="s">
        <v>76</v>
      </c>
      <c r="C41" t="s">
        <v>412</v>
      </c>
      <c r="D41" t="s">
        <v>486</v>
      </c>
      <c r="E41" t="s">
        <v>15</v>
      </c>
      <c r="F41" t="s">
        <v>393</v>
      </c>
      <c r="G41" t="s">
        <v>307</v>
      </c>
      <c r="J41" t="str">
        <f>IF(OR(テーブル1[[#This Row],[最終合格校]]&lt;&gt;"",テーブル1[[#This Row],[進路区分]]="進学未定",テーブル1[[#This Row],[出願経験]]="有"),"○","")&amp;F41</f>
        <v>○名古屋外語ホテルブライダル専門学校</v>
      </c>
      <c r="K41" t="str">
        <f t="shared" si="0"/>
        <v>専門学校</v>
      </c>
      <c r="L41" t="str">
        <f t="shared" si="1"/>
        <v/>
      </c>
      <c r="M41" t="str">
        <f t="shared" si="2"/>
        <v>名古屋外語ホテルブライダル専門学校</v>
      </c>
      <c r="N41" t="str">
        <f>テーブル1[[#This Row],[大学・大学院]]&amp;テーブル1[[#This Row],[専門学校]]</f>
        <v>名古屋外語ホテルブライダル専門学校</v>
      </c>
    </row>
    <row r="42" spans="1:14" x14ac:dyDescent="0.4">
      <c r="A42" s="4">
        <v>2304036</v>
      </c>
      <c r="B42" s="5" t="s">
        <v>76</v>
      </c>
      <c r="C42" t="s">
        <v>408</v>
      </c>
      <c r="D42" t="s">
        <v>486</v>
      </c>
      <c r="E42" t="s">
        <v>15</v>
      </c>
      <c r="F42" t="s">
        <v>394</v>
      </c>
      <c r="G42" t="s">
        <v>307</v>
      </c>
      <c r="J42" t="str">
        <f>IF(OR(テーブル1[[#This Row],[最終合格校]]&lt;&gt;"",テーブル1[[#This Row],[進路区分]]="進学未定",テーブル1[[#This Row],[出願経験]]="有"),"○","")&amp;F42</f>
        <v>○関西経理専門学校</v>
      </c>
      <c r="K42" t="str">
        <f t="shared" si="0"/>
        <v>専門学校</v>
      </c>
      <c r="L42" t="str">
        <f t="shared" si="1"/>
        <v/>
      </c>
      <c r="M42" t="str">
        <f t="shared" si="2"/>
        <v>関西経理専門学校</v>
      </c>
      <c r="N42" t="str">
        <f>テーブル1[[#This Row],[大学・大学院]]&amp;テーブル1[[#This Row],[専門学校]]</f>
        <v>関西経理専門学校</v>
      </c>
    </row>
    <row r="43" spans="1:14" x14ac:dyDescent="0.4">
      <c r="A43" s="4">
        <v>2304037</v>
      </c>
      <c r="B43" s="5" t="s">
        <v>76</v>
      </c>
      <c r="C43" t="s">
        <v>119</v>
      </c>
      <c r="D43" t="s">
        <v>486</v>
      </c>
      <c r="E43" t="s">
        <v>15</v>
      </c>
      <c r="F43" t="s">
        <v>320</v>
      </c>
      <c r="G43" t="s">
        <v>307</v>
      </c>
      <c r="J43" t="str">
        <f>IF(OR(テーブル1[[#This Row],[最終合格校]]&lt;&gt;"",テーブル1[[#This Row],[進路区分]]="進学未定",テーブル1[[#This Row],[出願経験]]="有"),"○","")&amp;F43</f>
        <v>○東京国際ビジネスカレッジ神戸校</v>
      </c>
      <c r="K43" t="str">
        <f t="shared" si="0"/>
        <v>専門学校</v>
      </c>
      <c r="L43" t="str">
        <f t="shared" si="1"/>
        <v/>
      </c>
      <c r="M43" t="str">
        <f t="shared" si="2"/>
        <v>東京国際ビジネスカレッジ神戸校</v>
      </c>
      <c r="N43" t="str">
        <f>テーブル1[[#This Row],[大学・大学院]]&amp;テーブル1[[#This Row],[専門学校]]</f>
        <v>東京国際ビジネスカレッジ神戸校</v>
      </c>
    </row>
    <row r="44" spans="1:14" x14ac:dyDescent="0.4">
      <c r="A44" s="4">
        <v>2304041</v>
      </c>
      <c r="B44" s="5" t="s">
        <v>76</v>
      </c>
      <c r="C44" t="s">
        <v>120</v>
      </c>
      <c r="D44" t="s">
        <v>486</v>
      </c>
      <c r="E44" t="s">
        <v>15</v>
      </c>
      <c r="F44" t="s">
        <v>310</v>
      </c>
      <c r="G44" t="s">
        <v>307</v>
      </c>
      <c r="J44" t="str">
        <f>IF(OR(テーブル1[[#This Row],[最終合格校]]&lt;&gt;"",テーブル1[[#This Row],[進路区分]]="進学未定",テーブル1[[#This Row],[出願経験]]="有"),"○","")&amp;F44</f>
        <v>○東亜経理専門学校</v>
      </c>
      <c r="K44" t="str">
        <f t="shared" si="0"/>
        <v>専門学校</v>
      </c>
      <c r="L44" t="str">
        <f t="shared" si="1"/>
        <v/>
      </c>
      <c r="M44" t="str">
        <f t="shared" si="2"/>
        <v>東亜経理専門学校</v>
      </c>
      <c r="N44" t="str">
        <f>テーブル1[[#This Row],[大学・大学院]]&amp;テーブル1[[#This Row],[専門学校]]</f>
        <v>東亜経理専門学校</v>
      </c>
    </row>
    <row r="45" spans="1:14" x14ac:dyDescent="0.4">
      <c r="A45" s="4">
        <v>2304042</v>
      </c>
      <c r="B45" s="5" t="s">
        <v>76</v>
      </c>
      <c r="C45" t="s">
        <v>121</v>
      </c>
      <c r="D45" t="s">
        <v>486</v>
      </c>
      <c r="E45" t="s">
        <v>15</v>
      </c>
      <c r="F45" t="s">
        <v>310</v>
      </c>
      <c r="G45" t="s">
        <v>307</v>
      </c>
      <c r="J45" t="str">
        <f>IF(OR(テーブル1[[#This Row],[最終合格校]]&lt;&gt;"",テーブル1[[#This Row],[進路区分]]="進学未定",テーブル1[[#This Row],[出願経験]]="有"),"○","")&amp;F45</f>
        <v>○東亜経理専門学校</v>
      </c>
      <c r="K45" t="str">
        <f t="shared" si="0"/>
        <v>専門学校</v>
      </c>
      <c r="L45" t="str">
        <f t="shared" si="1"/>
        <v/>
      </c>
      <c r="M45" t="str">
        <f t="shared" si="2"/>
        <v>東亜経理専門学校</v>
      </c>
      <c r="N45" t="str">
        <f>テーブル1[[#This Row],[大学・大学院]]&amp;テーブル1[[#This Row],[専門学校]]</f>
        <v>東亜経理専門学校</v>
      </c>
    </row>
    <row r="46" spans="1:14" x14ac:dyDescent="0.4">
      <c r="A46" s="4">
        <v>2304043</v>
      </c>
      <c r="B46" s="5" t="s">
        <v>76</v>
      </c>
      <c r="C46" t="s">
        <v>122</v>
      </c>
      <c r="D46" t="s">
        <v>486</v>
      </c>
      <c r="E46" t="s">
        <v>15</v>
      </c>
      <c r="F46" t="s">
        <v>312</v>
      </c>
      <c r="G46" t="s">
        <v>307</v>
      </c>
      <c r="J46" t="str">
        <f>IF(OR(テーブル1[[#This Row],[最終合格校]]&lt;&gt;"",テーブル1[[#This Row],[進路区分]]="進学未定",テーブル1[[#This Row],[出願経験]]="有"),"○","")&amp;F46</f>
        <v>○関西国際旅行・ホテル専門学校</v>
      </c>
      <c r="K46" t="str">
        <f t="shared" si="0"/>
        <v>専門学校</v>
      </c>
      <c r="L46" t="str">
        <f t="shared" si="1"/>
        <v/>
      </c>
      <c r="M46" t="str">
        <f t="shared" si="2"/>
        <v>関西国際旅行・ホテル専門学校</v>
      </c>
      <c r="N46" t="str">
        <f>テーブル1[[#This Row],[大学・大学院]]&amp;テーブル1[[#This Row],[専門学校]]</f>
        <v>関西国際旅行・ホテル専門学校</v>
      </c>
    </row>
    <row r="47" spans="1:14" x14ac:dyDescent="0.4">
      <c r="A47" s="4">
        <v>2304050</v>
      </c>
      <c r="B47" s="5" t="s">
        <v>76</v>
      </c>
      <c r="C47" t="s">
        <v>123</v>
      </c>
      <c r="D47" t="s">
        <v>486</v>
      </c>
      <c r="E47" t="s">
        <v>14</v>
      </c>
      <c r="F47" t="s">
        <v>313</v>
      </c>
      <c r="G47" t="s">
        <v>307</v>
      </c>
      <c r="J47" t="str">
        <f>IF(OR(テーブル1[[#This Row],[最終合格校]]&lt;&gt;"",テーブル1[[#This Row],[進路区分]]="進学未定",テーブル1[[#This Row],[出願経験]]="有"),"○","")&amp;F47</f>
        <v>○神戸親和大学</v>
      </c>
      <c r="K47" t="str">
        <f t="shared" si="0"/>
        <v>大学</v>
      </c>
      <c r="L47" t="str">
        <f t="shared" si="1"/>
        <v>神戸親和大学</v>
      </c>
      <c r="M47" t="str">
        <f t="shared" si="2"/>
        <v/>
      </c>
      <c r="N47" t="str">
        <f>テーブル1[[#This Row],[大学・大学院]]&amp;テーブル1[[#This Row],[専門学校]]</f>
        <v>神戸親和大学</v>
      </c>
    </row>
    <row r="48" spans="1:14" x14ac:dyDescent="0.4">
      <c r="A48" s="4">
        <v>2304062</v>
      </c>
      <c r="B48" s="5" t="s">
        <v>76</v>
      </c>
      <c r="C48" t="s">
        <v>410</v>
      </c>
      <c r="D48" t="s">
        <v>486</v>
      </c>
      <c r="E48" t="s">
        <v>15</v>
      </c>
      <c r="F48" t="s">
        <v>395</v>
      </c>
      <c r="G48" t="s">
        <v>307</v>
      </c>
      <c r="J48" t="str">
        <f>IF(OR(テーブル1[[#This Row],[最終合格校]]&lt;&gt;"",テーブル1[[#This Row],[進路区分]]="進学未定",テーブル1[[#This Row],[出願経験]]="有"),"○","")&amp;F48</f>
        <v>○神戸YMCA学院専門学校</v>
      </c>
      <c r="K48" t="str">
        <f t="shared" si="0"/>
        <v>専門学校</v>
      </c>
      <c r="L48" t="str">
        <f t="shared" si="1"/>
        <v/>
      </c>
      <c r="M48" t="str">
        <f t="shared" si="2"/>
        <v>神戸YMCA学院専門学校</v>
      </c>
      <c r="N48" t="str">
        <f>テーブル1[[#This Row],[大学・大学院]]&amp;テーブル1[[#This Row],[専門学校]]</f>
        <v>神戸YMCA学院専門学校</v>
      </c>
    </row>
    <row r="49" spans="1:14" x14ac:dyDescent="0.4">
      <c r="A49" s="4">
        <v>2304063</v>
      </c>
      <c r="B49" s="5" t="s">
        <v>76</v>
      </c>
      <c r="C49" t="s">
        <v>124</v>
      </c>
      <c r="D49" t="s">
        <v>486</v>
      </c>
      <c r="E49" t="s">
        <v>15</v>
      </c>
      <c r="F49" t="s">
        <v>314</v>
      </c>
      <c r="G49" t="s">
        <v>307</v>
      </c>
      <c r="J49" t="str">
        <f>IF(OR(テーブル1[[#This Row],[最終合格校]]&lt;&gt;"",テーブル1[[#This Row],[進路区分]]="進学未定",テーブル1[[#This Row],[出願経験]]="有"),"○","")&amp;F49</f>
        <v>○駿台観光＆外語ビジネス専門学校</v>
      </c>
      <c r="K49" t="str">
        <f t="shared" si="0"/>
        <v>専門学校</v>
      </c>
      <c r="L49" t="str">
        <f t="shared" si="1"/>
        <v/>
      </c>
      <c r="M49" t="str">
        <f t="shared" si="2"/>
        <v>駿台観光＆外語ビジネス専門学校</v>
      </c>
      <c r="N49" t="str">
        <f>テーブル1[[#This Row],[大学・大学院]]&amp;テーブル1[[#This Row],[専門学校]]</f>
        <v>駿台観光＆外語ビジネス専門学校</v>
      </c>
    </row>
    <row r="50" spans="1:14" x14ac:dyDescent="0.4">
      <c r="A50" s="4">
        <v>2304065</v>
      </c>
      <c r="B50" s="5" t="s">
        <v>76</v>
      </c>
      <c r="C50" t="s">
        <v>353</v>
      </c>
      <c r="D50" t="s">
        <v>486</v>
      </c>
      <c r="E50" t="s">
        <v>15</v>
      </c>
      <c r="F50" t="s">
        <v>315</v>
      </c>
      <c r="G50" t="s">
        <v>307</v>
      </c>
      <c r="J50" t="str">
        <f>IF(OR(テーブル1[[#This Row],[最終合格校]]&lt;&gt;"",テーブル1[[#This Row],[進路区分]]="進学未定",テーブル1[[#This Row],[出願経験]]="有"),"○","")&amp;F50</f>
        <v>○東京外語専門学校</v>
      </c>
      <c r="K50" t="str">
        <f t="shared" si="0"/>
        <v>専門学校</v>
      </c>
      <c r="L50" t="str">
        <f t="shared" si="1"/>
        <v/>
      </c>
      <c r="M50" t="str">
        <f t="shared" si="2"/>
        <v>東京外語専門学校</v>
      </c>
      <c r="N50" t="str">
        <f>テーブル1[[#This Row],[大学・大学院]]&amp;テーブル1[[#This Row],[専門学校]]</f>
        <v>東京外語専門学校</v>
      </c>
    </row>
    <row r="51" spans="1:14" x14ac:dyDescent="0.4">
      <c r="A51" s="4">
        <v>2304089</v>
      </c>
      <c r="B51" s="5" t="s">
        <v>76</v>
      </c>
      <c r="C51" t="s">
        <v>125</v>
      </c>
      <c r="D51" t="s">
        <v>486</v>
      </c>
      <c r="E51" t="s">
        <v>15</v>
      </c>
      <c r="F51" t="s">
        <v>340</v>
      </c>
      <c r="G51" t="s">
        <v>307</v>
      </c>
      <c r="J51" t="str">
        <f>IF(OR(テーブル1[[#This Row],[最終合格校]]&lt;&gt;"",テーブル1[[#This Row],[進路区分]]="進学未定",テーブル1[[#This Row],[出願経験]]="有"),"○","")&amp;F51</f>
        <v>○ECCコンピュータ専門学校</v>
      </c>
      <c r="K51" t="str">
        <f t="shared" si="0"/>
        <v>専門学校</v>
      </c>
      <c r="L51" t="str">
        <f t="shared" si="1"/>
        <v/>
      </c>
      <c r="M51" t="str">
        <f t="shared" si="2"/>
        <v>ECCコンピュータ専門学校</v>
      </c>
      <c r="N51" t="str">
        <f>テーブル1[[#This Row],[大学・大学院]]&amp;テーブル1[[#This Row],[専門学校]]</f>
        <v>ECCコンピュータ専門学校</v>
      </c>
    </row>
    <row r="52" spans="1:14" x14ac:dyDescent="0.4">
      <c r="A52" s="4">
        <v>2304100</v>
      </c>
      <c r="B52" s="5" t="s">
        <v>76</v>
      </c>
      <c r="C52" t="s">
        <v>126</v>
      </c>
      <c r="D52" t="s">
        <v>486</v>
      </c>
      <c r="E52" t="s">
        <v>15</v>
      </c>
      <c r="F52" t="s">
        <v>316</v>
      </c>
      <c r="G52" t="s">
        <v>307</v>
      </c>
      <c r="J52" t="str">
        <f>IF(OR(テーブル1[[#This Row],[最終合格校]]&lt;&gt;"",テーブル1[[#This Row],[進路区分]]="進学未定",テーブル1[[#This Row],[出願経験]]="有"),"○","")&amp;F52</f>
        <v>○日本理工情報専門学校</v>
      </c>
      <c r="K52" t="str">
        <f t="shared" si="0"/>
        <v>専門学校</v>
      </c>
      <c r="L52" t="str">
        <f t="shared" si="1"/>
        <v/>
      </c>
      <c r="M52" t="str">
        <f t="shared" si="2"/>
        <v>日本理工情報専門学校</v>
      </c>
      <c r="N52" t="str">
        <f>テーブル1[[#This Row],[大学・大学院]]&amp;テーブル1[[#This Row],[専門学校]]</f>
        <v>日本理工情報専門学校</v>
      </c>
    </row>
    <row r="53" spans="1:14" x14ac:dyDescent="0.4">
      <c r="A53" s="4">
        <v>2304115</v>
      </c>
      <c r="B53" s="5" t="s">
        <v>76</v>
      </c>
      <c r="C53" t="s">
        <v>127</v>
      </c>
      <c r="D53" t="s">
        <v>486</v>
      </c>
      <c r="E53" t="s">
        <v>15</v>
      </c>
      <c r="F53" t="s">
        <v>330</v>
      </c>
      <c r="G53" t="s">
        <v>307</v>
      </c>
      <c r="J53" t="str">
        <f>IF(OR(テーブル1[[#This Row],[最終合格校]]&lt;&gt;"",テーブル1[[#This Row],[進路区分]]="進学未定",テーブル1[[#This Row],[出願経験]]="有"),"○","")&amp;F53</f>
        <v>○ICT専門学校</v>
      </c>
      <c r="K53" t="str">
        <f t="shared" si="0"/>
        <v>専門学校</v>
      </c>
      <c r="L53" t="str">
        <f t="shared" si="1"/>
        <v/>
      </c>
      <c r="M53" t="str">
        <f t="shared" si="2"/>
        <v>ICT専門学校</v>
      </c>
      <c r="N53" t="str">
        <f>テーブル1[[#This Row],[大学・大学院]]&amp;テーブル1[[#This Row],[専門学校]]</f>
        <v>ICT専門学校</v>
      </c>
    </row>
    <row r="54" spans="1:14" x14ac:dyDescent="0.4">
      <c r="A54" s="4">
        <v>2304120</v>
      </c>
      <c r="B54" s="5" t="s">
        <v>76</v>
      </c>
      <c r="C54" t="s">
        <v>128</v>
      </c>
      <c r="D54" t="s">
        <v>486</v>
      </c>
      <c r="E54" t="s">
        <v>15</v>
      </c>
      <c r="F54" t="s">
        <v>310</v>
      </c>
      <c r="G54" t="s">
        <v>307</v>
      </c>
      <c r="J54" t="str">
        <f>IF(OR(テーブル1[[#This Row],[最終合格校]]&lt;&gt;"",テーブル1[[#This Row],[進路区分]]="進学未定",テーブル1[[#This Row],[出願経験]]="有"),"○","")&amp;F54</f>
        <v>○東亜経理専門学校</v>
      </c>
      <c r="K54" t="str">
        <f t="shared" si="0"/>
        <v>専門学校</v>
      </c>
      <c r="L54" t="str">
        <f t="shared" si="1"/>
        <v/>
      </c>
      <c r="M54" t="str">
        <f t="shared" si="2"/>
        <v>東亜経理専門学校</v>
      </c>
      <c r="N54" t="str">
        <f>テーブル1[[#This Row],[大学・大学院]]&amp;テーブル1[[#This Row],[専門学校]]</f>
        <v>東亜経理専門学校</v>
      </c>
    </row>
    <row r="55" spans="1:14" x14ac:dyDescent="0.4">
      <c r="A55" s="4">
        <v>2304126</v>
      </c>
      <c r="B55" s="5" t="s">
        <v>76</v>
      </c>
      <c r="C55" t="s">
        <v>129</v>
      </c>
      <c r="D55" t="s">
        <v>486</v>
      </c>
      <c r="E55" t="s">
        <v>15</v>
      </c>
      <c r="F55" t="s">
        <v>384</v>
      </c>
      <c r="G55" t="s">
        <v>307</v>
      </c>
      <c r="J55" t="str">
        <f>IF(OR(テーブル1[[#This Row],[最終合格校]]&lt;&gt;"",テーブル1[[#This Row],[進路区分]]="進学未定",テーブル1[[#This Row],[出願経験]]="有"),"○","")&amp;F55</f>
        <v>○神戸電子専門学校</v>
      </c>
      <c r="K55" t="str">
        <f t="shared" si="0"/>
        <v>専門学校</v>
      </c>
      <c r="L55" t="str">
        <f t="shared" si="1"/>
        <v/>
      </c>
      <c r="M55" t="str">
        <f t="shared" si="2"/>
        <v>神戸電子専門学校</v>
      </c>
      <c r="N55" t="str">
        <f>テーブル1[[#This Row],[大学・大学院]]&amp;テーブル1[[#This Row],[専門学校]]</f>
        <v>神戸電子専門学校</v>
      </c>
    </row>
    <row r="56" spans="1:14" x14ac:dyDescent="0.4">
      <c r="A56" s="4">
        <v>2307021</v>
      </c>
      <c r="B56" s="5" t="s">
        <v>76</v>
      </c>
      <c r="C56" t="s">
        <v>130</v>
      </c>
      <c r="D56" t="s">
        <v>486</v>
      </c>
      <c r="E56" t="s">
        <v>15</v>
      </c>
      <c r="F56" t="s">
        <v>429</v>
      </c>
      <c r="G56" t="s">
        <v>414</v>
      </c>
      <c r="J56" t="str">
        <f>IF(OR(テーブル1[[#This Row],[最終合格校]]&lt;&gt;"",テーブル1[[#This Row],[進路区分]]="進学未定",テーブル1[[#This Row],[出願経験]]="有"),"○","")&amp;F56</f>
        <v>○ECC国際外語専門学校</v>
      </c>
      <c r="K56" t="str">
        <f t="shared" si="0"/>
        <v>専門学校</v>
      </c>
      <c r="L56" t="str">
        <f t="shared" si="1"/>
        <v/>
      </c>
      <c r="M56" t="str">
        <f t="shared" si="2"/>
        <v>ECC国際外語専門学校</v>
      </c>
      <c r="N56" t="str">
        <f>テーブル1[[#This Row],[大学・大学院]]&amp;テーブル1[[#This Row],[専門学校]]</f>
        <v>ECC国際外語専門学校</v>
      </c>
    </row>
    <row r="57" spans="1:14" x14ac:dyDescent="0.4">
      <c r="A57" s="4">
        <v>2307024</v>
      </c>
      <c r="B57" s="5" t="s">
        <v>76</v>
      </c>
      <c r="C57" t="s">
        <v>349</v>
      </c>
      <c r="D57" t="s">
        <v>486</v>
      </c>
      <c r="E57" t="s">
        <v>15</v>
      </c>
      <c r="F57" t="s">
        <v>317</v>
      </c>
      <c r="G57" t="s">
        <v>307</v>
      </c>
      <c r="J57" t="str">
        <f>IF(OR(テーブル1[[#This Row],[最終合格校]]&lt;&gt;"",テーブル1[[#This Row],[進路区分]]="進学未定",テーブル1[[#This Row],[出願経験]]="有"),"○","")&amp;F57</f>
        <v>○中央工学校OSAKA</v>
      </c>
      <c r="K57" t="str">
        <f t="shared" si="0"/>
        <v>専門学校</v>
      </c>
      <c r="L57" t="str">
        <f t="shared" si="1"/>
        <v/>
      </c>
      <c r="M57" t="str">
        <f t="shared" si="2"/>
        <v>中央工学校OSAKA</v>
      </c>
      <c r="N57" t="str">
        <f>テーブル1[[#This Row],[大学・大学院]]&amp;テーブル1[[#This Row],[専門学校]]</f>
        <v>中央工学校OSAKA</v>
      </c>
    </row>
    <row r="58" spans="1:14" x14ac:dyDescent="0.4">
      <c r="A58" s="4">
        <v>2310013</v>
      </c>
      <c r="B58" s="5" t="s">
        <v>76</v>
      </c>
      <c r="C58" t="s">
        <v>131</v>
      </c>
      <c r="D58" t="s">
        <v>486</v>
      </c>
      <c r="E58" t="s">
        <v>15</v>
      </c>
      <c r="F58" t="s">
        <v>314</v>
      </c>
      <c r="G58" t="s">
        <v>307</v>
      </c>
      <c r="J58" t="str">
        <f>IF(OR(テーブル1[[#This Row],[最終合格校]]&lt;&gt;"",テーブル1[[#This Row],[進路区分]]="進学未定",テーブル1[[#This Row],[出願経験]]="有"),"○","")&amp;F58</f>
        <v>○駿台観光＆外語ビジネス専門学校</v>
      </c>
      <c r="K58" t="str">
        <f t="shared" si="0"/>
        <v>専門学校</v>
      </c>
      <c r="L58" t="str">
        <f t="shared" si="1"/>
        <v/>
      </c>
      <c r="M58" t="str">
        <f t="shared" si="2"/>
        <v>駿台観光＆外語ビジネス専門学校</v>
      </c>
      <c r="N58" t="str">
        <f>テーブル1[[#This Row],[大学・大学院]]&amp;テーブル1[[#This Row],[専門学校]]</f>
        <v>駿台観光＆外語ビジネス専門学校</v>
      </c>
    </row>
    <row r="59" spans="1:14" x14ac:dyDescent="0.4">
      <c r="A59" s="4">
        <v>2310017</v>
      </c>
      <c r="B59" s="5" t="s">
        <v>76</v>
      </c>
      <c r="C59" t="s">
        <v>132</v>
      </c>
      <c r="D59" t="s">
        <v>486</v>
      </c>
      <c r="E59" t="s">
        <v>15</v>
      </c>
      <c r="F59" t="s">
        <v>340</v>
      </c>
      <c r="G59" t="s">
        <v>307</v>
      </c>
      <c r="J59" t="str">
        <f>IF(OR(テーブル1[[#This Row],[最終合格校]]&lt;&gt;"",テーブル1[[#This Row],[進路区分]]="進学未定",テーブル1[[#This Row],[出願経験]]="有"),"○","")&amp;F59</f>
        <v>○ECCコンピュータ専門学校</v>
      </c>
      <c r="K59" t="str">
        <f t="shared" si="0"/>
        <v>専門学校</v>
      </c>
      <c r="L59" t="str">
        <f t="shared" si="1"/>
        <v/>
      </c>
      <c r="M59" t="str">
        <f t="shared" si="2"/>
        <v>ECCコンピュータ専門学校</v>
      </c>
      <c r="N59" t="str">
        <f>テーブル1[[#This Row],[大学・大学院]]&amp;テーブル1[[#This Row],[専門学校]]</f>
        <v>ECCコンピュータ専門学校</v>
      </c>
    </row>
    <row r="60" spans="1:14" x14ac:dyDescent="0.4">
      <c r="A60" s="4">
        <v>2304017</v>
      </c>
      <c r="B60" s="5" t="s">
        <v>77</v>
      </c>
      <c r="C60" t="s">
        <v>133</v>
      </c>
      <c r="D60" t="s">
        <v>486</v>
      </c>
      <c r="E60" t="s">
        <v>14</v>
      </c>
      <c r="F60" t="s">
        <v>396</v>
      </c>
      <c r="G60" t="s">
        <v>307</v>
      </c>
      <c r="J60" t="str">
        <f>IF(OR(テーブル1[[#This Row],[最終合格校]]&lt;&gt;"",テーブル1[[#This Row],[進路区分]]="進学未定",テーブル1[[#This Row],[出願経験]]="有"),"○","")&amp;F60</f>
        <v>○日本経済大学</v>
      </c>
      <c r="K60" t="str">
        <f t="shared" si="0"/>
        <v>大学</v>
      </c>
      <c r="L60" t="str">
        <f t="shared" si="1"/>
        <v>日本経済大学</v>
      </c>
      <c r="M60" t="str">
        <f t="shared" si="2"/>
        <v/>
      </c>
      <c r="N60" t="str">
        <f>テーブル1[[#This Row],[大学・大学院]]&amp;テーブル1[[#This Row],[専門学校]]</f>
        <v>日本経済大学</v>
      </c>
    </row>
    <row r="61" spans="1:14" x14ac:dyDescent="0.4">
      <c r="A61" s="4">
        <v>2304023</v>
      </c>
      <c r="B61" s="5" t="s">
        <v>77</v>
      </c>
      <c r="C61" t="s">
        <v>134</v>
      </c>
      <c r="D61" t="s">
        <v>486</v>
      </c>
      <c r="E61" t="s">
        <v>15</v>
      </c>
      <c r="F61" t="s">
        <v>318</v>
      </c>
      <c r="G61" t="s">
        <v>307</v>
      </c>
      <c r="J61" t="str">
        <f>IF(OR(テーブル1[[#This Row],[最終合格校]]&lt;&gt;"",テーブル1[[#This Row],[進路区分]]="進学未定",テーブル1[[#This Row],[出願経験]]="有"),"○","")&amp;F61</f>
        <v>○愛甲学院専門学校</v>
      </c>
      <c r="K61" t="str">
        <f t="shared" si="0"/>
        <v>専門学校</v>
      </c>
      <c r="L61" t="str">
        <f t="shared" si="1"/>
        <v/>
      </c>
      <c r="M61" t="str">
        <f t="shared" si="2"/>
        <v>愛甲学院専門学校</v>
      </c>
      <c r="N61" t="str">
        <f>テーブル1[[#This Row],[大学・大学院]]&amp;テーブル1[[#This Row],[専門学校]]</f>
        <v>愛甲学院専門学校</v>
      </c>
    </row>
    <row r="62" spans="1:14" x14ac:dyDescent="0.4">
      <c r="A62" s="4">
        <v>2304024</v>
      </c>
      <c r="B62" s="5" t="s">
        <v>77</v>
      </c>
      <c r="C62" t="s">
        <v>135</v>
      </c>
      <c r="D62" t="s">
        <v>486</v>
      </c>
      <c r="E62" t="s">
        <v>15</v>
      </c>
      <c r="F62" t="s">
        <v>328</v>
      </c>
      <c r="G62" t="s">
        <v>307</v>
      </c>
      <c r="J62" t="str">
        <f>IF(OR(テーブル1[[#This Row],[最終合格校]]&lt;&gt;"",テーブル1[[#This Row],[進路区分]]="進学未定",テーブル1[[#This Row],[出願経験]]="有"),"○","")&amp;F62</f>
        <v>○トヨタ神戸自動車大学校</v>
      </c>
      <c r="K62" t="str">
        <f t="shared" si="0"/>
        <v>専門学校</v>
      </c>
      <c r="L62" t="str">
        <f t="shared" si="1"/>
        <v/>
      </c>
      <c r="M62" t="str">
        <f t="shared" si="2"/>
        <v>トヨタ神戸自動車大学校</v>
      </c>
      <c r="N62" t="str">
        <f>テーブル1[[#This Row],[大学・大学院]]&amp;テーブル1[[#This Row],[専門学校]]</f>
        <v>トヨタ神戸自動車大学校</v>
      </c>
    </row>
    <row r="63" spans="1:14" x14ac:dyDescent="0.4">
      <c r="A63" s="4">
        <v>2304033</v>
      </c>
      <c r="B63" s="5" t="s">
        <v>77</v>
      </c>
      <c r="C63" t="s">
        <v>136</v>
      </c>
      <c r="D63" t="s">
        <v>486</v>
      </c>
      <c r="E63" t="s">
        <v>15</v>
      </c>
      <c r="F63" t="s">
        <v>318</v>
      </c>
      <c r="G63" t="s">
        <v>307</v>
      </c>
      <c r="J63" t="str">
        <f>IF(OR(テーブル1[[#This Row],[最終合格校]]&lt;&gt;"",テーブル1[[#This Row],[進路区分]]="進学未定",テーブル1[[#This Row],[出願経験]]="有"),"○","")&amp;F63</f>
        <v>○愛甲学院専門学校</v>
      </c>
      <c r="K63" t="str">
        <f t="shared" si="0"/>
        <v>専門学校</v>
      </c>
      <c r="L63" t="str">
        <f t="shared" si="1"/>
        <v/>
      </c>
      <c r="M63" t="str">
        <f t="shared" si="2"/>
        <v>愛甲学院専門学校</v>
      </c>
      <c r="N63" t="str">
        <f>テーブル1[[#This Row],[大学・大学院]]&amp;テーブル1[[#This Row],[専門学校]]</f>
        <v>愛甲学院専門学校</v>
      </c>
    </row>
    <row r="64" spans="1:14" x14ac:dyDescent="0.4">
      <c r="A64" s="4">
        <v>2304034</v>
      </c>
      <c r="B64" s="5" t="s">
        <v>77</v>
      </c>
      <c r="C64" t="s">
        <v>137</v>
      </c>
      <c r="D64" t="s">
        <v>486</v>
      </c>
      <c r="E64" t="s">
        <v>15</v>
      </c>
      <c r="F64" t="s">
        <v>310</v>
      </c>
      <c r="G64" t="s">
        <v>307</v>
      </c>
      <c r="J64" t="str">
        <f>IF(OR(テーブル1[[#This Row],[最終合格校]]&lt;&gt;"",テーブル1[[#This Row],[進路区分]]="進学未定",テーブル1[[#This Row],[出願経験]]="有"),"○","")&amp;F64</f>
        <v>○東亜経理専門学校</v>
      </c>
      <c r="K64" t="str">
        <f t="shared" si="0"/>
        <v>専門学校</v>
      </c>
      <c r="L64" t="str">
        <f t="shared" si="1"/>
        <v/>
      </c>
      <c r="M64" t="str">
        <f t="shared" si="2"/>
        <v>東亜経理専門学校</v>
      </c>
      <c r="N64" t="str">
        <f>テーブル1[[#This Row],[大学・大学院]]&amp;テーブル1[[#This Row],[専門学校]]</f>
        <v>東亜経理専門学校</v>
      </c>
    </row>
    <row r="65" spans="1:14" x14ac:dyDescent="0.4">
      <c r="A65" s="4">
        <v>2304044</v>
      </c>
      <c r="B65" s="5" t="s">
        <v>77</v>
      </c>
      <c r="C65" t="s">
        <v>138</v>
      </c>
      <c r="D65" t="s">
        <v>486</v>
      </c>
      <c r="E65" t="s">
        <v>15</v>
      </c>
      <c r="F65" t="s">
        <v>310</v>
      </c>
      <c r="G65" t="s">
        <v>307</v>
      </c>
      <c r="J65" t="str">
        <f>IF(OR(テーブル1[[#This Row],[最終合格校]]&lt;&gt;"",テーブル1[[#This Row],[進路区分]]="進学未定",テーブル1[[#This Row],[出願経験]]="有"),"○","")&amp;F65</f>
        <v>○東亜経理専門学校</v>
      </c>
      <c r="K65" t="str">
        <f t="shared" si="0"/>
        <v>専門学校</v>
      </c>
      <c r="L65" t="str">
        <f t="shared" si="1"/>
        <v/>
      </c>
      <c r="M65" t="str">
        <f t="shared" si="2"/>
        <v>東亜経理専門学校</v>
      </c>
      <c r="N65" t="str">
        <f>テーブル1[[#This Row],[大学・大学院]]&amp;テーブル1[[#This Row],[専門学校]]</f>
        <v>東亜経理専門学校</v>
      </c>
    </row>
    <row r="66" spans="1:14" x14ac:dyDescent="0.4">
      <c r="A66" s="4">
        <v>2304056</v>
      </c>
      <c r="B66" s="5" t="s">
        <v>77</v>
      </c>
      <c r="C66" t="s">
        <v>139</v>
      </c>
      <c r="D66" t="s">
        <v>486</v>
      </c>
      <c r="E66" t="s">
        <v>15</v>
      </c>
      <c r="F66" t="s">
        <v>310</v>
      </c>
      <c r="G66" t="s">
        <v>307</v>
      </c>
      <c r="J66" t="str">
        <f>IF(OR(テーブル1[[#This Row],[最終合格校]]&lt;&gt;"",テーブル1[[#This Row],[進路区分]]="進学未定",テーブル1[[#This Row],[出願経験]]="有"),"○","")&amp;F66</f>
        <v>○東亜経理専門学校</v>
      </c>
      <c r="K66" t="str">
        <f t="shared" ref="K66:K129" si="3">IF(OR(D66="卒業",D66="修了",D66="延長"),E66,"")</f>
        <v>専門学校</v>
      </c>
      <c r="L66" t="str">
        <f t="shared" ref="L66:L129" si="4">IF(E66="大学",F66,IF(E66="大学院",F66,""))</f>
        <v/>
      </c>
      <c r="M66" t="str">
        <f t="shared" ref="M66:M129" si="5">IF(E66="専門学校",F66,"")</f>
        <v>東亜経理専門学校</v>
      </c>
      <c r="N66" t="str">
        <f>テーブル1[[#This Row],[大学・大学院]]&amp;テーブル1[[#This Row],[専門学校]]</f>
        <v>東亜経理専門学校</v>
      </c>
    </row>
    <row r="67" spans="1:14" x14ac:dyDescent="0.4">
      <c r="A67" s="4">
        <v>2304064</v>
      </c>
      <c r="B67" s="5" t="s">
        <v>77</v>
      </c>
      <c r="C67" t="s">
        <v>47</v>
      </c>
      <c r="D67" t="s">
        <v>486</v>
      </c>
      <c r="E67" t="s">
        <v>15</v>
      </c>
      <c r="F67" t="s">
        <v>310</v>
      </c>
      <c r="G67" t="s">
        <v>307</v>
      </c>
      <c r="J67" t="str">
        <f>IF(OR(テーブル1[[#This Row],[最終合格校]]&lt;&gt;"",テーブル1[[#This Row],[進路区分]]="進学未定",テーブル1[[#This Row],[出願経験]]="有"),"○","")&amp;F67</f>
        <v>○東亜経理専門学校</v>
      </c>
      <c r="K67" t="str">
        <f t="shared" si="3"/>
        <v>専門学校</v>
      </c>
      <c r="L67" t="str">
        <f t="shared" si="4"/>
        <v/>
      </c>
      <c r="M67" t="str">
        <f t="shared" si="5"/>
        <v>東亜経理専門学校</v>
      </c>
      <c r="N67" t="str">
        <f>テーブル1[[#This Row],[大学・大学院]]&amp;テーブル1[[#This Row],[専門学校]]</f>
        <v>東亜経理専門学校</v>
      </c>
    </row>
    <row r="68" spans="1:14" x14ac:dyDescent="0.4">
      <c r="A68" s="4">
        <v>2304087</v>
      </c>
      <c r="B68" s="5" t="s">
        <v>77</v>
      </c>
      <c r="C68" t="s">
        <v>140</v>
      </c>
      <c r="D68" t="s">
        <v>486</v>
      </c>
      <c r="E68" t="s">
        <v>15</v>
      </c>
      <c r="F68" t="s">
        <v>318</v>
      </c>
      <c r="G68" t="s">
        <v>307</v>
      </c>
      <c r="J68" t="str">
        <f>IF(OR(テーブル1[[#This Row],[最終合格校]]&lt;&gt;"",テーブル1[[#This Row],[進路区分]]="進学未定",テーブル1[[#This Row],[出願経験]]="有"),"○","")&amp;F68</f>
        <v>○愛甲学院専門学校</v>
      </c>
      <c r="K68" t="str">
        <f t="shared" si="3"/>
        <v>専門学校</v>
      </c>
      <c r="L68" t="str">
        <f t="shared" si="4"/>
        <v/>
      </c>
      <c r="M68" t="str">
        <f t="shared" si="5"/>
        <v>愛甲学院専門学校</v>
      </c>
      <c r="N68" t="str">
        <f>テーブル1[[#This Row],[大学・大学院]]&amp;テーブル1[[#This Row],[専門学校]]</f>
        <v>愛甲学院専門学校</v>
      </c>
    </row>
    <row r="69" spans="1:14" x14ac:dyDescent="0.4">
      <c r="A69" s="4">
        <v>2304105</v>
      </c>
      <c r="B69" s="5" t="s">
        <v>77</v>
      </c>
      <c r="C69" t="s">
        <v>141</v>
      </c>
      <c r="D69" t="s">
        <v>486</v>
      </c>
      <c r="E69" t="s">
        <v>15</v>
      </c>
      <c r="F69" t="s">
        <v>319</v>
      </c>
      <c r="G69" t="s">
        <v>307</v>
      </c>
      <c r="J69" t="str">
        <f>IF(OR(テーブル1[[#This Row],[最終合格校]]&lt;&gt;"",テーブル1[[#This Row],[進路区分]]="進学未定",テーブル1[[#This Row],[出願経験]]="有"),"○","")&amp;F69</f>
        <v>○太田工科専門学校</v>
      </c>
      <c r="K69" t="str">
        <f t="shared" si="3"/>
        <v>専門学校</v>
      </c>
      <c r="L69" t="str">
        <f t="shared" si="4"/>
        <v/>
      </c>
      <c r="M69" t="str">
        <f t="shared" si="5"/>
        <v>太田工科専門学校</v>
      </c>
      <c r="N69" t="str">
        <f>テーブル1[[#This Row],[大学・大学院]]&amp;テーブル1[[#This Row],[専門学校]]</f>
        <v>太田工科専門学校</v>
      </c>
    </row>
    <row r="70" spans="1:14" x14ac:dyDescent="0.4">
      <c r="A70" s="4">
        <v>2304106</v>
      </c>
      <c r="B70" s="5" t="s">
        <v>77</v>
      </c>
      <c r="C70" t="s">
        <v>142</v>
      </c>
      <c r="D70" t="s">
        <v>486</v>
      </c>
      <c r="E70" t="s">
        <v>15</v>
      </c>
      <c r="F70" t="s">
        <v>308</v>
      </c>
      <c r="G70" t="s">
        <v>307</v>
      </c>
      <c r="J70" t="str">
        <f>IF(OR(テーブル1[[#This Row],[最終合格校]]&lt;&gt;"",テーブル1[[#This Row],[進路区分]]="進学未定",テーブル1[[#This Row],[出願経験]]="有"),"○","")&amp;F70</f>
        <v>○CAD製図専門学校</v>
      </c>
      <c r="K70" t="str">
        <f t="shared" si="3"/>
        <v>専門学校</v>
      </c>
      <c r="L70" t="str">
        <f t="shared" si="4"/>
        <v/>
      </c>
      <c r="M70" t="str">
        <f t="shared" si="5"/>
        <v>CAD製図専門学校</v>
      </c>
      <c r="N70" t="str">
        <f>テーブル1[[#This Row],[大学・大学院]]&amp;テーブル1[[#This Row],[専門学校]]</f>
        <v>CAD製図専門学校</v>
      </c>
    </row>
    <row r="71" spans="1:14" x14ac:dyDescent="0.4">
      <c r="A71" s="4">
        <v>2304108</v>
      </c>
      <c r="B71" s="5" t="s">
        <v>77</v>
      </c>
      <c r="C71" t="s">
        <v>143</v>
      </c>
      <c r="D71" t="s">
        <v>486</v>
      </c>
      <c r="E71" t="s">
        <v>15</v>
      </c>
      <c r="F71" t="s">
        <v>310</v>
      </c>
      <c r="G71" t="s">
        <v>307</v>
      </c>
      <c r="J71" t="str">
        <f>IF(OR(テーブル1[[#This Row],[最終合格校]]&lt;&gt;"",テーブル1[[#This Row],[進路区分]]="進学未定",テーブル1[[#This Row],[出願経験]]="有"),"○","")&amp;F71</f>
        <v>○東亜経理専門学校</v>
      </c>
      <c r="K71" t="str">
        <f t="shared" si="3"/>
        <v>専門学校</v>
      </c>
      <c r="L71" t="str">
        <f t="shared" si="4"/>
        <v/>
      </c>
      <c r="M71" t="str">
        <f t="shared" si="5"/>
        <v>東亜経理専門学校</v>
      </c>
      <c r="N71" t="str">
        <f>テーブル1[[#This Row],[大学・大学院]]&amp;テーブル1[[#This Row],[専門学校]]</f>
        <v>東亜経理専門学校</v>
      </c>
    </row>
    <row r="72" spans="1:14" x14ac:dyDescent="0.4">
      <c r="A72" s="4">
        <v>2304109</v>
      </c>
      <c r="B72" s="5" t="s">
        <v>77</v>
      </c>
      <c r="C72" t="s">
        <v>144</v>
      </c>
      <c r="D72" t="s">
        <v>486</v>
      </c>
      <c r="E72" t="s">
        <v>15</v>
      </c>
      <c r="F72" t="s">
        <v>52</v>
      </c>
      <c r="G72" t="s">
        <v>307</v>
      </c>
      <c r="J72" t="str">
        <f>IF(OR(テーブル1[[#This Row],[最終合格校]]&lt;&gt;"",テーブル1[[#This Row],[進路区分]]="進学未定",テーブル1[[#This Row],[出願経験]]="有"),"○","")&amp;F72</f>
        <v>○東京国際ビジネスカレッジ神戸校</v>
      </c>
      <c r="K72" t="str">
        <f t="shared" si="3"/>
        <v>専門学校</v>
      </c>
      <c r="L72" t="str">
        <f t="shared" si="4"/>
        <v/>
      </c>
      <c r="M72" t="str">
        <f t="shared" si="5"/>
        <v>東京国際ビジネスカレッジ神戸校</v>
      </c>
      <c r="N72" t="str">
        <f>テーブル1[[#This Row],[大学・大学院]]&amp;テーブル1[[#This Row],[専門学校]]</f>
        <v>東京国際ビジネスカレッジ神戸校</v>
      </c>
    </row>
    <row r="73" spans="1:14" x14ac:dyDescent="0.4">
      <c r="A73" s="4">
        <v>2304114</v>
      </c>
      <c r="B73" s="5" t="s">
        <v>77</v>
      </c>
      <c r="C73" t="s">
        <v>145</v>
      </c>
      <c r="D73" t="s">
        <v>486</v>
      </c>
      <c r="E73" t="s">
        <v>14</v>
      </c>
      <c r="F73" t="s">
        <v>459</v>
      </c>
      <c r="G73" t="s">
        <v>307</v>
      </c>
      <c r="J73" t="str">
        <f>IF(OR(テーブル1[[#This Row],[最終合格校]]&lt;&gt;"",テーブル1[[#This Row],[進路区分]]="進学未定",テーブル1[[#This Row],[出願経験]]="有"),"○","")&amp;F73</f>
        <v>○神戸国際大学</v>
      </c>
      <c r="K73" t="str">
        <f t="shared" si="3"/>
        <v>大学</v>
      </c>
      <c r="L73" t="str">
        <f t="shared" si="4"/>
        <v>神戸国際大学</v>
      </c>
      <c r="M73" t="str">
        <f t="shared" si="5"/>
        <v/>
      </c>
      <c r="N73" t="str">
        <f>テーブル1[[#This Row],[大学・大学院]]&amp;テーブル1[[#This Row],[専門学校]]</f>
        <v>神戸国際大学</v>
      </c>
    </row>
    <row r="74" spans="1:14" x14ac:dyDescent="0.4">
      <c r="A74" s="4">
        <v>2304118</v>
      </c>
      <c r="B74" s="5" t="s">
        <v>77</v>
      </c>
      <c r="C74" t="s">
        <v>146</v>
      </c>
      <c r="D74" t="s">
        <v>486</v>
      </c>
      <c r="E74" t="s">
        <v>15</v>
      </c>
      <c r="F74" t="s">
        <v>308</v>
      </c>
      <c r="G74" t="s">
        <v>307</v>
      </c>
      <c r="J74" t="str">
        <f>IF(OR(テーブル1[[#This Row],[最終合格校]]&lt;&gt;"",テーブル1[[#This Row],[進路区分]]="進学未定",テーブル1[[#This Row],[出願経験]]="有"),"○","")&amp;F74</f>
        <v>○CAD製図専門学校</v>
      </c>
      <c r="K74" t="str">
        <f t="shared" si="3"/>
        <v>専門学校</v>
      </c>
      <c r="L74" t="str">
        <f t="shared" si="4"/>
        <v/>
      </c>
      <c r="M74" t="str">
        <f t="shared" si="5"/>
        <v>CAD製図専門学校</v>
      </c>
      <c r="N74" t="str">
        <f>テーブル1[[#This Row],[大学・大学院]]&amp;テーブル1[[#This Row],[専門学校]]</f>
        <v>CAD製図専門学校</v>
      </c>
    </row>
    <row r="75" spans="1:14" x14ac:dyDescent="0.4">
      <c r="A75" s="4">
        <v>2304123</v>
      </c>
      <c r="B75" s="5" t="s">
        <v>77</v>
      </c>
      <c r="C75" t="s">
        <v>147</v>
      </c>
      <c r="D75" t="s">
        <v>486</v>
      </c>
      <c r="E75" t="s">
        <v>15</v>
      </c>
      <c r="F75" t="s">
        <v>320</v>
      </c>
      <c r="G75" t="s">
        <v>307</v>
      </c>
      <c r="J75" t="str">
        <f>IF(OR(テーブル1[[#This Row],[最終合格校]]&lt;&gt;"",テーブル1[[#This Row],[進路区分]]="進学未定",テーブル1[[#This Row],[出願経験]]="有"),"○","")&amp;F75</f>
        <v>○東京国際ビジネスカレッジ神戸校</v>
      </c>
      <c r="K75" t="str">
        <f t="shared" si="3"/>
        <v>専門学校</v>
      </c>
      <c r="L75" t="str">
        <f t="shared" si="4"/>
        <v/>
      </c>
      <c r="M75" t="str">
        <f t="shared" si="5"/>
        <v>東京国際ビジネスカレッジ神戸校</v>
      </c>
      <c r="N75" t="str">
        <f>テーブル1[[#This Row],[大学・大学院]]&amp;テーブル1[[#This Row],[専門学校]]</f>
        <v>東京国際ビジネスカレッジ神戸校</v>
      </c>
    </row>
    <row r="76" spans="1:14" x14ac:dyDescent="0.4">
      <c r="A76" s="4">
        <v>2304128</v>
      </c>
      <c r="B76" s="5" t="s">
        <v>77</v>
      </c>
      <c r="C76" t="s">
        <v>148</v>
      </c>
      <c r="D76" t="s">
        <v>486</v>
      </c>
      <c r="E76" t="s">
        <v>15</v>
      </c>
      <c r="F76" t="s">
        <v>397</v>
      </c>
      <c r="G76" t="s">
        <v>307</v>
      </c>
      <c r="J76" t="str">
        <f>IF(OR(テーブル1[[#This Row],[最終合格校]]&lt;&gt;"",テーブル1[[#This Row],[進路区分]]="進学未定",テーブル1[[#This Row],[出願経験]]="有"),"○","")&amp;F76</f>
        <v>○浦和専門学校</v>
      </c>
      <c r="K76" t="str">
        <f t="shared" si="3"/>
        <v>専門学校</v>
      </c>
      <c r="L76" t="str">
        <f t="shared" si="4"/>
        <v/>
      </c>
      <c r="M76" t="str">
        <f t="shared" si="5"/>
        <v>浦和専門学校</v>
      </c>
      <c r="N76" t="str">
        <f>テーブル1[[#This Row],[大学・大学院]]&amp;テーブル1[[#This Row],[専門学校]]</f>
        <v>浦和専門学校</v>
      </c>
    </row>
    <row r="77" spans="1:14" x14ac:dyDescent="0.4">
      <c r="A77" s="4">
        <v>2304133</v>
      </c>
      <c r="B77" s="5" t="s">
        <v>77</v>
      </c>
      <c r="C77" t="s">
        <v>149</v>
      </c>
      <c r="D77" t="s">
        <v>486</v>
      </c>
      <c r="E77" t="s">
        <v>14</v>
      </c>
      <c r="F77" t="s">
        <v>385</v>
      </c>
      <c r="G77" t="s">
        <v>307</v>
      </c>
      <c r="J77" t="str">
        <f>IF(OR(テーブル1[[#This Row],[最終合格校]]&lt;&gt;"",テーブル1[[#This Row],[進路区分]]="進学未定",テーブル1[[#This Row],[出願経験]]="有"),"○","")&amp;F77</f>
        <v>○流通科学大学</v>
      </c>
      <c r="K77" t="str">
        <f t="shared" si="3"/>
        <v>大学</v>
      </c>
      <c r="L77" t="str">
        <f t="shared" si="4"/>
        <v>流通科学大学</v>
      </c>
      <c r="M77" t="str">
        <f t="shared" si="5"/>
        <v/>
      </c>
      <c r="N77" t="str">
        <f>テーブル1[[#This Row],[大学・大学院]]&amp;テーブル1[[#This Row],[専門学校]]</f>
        <v>流通科学大学</v>
      </c>
    </row>
    <row r="78" spans="1:14" x14ac:dyDescent="0.4">
      <c r="A78" s="4">
        <v>2304002</v>
      </c>
      <c r="B78" s="5" t="s">
        <v>78</v>
      </c>
      <c r="C78" t="s">
        <v>150</v>
      </c>
      <c r="D78" t="s">
        <v>486</v>
      </c>
      <c r="E78" t="s">
        <v>14</v>
      </c>
      <c r="F78" t="s">
        <v>419</v>
      </c>
      <c r="G78" t="s">
        <v>307</v>
      </c>
      <c r="J78" t="str">
        <f>IF(OR(テーブル1[[#This Row],[最終合格校]]&lt;&gt;"",テーブル1[[#This Row],[進路区分]]="進学未定",テーブル1[[#This Row],[出願経験]]="有"),"○","")&amp;F78</f>
        <v>○神戸芸術工科大学</v>
      </c>
      <c r="K78" t="str">
        <f t="shared" si="3"/>
        <v>大学</v>
      </c>
      <c r="L78" t="str">
        <f t="shared" si="4"/>
        <v>神戸芸術工科大学</v>
      </c>
      <c r="M78" t="str">
        <f t="shared" si="5"/>
        <v/>
      </c>
      <c r="N78" t="str">
        <f>テーブル1[[#This Row],[大学・大学院]]&amp;テーブル1[[#This Row],[専門学校]]</f>
        <v>神戸芸術工科大学</v>
      </c>
    </row>
    <row r="79" spans="1:14" x14ac:dyDescent="0.4">
      <c r="A79" s="4">
        <v>2304003</v>
      </c>
      <c r="B79" s="5" t="s">
        <v>78</v>
      </c>
      <c r="C79" t="s">
        <v>151</v>
      </c>
      <c r="D79" t="s">
        <v>486</v>
      </c>
      <c r="E79" t="s">
        <v>14</v>
      </c>
      <c r="F79" t="s">
        <v>460</v>
      </c>
      <c r="G79" t="s">
        <v>307</v>
      </c>
      <c r="J79" t="str">
        <f>IF(OR(テーブル1[[#This Row],[最終合格校]]&lt;&gt;"",テーブル1[[#This Row],[進路区分]]="進学未定",テーブル1[[#This Row],[出願経験]]="有"),"○","")&amp;F79</f>
        <v>○神戸親和大学</v>
      </c>
      <c r="K79" t="str">
        <f t="shared" si="3"/>
        <v>大学</v>
      </c>
      <c r="L79" t="str">
        <f t="shared" si="4"/>
        <v>神戸親和大学</v>
      </c>
      <c r="M79" t="str">
        <f t="shared" si="5"/>
        <v/>
      </c>
      <c r="N79" t="str">
        <f>テーブル1[[#This Row],[大学・大学院]]&amp;テーブル1[[#This Row],[専門学校]]</f>
        <v>神戸親和大学</v>
      </c>
    </row>
    <row r="80" spans="1:14" x14ac:dyDescent="0.4">
      <c r="A80" s="4">
        <v>2304005</v>
      </c>
      <c r="B80" s="5" t="s">
        <v>78</v>
      </c>
      <c r="C80" t="s">
        <v>152</v>
      </c>
      <c r="D80" t="s">
        <v>486</v>
      </c>
      <c r="E80" t="s">
        <v>14</v>
      </c>
      <c r="F80" t="s">
        <v>460</v>
      </c>
      <c r="G80" t="s">
        <v>307</v>
      </c>
      <c r="J80" t="str">
        <f>IF(OR(テーブル1[[#This Row],[最終合格校]]&lt;&gt;"",テーブル1[[#This Row],[進路区分]]="進学未定",テーブル1[[#This Row],[出願経験]]="有"),"○","")&amp;F80</f>
        <v>○神戸親和大学</v>
      </c>
      <c r="K80" t="str">
        <f t="shared" si="3"/>
        <v>大学</v>
      </c>
      <c r="L80" t="str">
        <f t="shared" si="4"/>
        <v>神戸親和大学</v>
      </c>
      <c r="M80" t="str">
        <f t="shared" si="5"/>
        <v/>
      </c>
      <c r="N80" t="str">
        <f>テーブル1[[#This Row],[大学・大学院]]&amp;テーブル1[[#This Row],[専門学校]]</f>
        <v>神戸親和大学</v>
      </c>
    </row>
    <row r="81" spans="1:14" x14ac:dyDescent="0.4">
      <c r="A81" s="4">
        <v>2304014</v>
      </c>
      <c r="B81" s="5" t="s">
        <v>78</v>
      </c>
      <c r="C81" t="s">
        <v>153</v>
      </c>
      <c r="D81" t="s">
        <v>486</v>
      </c>
      <c r="E81" t="s">
        <v>14</v>
      </c>
      <c r="F81" t="s">
        <v>460</v>
      </c>
      <c r="G81" t="s">
        <v>307</v>
      </c>
      <c r="J81" t="str">
        <f>IF(OR(テーブル1[[#This Row],[最終合格校]]&lt;&gt;"",テーブル1[[#This Row],[進路区分]]="進学未定",テーブル1[[#This Row],[出願経験]]="有"),"○","")&amp;F81</f>
        <v>○神戸親和大学</v>
      </c>
      <c r="K81" t="str">
        <f t="shared" si="3"/>
        <v>大学</v>
      </c>
      <c r="L81" t="str">
        <f t="shared" si="4"/>
        <v>神戸親和大学</v>
      </c>
      <c r="M81" t="str">
        <f t="shared" si="5"/>
        <v/>
      </c>
      <c r="N81" t="str">
        <f>テーブル1[[#This Row],[大学・大学院]]&amp;テーブル1[[#This Row],[専門学校]]</f>
        <v>神戸親和大学</v>
      </c>
    </row>
    <row r="82" spans="1:14" x14ac:dyDescent="0.4">
      <c r="A82" s="4">
        <v>2304015</v>
      </c>
      <c r="B82" s="5" t="s">
        <v>78</v>
      </c>
      <c r="C82" t="s">
        <v>154</v>
      </c>
      <c r="D82" t="s">
        <v>486</v>
      </c>
      <c r="E82" t="s">
        <v>14</v>
      </c>
      <c r="F82" t="s">
        <v>385</v>
      </c>
      <c r="G82" t="s">
        <v>307</v>
      </c>
      <c r="J82" t="str">
        <f>IF(OR(テーブル1[[#This Row],[最終合格校]]&lt;&gt;"",テーブル1[[#This Row],[進路区分]]="進学未定",テーブル1[[#This Row],[出願経験]]="有"),"○","")&amp;F82</f>
        <v>○流通科学大学</v>
      </c>
      <c r="K82" t="str">
        <f t="shared" si="3"/>
        <v>大学</v>
      </c>
      <c r="L82" t="str">
        <f t="shared" si="4"/>
        <v>流通科学大学</v>
      </c>
      <c r="M82" t="str">
        <f t="shared" si="5"/>
        <v/>
      </c>
      <c r="N82" t="str">
        <f>テーブル1[[#This Row],[大学・大学院]]&amp;テーブル1[[#This Row],[専門学校]]</f>
        <v>流通科学大学</v>
      </c>
    </row>
    <row r="83" spans="1:14" x14ac:dyDescent="0.4">
      <c r="A83" s="4">
        <v>2304035</v>
      </c>
      <c r="B83" s="5" t="s">
        <v>78</v>
      </c>
      <c r="C83" t="s">
        <v>155</v>
      </c>
      <c r="D83" t="s">
        <v>486</v>
      </c>
      <c r="E83" t="s">
        <v>15</v>
      </c>
      <c r="F83" t="s">
        <v>321</v>
      </c>
      <c r="G83" t="s">
        <v>307</v>
      </c>
      <c r="J83" t="str">
        <f>IF(OR(テーブル1[[#This Row],[最終合格校]]&lt;&gt;"",テーブル1[[#This Row],[進路区分]]="進学未定",テーブル1[[#This Row],[出願経験]]="有"),"○","")&amp;F83</f>
        <v>○和歌山社会福祉専門学校</v>
      </c>
      <c r="K83" t="str">
        <f t="shared" si="3"/>
        <v>専門学校</v>
      </c>
      <c r="L83" t="str">
        <f t="shared" si="4"/>
        <v/>
      </c>
      <c r="M83" t="str">
        <f t="shared" si="5"/>
        <v>和歌山社会福祉専門学校</v>
      </c>
      <c r="N83" t="str">
        <f>テーブル1[[#This Row],[大学・大学院]]&amp;テーブル1[[#This Row],[専門学校]]</f>
        <v>和歌山社会福祉専門学校</v>
      </c>
    </row>
    <row r="84" spans="1:14" x14ac:dyDescent="0.4">
      <c r="A84" s="4">
        <v>2304051</v>
      </c>
      <c r="B84" s="5" t="s">
        <v>78</v>
      </c>
      <c r="C84" t="s">
        <v>156</v>
      </c>
      <c r="D84" t="s">
        <v>486</v>
      </c>
      <c r="E84" t="s">
        <v>15</v>
      </c>
      <c r="F84" t="s">
        <v>310</v>
      </c>
      <c r="G84" t="s">
        <v>307</v>
      </c>
      <c r="J84" t="str">
        <f>IF(OR(テーブル1[[#This Row],[最終合格校]]&lt;&gt;"",テーブル1[[#This Row],[進路区分]]="進学未定",テーブル1[[#This Row],[出願経験]]="有"),"○","")&amp;F84</f>
        <v>○東亜経理専門学校</v>
      </c>
      <c r="K84" t="str">
        <f t="shared" si="3"/>
        <v>専門学校</v>
      </c>
      <c r="L84" t="str">
        <f t="shared" si="4"/>
        <v/>
      </c>
      <c r="M84" t="str">
        <f t="shared" si="5"/>
        <v>東亜経理専門学校</v>
      </c>
      <c r="N84" t="str">
        <f>テーブル1[[#This Row],[大学・大学院]]&amp;テーブル1[[#This Row],[専門学校]]</f>
        <v>東亜経理専門学校</v>
      </c>
    </row>
    <row r="85" spans="1:14" x14ac:dyDescent="0.4">
      <c r="A85" s="4">
        <v>2304052</v>
      </c>
      <c r="B85" s="5" t="s">
        <v>78</v>
      </c>
      <c r="C85" t="s">
        <v>348</v>
      </c>
      <c r="D85" t="s">
        <v>486</v>
      </c>
      <c r="E85" t="s">
        <v>15</v>
      </c>
      <c r="F85" t="s">
        <v>322</v>
      </c>
      <c r="G85" t="s">
        <v>307</v>
      </c>
      <c r="J85" t="str">
        <f>IF(OR(テーブル1[[#This Row],[最終合格校]]&lt;&gt;"",テーブル1[[#This Row],[進路区分]]="進学未定",テーブル1[[#This Row],[出願経験]]="有"),"○","")&amp;F85</f>
        <v>○大阪観光ビジネス学院</v>
      </c>
      <c r="K85" t="str">
        <f t="shared" si="3"/>
        <v>専門学校</v>
      </c>
      <c r="L85" t="str">
        <f t="shared" si="4"/>
        <v/>
      </c>
      <c r="M85" t="str">
        <f t="shared" si="5"/>
        <v>大阪観光ビジネス学院</v>
      </c>
      <c r="N85" t="str">
        <f>テーブル1[[#This Row],[大学・大学院]]&amp;テーブル1[[#This Row],[専門学校]]</f>
        <v>大阪観光ビジネス学院</v>
      </c>
    </row>
    <row r="86" spans="1:14" x14ac:dyDescent="0.4">
      <c r="A86" s="4">
        <v>2304078</v>
      </c>
      <c r="B86" s="5" t="s">
        <v>78</v>
      </c>
      <c r="C86" t="s">
        <v>157</v>
      </c>
      <c r="D86" t="s">
        <v>486</v>
      </c>
      <c r="E86" t="s">
        <v>461</v>
      </c>
      <c r="J86" t="str">
        <f>IF(OR(テーブル1[[#This Row],[最終合格校]]&lt;&gt;"",テーブル1[[#This Row],[進路区分]]="進学未定",テーブル1[[#This Row],[出願経験]]="有"),"○","")&amp;F86</f>
        <v/>
      </c>
      <c r="K86" t="str">
        <f t="shared" si="3"/>
        <v>特定活動ビザ</v>
      </c>
      <c r="L86" t="str">
        <f t="shared" si="4"/>
        <v/>
      </c>
      <c r="M86" t="str">
        <f t="shared" si="5"/>
        <v/>
      </c>
      <c r="N86" t="str">
        <f>テーブル1[[#This Row],[大学・大学院]]&amp;テーブル1[[#This Row],[専門学校]]</f>
        <v/>
      </c>
    </row>
    <row r="87" spans="1:14" x14ac:dyDescent="0.4">
      <c r="A87" s="4">
        <v>2304079</v>
      </c>
      <c r="B87" s="5" t="s">
        <v>78</v>
      </c>
      <c r="C87" t="s">
        <v>158</v>
      </c>
      <c r="D87" t="s">
        <v>486</v>
      </c>
      <c r="E87" t="s">
        <v>15</v>
      </c>
      <c r="F87" t="s">
        <v>384</v>
      </c>
      <c r="G87" t="s">
        <v>307</v>
      </c>
      <c r="J87" t="str">
        <f>IF(OR(テーブル1[[#This Row],[最終合格校]]&lt;&gt;"",テーブル1[[#This Row],[進路区分]]="進学未定",テーブル1[[#This Row],[出願経験]]="有"),"○","")&amp;F87</f>
        <v>○神戸電子専門学校</v>
      </c>
      <c r="K87" t="str">
        <f t="shared" si="3"/>
        <v>専門学校</v>
      </c>
      <c r="L87" t="str">
        <f t="shared" si="4"/>
        <v/>
      </c>
      <c r="M87" t="str">
        <f t="shared" si="5"/>
        <v>神戸電子専門学校</v>
      </c>
      <c r="N87" t="str">
        <f>テーブル1[[#This Row],[大学・大学院]]&amp;テーブル1[[#This Row],[専門学校]]</f>
        <v>神戸電子専門学校</v>
      </c>
    </row>
    <row r="88" spans="1:14" x14ac:dyDescent="0.4">
      <c r="A88" s="4">
        <v>2304088</v>
      </c>
      <c r="B88" s="5" t="s">
        <v>78</v>
      </c>
      <c r="C88" t="s">
        <v>159</v>
      </c>
      <c r="D88" t="s">
        <v>486</v>
      </c>
      <c r="E88" t="s">
        <v>461</v>
      </c>
      <c r="F88" t="s">
        <v>323</v>
      </c>
      <c r="G88" t="s">
        <v>307</v>
      </c>
      <c r="J88" t="str">
        <f>IF(OR(テーブル1[[#This Row],[最終合格校]]&lt;&gt;"",テーブル1[[#This Row],[進路区分]]="進学未定",テーブル1[[#This Row],[出願経験]]="有"),"○","")&amp;F88</f>
        <v>○関西国際旅行・ホテル専門学校</v>
      </c>
      <c r="K88" t="str">
        <f t="shared" si="3"/>
        <v>特定活動ビザ</v>
      </c>
      <c r="L88" t="str">
        <f t="shared" si="4"/>
        <v/>
      </c>
      <c r="M88" t="str">
        <f t="shared" si="5"/>
        <v/>
      </c>
      <c r="N88" t="str">
        <f>テーブル1[[#This Row],[大学・大学院]]&amp;テーブル1[[#This Row],[専門学校]]</f>
        <v/>
      </c>
    </row>
    <row r="89" spans="1:14" x14ac:dyDescent="0.4">
      <c r="A89" s="4">
        <v>2304096</v>
      </c>
      <c r="B89" s="5" t="s">
        <v>78</v>
      </c>
      <c r="C89" t="s">
        <v>160</v>
      </c>
      <c r="D89" t="s">
        <v>486</v>
      </c>
      <c r="E89" t="s">
        <v>15</v>
      </c>
      <c r="F89" t="s">
        <v>310</v>
      </c>
      <c r="G89" t="s">
        <v>307</v>
      </c>
      <c r="J89" t="str">
        <f>IF(OR(テーブル1[[#This Row],[最終合格校]]&lt;&gt;"",テーブル1[[#This Row],[進路区分]]="進学未定",テーブル1[[#This Row],[出願経験]]="有"),"○","")&amp;F89</f>
        <v>○東亜経理専門学校</v>
      </c>
      <c r="K89" t="str">
        <f t="shared" si="3"/>
        <v>専門学校</v>
      </c>
      <c r="L89" t="str">
        <f t="shared" si="4"/>
        <v/>
      </c>
      <c r="M89" t="str">
        <f t="shared" si="5"/>
        <v>東亜経理専門学校</v>
      </c>
      <c r="N89" t="str">
        <f>テーブル1[[#This Row],[大学・大学院]]&amp;テーブル1[[#This Row],[専門学校]]</f>
        <v>東亜経理専門学校</v>
      </c>
    </row>
    <row r="90" spans="1:14" x14ac:dyDescent="0.4">
      <c r="A90" s="4">
        <v>2304102</v>
      </c>
      <c r="B90" s="5" t="s">
        <v>78</v>
      </c>
      <c r="C90" t="s">
        <v>161</v>
      </c>
      <c r="D90" t="s">
        <v>486</v>
      </c>
      <c r="E90" t="s">
        <v>15</v>
      </c>
      <c r="F90" t="s">
        <v>323</v>
      </c>
      <c r="G90" t="s">
        <v>307</v>
      </c>
      <c r="J90" t="str">
        <f>IF(OR(テーブル1[[#This Row],[最終合格校]]&lt;&gt;"",テーブル1[[#This Row],[進路区分]]="進学未定",テーブル1[[#This Row],[出願経験]]="有"),"○","")&amp;F90</f>
        <v>○関西国際旅行・ホテル専門学校</v>
      </c>
      <c r="K90" t="str">
        <f t="shared" si="3"/>
        <v>専門学校</v>
      </c>
      <c r="L90" t="str">
        <f t="shared" si="4"/>
        <v/>
      </c>
      <c r="M90" t="str">
        <f t="shared" si="5"/>
        <v>関西国際旅行・ホテル専門学校</v>
      </c>
      <c r="N90" t="str">
        <f>テーブル1[[#This Row],[大学・大学院]]&amp;テーブル1[[#This Row],[専門学校]]</f>
        <v>関西国際旅行・ホテル専門学校</v>
      </c>
    </row>
    <row r="91" spans="1:14" x14ac:dyDescent="0.4">
      <c r="A91" s="4">
        <v>2304104</v>
      </c>
      <c r="B91" s="5" t="s">
        <v>78</v>
      </c>
      <c r="C91" t="s">
        <v>162</v>
      </c>
      <c r="D91" t="s">
        <v>486</v>
      </c>
      <c r="E91" t="s">
        <v>15</v>
      </c>
      <c r="F91" t="s">
        <v>324</v>
      </c>
      <c r="G91" t="s">
        <v>307</v>
      </c>
      <c r="J91" t="str">
        <f>IF(OR(テーブル1[[#This Row],[最終合格校]]&lt;&gt;"",テーブル1[[#This Row],[進路区分]]="進学未定",テーブル1[[#This Row],[出願経験]]="有"),"○","")&amp;F91</f>
        <v>○中央美術学園</v>
      </c>
      <c r="K91" t="str">
        <f t="shared" si="3"/>
        <v>専門学校</v>
      </c>
      <c r="L91" t="str">
        <f t="shared" si="4"/>
        <v/>
      </c>
      <c r="M91" t="str">
        <f t="shared" si="5"/>
        <v>中央美術学園</v>
      </c>
      <c r="N91" t="str">
        <f>テーブル1[[#This Row],[大学・大学院]]&amp;テーブル1[[#This Row],[専門学校]]</f>
        <v>中央美術学園</v>
      </c>
    </row>
    <row r="92" spans="1:14" x14ac:dyDescent="0.4">
      <c r="A92" s="4">
        <v>2304110</v>
      </c>
      <c r="B92" s="5" t="s">
        <v>78</v>
      </c>
      <c r="C92" t="s">
        <v>163</v>
      </c>
      <c r="D92" t="s">
        <v>486</v>
      </c>
      <c r="E92" t="s">
        <v>15</v>
      </c>
      <c r="F92" t="s">
        <v>320</v>
      </c>
      <c r="G92" t="s">
        <v>307</v>
      </c>
      <c r="J92" t="str">
        <f>IF(OR(テーブル1[[#This Row],[最終合格校]]&lt;&gt;"",テーブル1[[#This Row],[進路区分]]="進学未定",テーブル1[[#This Row],[出願経験]]="有"),"○","")&amp;F92</f>
        <v>○東京国際ビジネスカレッジ神戸校</v>
      </c>
      <c r="K92" t="str">
        <f t="shared" si="3"/>
        <v>専門学校</v>
      </c>
      <c r="L92" t="str">
        <f t="shared" si="4"/>
        <v/>
      </c>
      <c r="M92" t="str">
        <f t="shared" si="5"/>
        <v>東京国際ビジネスカレッジ神戸校</v>
      </c>
      <c r="N92" t="str">
        <f>テーブル1[[#This Row],[大学・大学院]]&amp;テーブル1[[#This Row],[専門学校]]</f>
        <v>東京国際ビジネスカレッジ神戸校</v>
      </c>
    </row>
    <row r="93" spans="1:14" x14ac:dyDescent="0.4">
      <c r="A93" s="4">
        <v>2304121</v>
      </c>
      <c r="B93" s="5" t="s">
        <v>78</v>
      </c>
      <c r="C93" t="s">
        <v>164</v>
      </c>
      <c r="D93" t="s">
        <v>486</v>
      </c>
      <c r="E93" t="s">
        <v>15</v>
      </c>
      <c r="F93" t="s">
        <v>308</v>
      </c>
      <c r="G93" t="s">
        <v>307</v>
      </c>
      <c r="J93" t="str">
        <f>IF(OR(テーブル1[[#This Row],[最終合格校]]&lt;&gt;"",テーブル1[[#This Row],[進路区分]]="進学未定",テーブル1[[#This Row],[出願経験]]="有"),"○","")&amp;F93</f>
        <v>○CAD製図専門学校</v>
      </c>
      <c r="K93" t="str">
        <f t="shared" si="3"/>
        <v>専門学校</v>
      </c>
      <c r="L93" t="str">
        <f t="shared" si="4"/>
        <v/>
      </c>
      <c r="M93" t="str">
        <f t="shared" si="5"/>
        <v>CAD製図専門学校</v>
      </c>
      <c r="N93" t="str">
        <f>テーブル1[[#This Row],[大学・大学院]]&amp;テーブル1[[#This Row],[専門学校]]</f>
        <v>CAD製図専門学校</v>
      </c>
    </row>
    <row r="94" spans="1:14" x14ac:dyDescent="0.4">
      <c r="A94" s="4">
        <v>2304125</v>
      </c>
      <c r="B94" s="5" t="s">
        <v>78</v>
      </c>
      <c r="C94" t="s">
        <v>453</v>
      </c>
      <c r="D94" t="s">
        <v>486</v>
      </c>
      <c r="E94" t="s">
        <v>15</v>
      </c>
      <c r="F94" t="s">
        <v>383</v>
      </c>
      <c r="G94" t="s">
        <v>307</v>
      </c>
      <c r="J94" t="str">
        <f>IF(OR(テーブル1[[#This Row],[最終合格校]]&lt;&gt;"",テーブル1[[#This Row],[進路区分]]="進学未定",テーブル1[[#This Row],[出願経験]]="有"),"○","")&amp;F94</f>
        <v>○神戸電子専門学校</v>
      </c>
      <c r="K94" t="str">
        <f t="shared" si="3"/>
        <v>専門学校</v>
      </c>
      <c r="L94" t="str">
        <f t="shared" si="4"/>
        <v/>
      </c>
      <c r="M94" t="str">
        <f t="shared" si="5"/>
        <v>神戸電子専門学校</v>
      </c>
      <c r="N94" t="str">
        <f>テーブル1[[#This Row],[大学・大学院]]&amp;テーブル1[[#This Row],[専門学校]]</f>
        <v>神戸電子専門学校</v>
      </c>
    </row>
    <row r="95" spans="1:14" x14ac:dyDescent="0.4">
      <c r="A95" s="4">
        <v>2304127</v>
      </c>
      <c r="B95" s="5" t="s">
        <v>78</v>
      </c>
      <c r="C95" t="s">
        <v>165</v>
      </c>
      <c r="D95" t="s">
        <v>486</v>
      </c>
      <c r="E95" t="s">
        <v>15</v>
      </c>
      <c r="F95" t="s">
        <v>324</v>
      </c>
      <c r="G95" t="s">
        <v>307</v>
      </c>
      <c r="J95" t="str">
        <f>IF(OR(テーブル1[[#This Row],[最終合格校]]&lt;&gt;"",テーブル1[[#This Row],[進路区分]]="進学未定",テーブル1[[#This Row],[出願経験]]="有"),"○","")&amp;F95</f>
        <v>○中央美術学園</v>
      </c>
      <c r="K95" t="str">
        <f t="shared" si="3"/>
        <v>専門学校</v>
      </c>
      <c r="L95" t="str">
        <f t="shared" si="4"/>
        <v/>
      </c>
      <c r="M95" t="str">
        <f t="shared" si="5"/>
        <v>中央美術学園</v>
      </c>
      <c r="N95" t="str">
        <f>テーブル1[[#This Row],[大学・大学院]]&amp;テーブル1[[#This Row],[専門学校]]</f>
        <v>中央美術学園</v>
      </c>
    </row>
    <row r="96" spans="1:14" x14ac:dyDescent="0.4">
      <c r="A96" s="4">
        <v>2307012</v>
      </c>
      <c r="B96" s="5" t="s">
        <v>78</v>
      </c>
      <c r="C96" t="s">
        <v>166</v>
      </c>
      <c r="D96" t="s">
        <v>486</v>
      </c>
      <c r="E96" t="s">
        <v>15</v>
      </c>
      <c r="F96" t="s">
        <v>328</v>
      </c>
      <c r="G96" t="s">
        <v>307</v>
      </c>
      <c r="J96" t="str">
        <f>IF(OR(テーブル1[[#This Row],[最終合格校]]&lt;&gt;"",テーブル1[[#This Row],[進路区分]]="進学未定",テーブル1[[#This Row],[出願経験]]="有"),"○","")&amp;F96</f>
        <v>○トヨタ神戸自動車大学校</v>
      </c>
      <c r="K96" t="str">
        <f t="shared" si="3"/>
        <v>専門学校</v>
      </c>
      <c r="L96" t="str">
        <f t="shared" si="4"/>
        <v/>
      </c>
      <c r="M96" t="str">
        <f t="shared" si="5"/>
        <v>トヨタ神戸自動車大学校</v>
      </c>
      <c r="N96" t="str">
        <f>テーブル1[[#This Row],[大学・大学院]]&amp;テーブル1[[#This Row],[専門学校]]</f>
        <v>トヨタ神戸自動車大学校</v>
      </c>
    </row>
    <row r="97" spans="1:14" x14ac:dyDescent="0.4">
      <c r="A97" s="4">
        <v>2307076</v>
      </c>
      <c r="B97" s="5" t="s">
        <v>78</v>
      </c>
      <c r="C97" t="s">
        <v>427</v>
      </c>
      <c r="D97" t="s">
        <v>486</v>
      </c>
      <c r="E97" t="s">
        <v>371</v>
      </c>
      <c r="F97" t="s">
        <v>420</v>
      </c>
      <c r="G97" t="s">
        <v>307</v>
      </c>
      <c r="J97" t="str">
        <f>IF(OR(テーブル1[[#This Row],[最終合格校]]&lt;&gt;"",テーブル1[[#This Row],[進路区分]]="進学未定",テーブル1[[#This Row],[出願経験]]="有"),"○","")&amp;F97</f>
        <v>○南山大学大学院研修生</v>
      </c>
      <c r="K97" t="str">
        <f t="shared" si="3"/>
        <v>大学院</v>
      </c>
      <c r="L97" t="str">
        <f t="shared" si="4"/>
        <v>南山大学大学院研修生</v>
      </c>
      <c r="M97" t="str">
        <f t="shared" si="5"/>
        <v/>
      </c>
      <c r="N97" t="str">
        <f>テーブル1[[#This Row],[大学・大学院]]&amp;テーブル1[[#This Row],[専門学校]]</f>
        <v>南山大学大学院研修生</v>
      </c>
    </row>
    <row r="98" spans="1:14" x14ac:dyDescent="0.4">
      <c r="A98" s="4">
        <v>2304019</v>
      </c>
      <c r="B98" s="5" t="s">
        <v>79</v>
      </c>
      <c r="C98" t="s">
        <v>167</v>
      </c>
      <c r="D98" t="s">
        <v>486</v>
      </c>
      <c r="E98" t="s">
        <v>14</v>
      </c>
      <c r="F98" t="s">
        <v>456</v>
      </c>
      <c r="G98" t="s">
        <v>307</v>
      </c>
      <c r="J98" t="str">
        <f>IF(OR(テーブル1[[#This Row],[最終合格校]]&lt;&gt;"",テーブル1[[#This Row],[進路区分]]="進学未定",テーブル1[[#This Row],[出願経験]]="有"),"○","")&amp;F98</f>
        <v>○流通科学大学</v>
      </c>
      <c r="K98" t="str">
        <f t="shared" si="3"/>
        <v>大学</v>
      </c>
      <c r="L98" t="str">
        <f t="shared" si="4"/>
        <v>流通科学大学</v>
      </c>
      <c r="M98" t="str">
        <f t="shared" si="5"/>
        <v/>
      </c>
      <c r="N98" t="str">
        <f>テーブル1[[#This Row],[大学・大学院]]&amp;テーブル1[[#This Row],[専門学校]]</f>
        <v>流通科学大学</v>
      </c>
    </row>
    <row r="99" spans="1:14" x14ac:dyDescent="0.4">
      <c r="A99" s="4">
        <v>2304026</v>
      </c>
      <c r="B99" s="5" t="s">
        <v>79</v>
      </c>
      <c r="C99" t="s">
        <v>168</v>
      </c>
      <c r="D99" t="s">
        <v>486</v>
      </c>
      <c r="E99" t="s">
        <v>15</v>
      </c>
      <c r="F99" t="s">
        <v>323</v>
      </c>
      <c r="G99" t="s">
        <v>307</v>
      </c>
      <c r="J99" t="str">
        <f>IF(OR(テーブル1[[#This Row],[最終合格校]]&lt;&gt;"",テーブル1[[#This Row],[進路区分]]="進学未定",テーブル1[[#This Row],[出願経験]]="有"),"○","")&amp;F99</f>
        <v>○関西国際旅行・ホテル専門学校</v>
      </c>
      <c r="K99" t="str">
        <f t="shared" si="3"/>
        <v>専門学校</v>
      </c>
      <c r="L99" t="str">
        <f t="shared" si="4"/>
        <v/>
      </c>
      <c r="M99" t="str">
        <f t="shared" si="5"/>
        <v>関西国際旅行・ホテル専門学校</v>
      </c>
      <c r="N99" t="str">
        <f>テーブル1[[#This Row],[大学・大学院]]&amp;テーブル1[[#This Row],[専門学校]]</f>
        <v>関西国際旅行・ホテル専門学校</v>
      </c>
    </row>
    <row r="100" spans="1:14" x14ac:dyDescent="0.4">
      <c r="A100" s="4">
        <v>2304027</v>
      </c>
      <c r="B100" s="5" t="s">
        <v>79</v>
      </c>
      <c r="C100" t="s">
        <v>169</v>
      </c>
      <c r="D100" t="s">
        <v>486</v>
      </c>
      <c r="E100" t="s">
        <v>15</v>
      </c>
      <c r="F100" t="s">
        <v>323</v>
      </c>
      <c r="G100" t="s">
        <v>307</v>
      </c>
      <c r="J100" t="str">
        <f>IF(OR(テーブル1[[#This Row],[最終合格校]]&lt;&gt;"",テーブル1[[#This Row],[進路区分]]="進学未定",テーブル1[[#This Row],[出願経験]]="有"),"○","")&amp;F100</f>
        <v>○関西国際旅行・ホテル専門学校</v>
      </c>
      <c r="K100" t="str">
        <f t="shared" si="3"/>
        <v>専門学校</v>
      </c>
      <c r="L100" t="str">
        <f t="shared" si="4"/>
        <v/>
      </c>
      <c r="M100" t="str">
        <f t="shared" si="5"/>
        <v>関西国際旅行・ホテル専門学校</v>
      </c>
      <c r="N100" t="str">
        <f>テーブル1[[#This Row],[大学・大学院]]&amp;テーブル1[[#This Row],[専門学校]]</f>
        <v>関西国際旅行・ホテル専門学校</v>
      </c>
    </row>
    <row r="101" spans="1:14" x14ac:dyDescent="0.4">
      <c r="A101" s="4">
        <v>2304029</v>
      </c>
      <c r="B101" s="5" t="s">
        <v>79</v>
      </c>
      <c r="C101" t="s">
        <v>170</v>
      </c>
      <c r="D101" t="s">
        <v>486</v>
      </c>
      <c r="E101" t="s">
        <v>15</v>
      </c>
      <c r="F101" t="s">
        <v>323</v>
      </c>
      <c r="G101" t="s">
        <v>307</v>
      </c>
      <c r="J101" t="str">
        <f>IF(OR(テーブル1[[#This Row],[最終合格校]]&lt;&gt;"",テーブル1[[#This Row],[進路区分]]="進学未定",テーブル1[[#This Row],[出願経験]]="有"),"○","")&amp;F101</f>
        <v>○関西国際旅行・ホテル専門学校</v>
      </c>
      <c r="K101" t="str">
        <f t="shared" si="3"/>
        <v>専門学校</v>
      </c>
      <c r="L101" t="str">
        <f t="shared" si="4"/>
        <v/>
      </c>
      <c r="M101" t="str">
        <f t="shared" si="5"/>
        <v>関西国際旅行・ホテル専門学校</v>
      </c>
      <c r="N101" t="str">
        <f>テーブル1[[#This Row],[大学・大学院]]&amp;テーブル1[[#This Row],[専門学校]]</f>
        <v>関西国際旅行・ホテル専門学校</v>
      </c>
    </row>
    <row r="102" spans="1:14" x14ac:dyDescent="0.4">
      <c r="A102" s="4">
        <v>2304030</v>
      </c>
      <c r="B102" s="5" t="s">
        <v>79</v>
      </c>
      <c r="C102" t="s">
        <v>171</v>
      </c>
      <c r="D102" t="s">
        <v>486</v>
      </c>
      <c r="E102" t="s">
        <v>15</v>
      </c>
      <c r="F102" t="s">
        <v>463</v>
      </c>
      <c r="G102" t="s">
        <v>307</v>
      </c>
      <c r="J102" t="str">
        <f>IF(OR(テーブル1[[#This Row],[最終合格校]]&lt;&gt;"",テーブル1[[#This Row],[進路区分]]="進学未定",テーブル1[[#This Row],[出願経験]]="有"),"○","")&amp;F102</f>
        <v>○専門学校日本マンガ芸術学院</v>
      </c>
      <c r="K102" t="str">
        <f t="shared" si="3"/>
        <v>専門学校</v>
      </c>
      <c r="L102" t="str">
        <f t="shared" si="4"/>
        <v/>
      </c>
      <c r="M102" t="str">
        <f t="shared" si="5"/>
        <v>専門学校日本マンガ芸術学院</v>
      </c>
      <c r="N102" t="str">
        <f>テーブル1[[#This Row],[大学・大学院]]&amp;テーブル1[[#This Row],[専門学校]]</f>
        <v>専門学校日本マンガ芸術学院</v>
      </c>
    </row>
    <row r="103" spans="1:14" x14ac:dyDescent="0.4">
      <c r="A103" s="4">
        <v>2304046</v>
      </c>
      <c r="B103" s="5" t="s">
        <v>79</v>
      </c>
      <c r="C103" t="s">
        <v>172</v>
      </c>
      <c r="D103" t="s">
        <v>486</v>
      </c>
      <c r="E103" t="s">
        <v>15</v>
      </c>
      <c r="F103" t="s">
        <v>325</v>
      </c>
      <c r="G103" t="s">
        <v>307</v>
      </c>
      <c r="J103" t="str">
        <f>IF(OR(テーブル1[[#This Row],[最終合格校]]&lt;&gt;"",テーブル1[[#This Row],[進路区分]]="進学未定",テーブル1[[#This Row],[出願経験]]="有"),"○","")&amp;F103</f>
        <v>○専門学校アートカレッジ神戸</v>
      </c>
      <c r="K103" t="str">
        <f t="shared" si="3"/>
        <v>専門学校</v>
      </c>
      <c r="L103" t="str">
        <f t="shared" si="4"/>
        <v/>
      </c>
      <c r="M103" t="str">
        <f t="shared" si="5"/>
        <v>専門学校アートカレッジ神戸</v>
      </c>
      <c r="N103" t="str">
        <f>テーブル1[[#This Row],[大学・大学院]]&amp;テーブル1[[#This Row],[専門学校]]</f>
        <v>専門学校アートカレッジ神戸</v>
      </c>
    </row>
    <row r="104" spans="1:14" x14ac:dyDescent="0.4">
      <c r="A104" s="4">
        <v>2304053</v>
      </c>
      <c r="B104" s="5" t="s">
        <v>79</v>
      </c>
      <c r="C104" t="s">
        <v>173</v>
      </c>
      <c r="D104" t="s">
        <v>486</v>
      </c>
      <c r="E104" t="s">
        <v>15</v>
      </c>
      <c r="F104" t="s">
        <v>310</v>
      </c>
      <c r="G104" t="s">
        <v>307</v>
      </c>
      <c r="J104" t="str">
        <f>IF(OR(テーブル1[[#This Row],[最終合格校]]&lt;&gt;"",テーブル1[[#This Row],[進路区分]]="進学未定",テーブル1[[#This Row],[出願経験]]="有"),"○","")&amp;F104</f>
        <v>○東亜経理専門学校</v>
      </c>
      <c r="K104" t="str">
        <f t="shared" si="3"/>
        <v>専門学校</v>
      </c>
      <c r="L104" t="str">
        <f t="shared" si="4"/>
        <v/>
      </c>
      <c r="M104" t="str">
        <f t="shared" si="5"/>
        <v>東亜経理専門学校</v>
      </c>
      <c r="N104" t="str">
        <f>テーブル1[[#This Row],[大学・大学院]]&amp;テーブル1[[#This Row],[専門学校]]</f>
        <v>東亜経理専門学校</v>
      </c>
    </row>
    <row r="105" spans="1:14" x14ac:dyDescent="0.4">
      <c r="A105" s="4">
        <v>2304055</v>
      </c>
      <c r="B105" s="5" t="s">
        <v>79</v>
      </c>
      <c r="C105" t="s">
        <v>174</v>
      </c>
      <c r="D105" t="s">
        <v>486</v>
      </c>
      <c r="E105" t="s">
        <v>15</v>
      </c>
      <c r="F105" t="s">
        <v>325</v>
      </c>
      <c r="G105" t="s">
        <v>307</v>
      </c>
      <c r="J105" t="str">
        <f>IF(OR(テーブル1[[#This Row],[最終合格校]]&lt;&gt;"",テーブル1[[#This Row],[進路区分]]="進学未定",テーブル1[[#This Row],[出願経験]]="有"),"○","")&amp;F105</f>
        <v>○専門学校アートカレッジ神戸</v>
      </c>
      <c r="K105" t="str">
        <f t="shared" si="3"/>
        <v>専門学校</v>
      </c>
      <c r="L105" t="str">
        <f t="shared" si="4"/>
        <v/>
      </c>
      <c r="M105" t="str">
        <f t="shared" si="5"/>
        <v>専門学校アートカレッジ神戸</v>
      </c>
      <c r="N105" t="str">
        <f>テーブル1[[#This Row],[大学・大学院]]&amp;テーブル1[[#This Row],[専門学校]]</f>
        <v>専門学校アートカレッジ神戸</v>
      </c>
    </row>
    <row r="106" spans="1:14" x14ac:dyDescent="0.4">
      <c r="A106" s="4">
        <v>2304098</v>
      </c>
      <c r="B106" s="5" t="s">
        <v>79</v>
      </c>
      <c r="C106" t="s">
        <v>175</v>
      </c>
      <c r="D106" t="s">
        <v>486</v>
      </c>
      <c r="E106" t="s">
        <v>15</v>
      </c>
      <c r="F106" t="s">
        <v>320</v>
      </c>
      <c r="G106" t="s">
        <v>307</v>
      </c>
      <c r="J106" t="str">
        <f>IF(OR(テーブル1[[#This Row],[最終合格校]]&lt;&gt;"",テーブル1[[#This Row],[進路区分]]="進学未定",テーブル1[[#This Row],[出願経験]]="有"),"○","")&amp;F106</f>
        <v>○東京国際ビジネスカレッジ神戸校</v>
      </c>
      <c r="K106" t="str">
        <f t="shared" si="3"/>
        <v>専門学校</v>
      </c>
      <c r="L106" t="str">
        <f t="shared" si="4"/>
        <v/>
      </c>
      <c r="M106" t="str">
        <f t="shared" si="5"/>
        <v>東京国際ビジネスカレッジ神戸校</v>
      </c>
      <c r="N106" t="str">
        <f>テーブル1[[#This Row],[大学・大学院]]&amp;テーブル1[[#This Row],[専門学校]]</f>
        <v>東京国際ビジネスカレッジ神戸校</v>
      </c>
    </row>
    <row r="107" spans="1:14" x14ac:dyDescent="0.4">
      <c r="A107" s="4">
        <v>2304099</v>
      </c>
      <c r="B107" s="5" t="s">
        <v>79</v>
      </c>
      <c r="C107" t="s">
        <v>176</v>
      </c>
      <c r="D107" t="s">
        <v>486</v>
      </c>
      <c r="E107" t="s">
        <v>15</v>
      </c>
      <c r="F107" t="s">
        <v>330</v>
      </c>
      <c r="G107" t="s">
        <v>307</v>
      </c>
      <c r="J107" t="str">
        <f>IF(OR(テーブル1[[#This Row],[最終合格校]]&lt;&gt;"",テーブル1[[#This Row],[進路区分]]="進学未定",テーブル1[[#This Row],[出願経験]]="有"),"○","")&amp;F107</f>
        <v>○ICT専門学校</v>
      </c>
      <c r="K107" t="str">
        <f t="shared" si="3"/>
        <v>専門学校</v>
      </c>
      <c r="L107" t="str">
        <f t="shared" si="4"/>
        <v/>
      </c>
      <c r="M107" t="str">
        <f t="shared" si="5"/>
        <v>ICT専門学校</v>
      </c>
      <c r="N107" t="str">
        <f>テーブル1[[#This Row],[大学・大学院]]&amp;テーブル1[[#This Row],[専門学校]]</f>
        <v>ICT専門学校</v>
      </c>
    </row>
    <row r="108" spans="1:14" x14ac:dyDescent="0.4">
      <c r="A108" s="4">
        <v>2304101</v>
      </c>
      <c r="B108" s="5" t="s">
        <v>79</v>
      </c>
      <c r="C108" t="s">
        <v>177</v>
      </c>
      <c r="D108" t="s">
        <v>486</v>
      </c>
      <c r="E108" t="s">
        <v>15</v>
      </c>
      <c r="F108" t="s">
        <v>326</v>
      </c>
      <c r="G108" t="s">
        <v>307</v>
      </c>
      <c r="J108" t="str">
        <f>IF(OR(テーブル1[[#This Row],[最終合格校]]&lt;&gt;"",テーブル1[[#This Row],[進路区分]]="進学未定",テーブル1[[#This Row],[出願経験]]="有"),"○","")&amp;F108</f>
        <v>○浦和専門学校</v>
      </c>
      <c r="K108" t="str">
        <f t="shared" si="3"/>
        <v>専門学校</v>
      </c>
      <c r="L108" t="str">
        <f t="shared" si="4"/>
        <v/>
      </c>
      <c r="M108" t="str">
        <f t="shared" si="5"/>
        <v>浦和専門学校</v>
      </c>
      <c r="N108" t="str">
        <f>テーブル1[[#This Row],[大学・大学院]]&amp;テーブル1[[#This Row],[専門学校]]</f>
        <v>浦和専門学校</v>
      </c>
    </row>
    <row r="109" spans="1:14" x14ac:dyDescent="0.4">
      <c r="A109" s="4">
        <v>2304112</v>
      </c>
      <c r="B109" s="5" t="s">
        <v>79</v>
      </c>
      <c r="C109" t="s">
        <v>178</v>
      </c>
      <c r="D109" t="s">
        <v>486</v>
      </c>
      <c r="E109" t="s">
        <v>15</v>
      </c>
      <c r="F109" t="s">
        <v>324</v>
      </c>
      <c r="G109" t="s">
        <v>307</v>
      </c>
      <c r="J109" t="str">
        <f>IF(OR(テーブル1[[#This Row],[最終合格校]]&lt;&gt;"",テーブル1[[#This Row],[進路区分]]="進学未定",テーブル1[[#This Row],[出願経験]]="有"),"○","")&amp;F109</f>
        <v>○中央美術学園</v>
      </c>
      <c r="K109" t="str">
        <f t="shared" si="3"/>
        <v>専門学校</v>
      </c>
      <c r="L109" t="str">
        <f t="shared" si="4"/>
        <v/>
      </c>
      <c r="M109" t="str">
        <f t="shared" si="5"/>
        <v>中央美術学園</v>
      </c>
      <c r="N109" t="str">
        <f>テーブル1[[#This Row],[大学・大学院]]&amp;テーブル1[[#This Row],[専門学校]]</f>
        <v>中央美術学園</v>
      </c>
    </row>
    <row r="110" spans="1:14" x14ac:dyDescent="0.4">
      <c r="A110" s="4">
        <v>2304116</v>
      </c>
      <c r="B110" s="5" t="s">
        <v>79</v>
      </c>
      <c r="C110" t="s">
        <v>179</v>
      </c>
      <c r="D110" t="s">
        <v>486</v>
      </c>
      <c r="E110" t="s">
        <v>15</v>
      </c>
      <c r="F110" t="s">
        <v>320</v>
      </c>
      <c r="G110" t="s">
        <v>307</v>
      </c>
      <c r="J110" t="str">
        <f>IF(OR(テーブル1[[#This Row],[最終合格校]]&lt;&gt;"",テーブル1[[#This Row],[進路区分]]="進学未定",テーブル1[[#This Row],[出願経験]]="有"),"○","")&amp;F110</f>
        <v>○東京国際ビジネスカレッジ神戸校</v>
      </c>
      <c r="K110" t="str">
        <f t="shared" si="3"/>
        <v>専門学校</v>
      </c>
      <c r="L110" t="str">
        <f t="shared" si="4"/>
        <v/>
      </c>
      <c r="M110" t="str">
        <f t="shared" si="5"/>
        <v>東京国際ビジネスカレッジ神戸校</v>
      </c>
      <c r="N110" t="str">
        <f>テーブル1[[#This Row],[大学・大学院]]&amp;テーブル1[[#This Row],[専門学校]]</f>
        <v>東京国際ビジネスカレッジ神戸校</v>
      </c>
    </row>
    <row r="111" spans="1:14" x14ac:dyDescent="0.4">
      <c r="A111" s="4">
        <v>2304119</v>
      </c>
      <c r="B111" s="5" t="s">
        <v>79</v>
      </c>
      <c r="C111" t="s">
        <v>180</v>
      </c>
      <c r="D111" t="s">
        <v>486</v>
      </c>
      <c r="E111" t="s">
        <v>15</v>
      </c>
      <c r="F111" t="s">
        <v>327</v>
      </c>
      <c r="G111" t="s">
        <v>307</v>
      </c>
      <c r="J111" t="str">
        <f>IF(OR(テーブル1[[#This Row],[最終合格校]]&lt;&gt;"",テーブル1[[#This Row],[進路区分]]="進学未定",テーブル1[[#This Row],[出願経験]]="有"),"○","")&amp;F111</f>
        <v>○読売自動車大学校</v>
      </c>
      <c r="K111" t="str">
        <f t="shared" si="3"/>
        <v>専門学校</v>
      </c>
      <c r="L111" t="str">
        <f t="shared" si="4"/>
        <v/>
      </c>
      <c r="M111" t="str">
        <f t="shared" si="5"/>
        <v>読売自動車大学校</v>
      </c>
      <c r="N111" t="str">
        <f>テーブル1[[#This Row],[大学・大学院]]&amp;テーブル1[[#This Row],[専門学校]]</f>
        <v>読売自動車大学校</v>
      </c>
    </row>
    <row r="112" spans="1:14" x14ac:dyDescent="0.4">
      <c r="A112" s="4">
        <v>2304122</v>
      </c>
      <c r="B112" s="5" t="s">
        <v>79</v>
      </c>
      <c r="C112" t="s">
        <v>181</v>
      </c>
      <c r="D112" t="s">
        <v>486</v>
      </c>
      <c r="E112" t="s">
        <v>15</v>
      </c>
      <c r="F112" t="s">
        <v>327</v>
      </c>
      <c r="G112" t="s">
        <v>307</v>
      </c>
      <c r="J112" t="str">
        <f>IF(OR(テーブル1[[#This Row],[最終合格校]]&lt;&gt;"",テーブル1[[#This Row],[進路区分]]="進学未定",テーブル1[[#This Row],[出願経験]]="有"),"○","")&amp;F112</f>
        <v>○読売自動車大学校</v>
      </c>
      <c r="K112" t="str">
        <f t="shared" si="3"/>
        <v>専門学校</v>
      </c>
      <c r="L112" t="str">
        <f t="shared" si="4"/>
        <v/>
      </c>
      <c r="M112" t="str">
        <f t="shared" si="5"/>
        <v>読売自動車大学校</v>
      </c>
      <c r="N112" t="str">
        <f>テーブル1[[#This Row],[大学・大学院]]&amp;テーブル1[[#This Row],[専門学校]]</f>
        <v>読売自動車大学校</v>
      </c>
    </row>
    <row r="113" spans="1:14" x14ac:dyDescent="0.4">
      <c r="A113" s="4">
        <v>2304130</v>
      </c>
      <c r="B113" s="5" t="s">
        <v>79</v>
      </c>
      <c r="C113" t="s">
        <v>343</v>
      </c>
      <c r="D113" t="s">
        <v>486</v>
      </c>
      <c r="E113" t="s">
        <v>15</v>
      </c>
      <c r="F113" t="s">
        <v>328</v>
      </c>
      <c r="G113" t="s">
        <v>307</v>
      </c>
      <c r="J113" t="str">
        <f>IF(OR(テーブル1[[#This Row],[最終合格校]]&lt;&gt;"",テーブル1[[#This Row],[進路区分]]="進学未定",テーブル1[[#This Row],[出願経験]]="有"),"○","")&amp;F113</f>
        <v>○トヨタ神戸自動車大学校</v>
      </c>
      <c r="K113" t="str">
        <f t="shared" si="3"/>
        <v>専門学校</v>
      </c>
      <c r="L113" t="str">
        <f t="shared" si="4"/>
        <v/>
      </c>
      <c r="M113" t="str">
        <f t="shared" si="5"/>
        <v>トヨタ神戸自動車大学校</v>
      </c>
      <c r="N113" t="str">
        <f>テーブル1[[#This Row],[大学・大学院]]&amp;テーブル1[[#This Row],[専門学校]]</f>
        <v>トヨタ神戸自動車大学校</v>
      </c>
    </row>
    <row r="114" spans="1:14" x14ac:dyDescent="0.4">
      <c r="A114" s="4">
        <v>2304131</v>
      </c>
      <c r="B114" s="5" t="s">
        <v>79</v>
      </c>
      <c r="C114" t="s">
        <v>182</v>
      </c>
      <c r="D114" t="s">
        <v>486</v>
      </c>
      <c r="E114" t="s">
        <v>14</v>
      </c>
      <c r="F114" t="s">
        <v>396</v>
      </c>
      <c r="G114" t="s">
        <v>307</v>
      </c>
      <c r="J114" t="str">
        <f>IF(OR(テーブル1[[#This Row],[最終合格校]]&lt;&gt;"",テーブル1[[#This Row],[進路区分]]="進学未定",テーブル1[[#This Row],[出願経験]]="有"),"○","")&amp;F114</f>
        <v>○日本経済大学</v>
      </c>
      <c r="K114" t="str">
        <f t="shared" si="3"/>
        <v>大学</v>
      </c>
      <c r="L114" t="str">
        <f t="shared" si="4"/>
        <v>日本経済大学</v>
      </c>
      <c r="M114" t="str">
        <f t="shared" si="5"/>
        <v/>
      </c>
      <c r="N114" t="str">
        <f>テーブル1[[#This Row],[大学・大学院]]&amp;テーブル1[[#This Row],[専門学校]]</f>
        <v>日本経済大学</v>
      </c>
    </row>
    <row r="115" spans="1:14" x14ac:dyDescent="0.4">
      <c r="A115" s="4">
        <v>2304135</v>
      </c>
      <c r="B115" s="5" t="s">
        <v>79</v>
      </c>
      <c r="C115" t="s">
        <v>357</v>
      </c>
      <c r="D115" t="s">
        <v>486</v>
      </c>
      <c r="E115" t="s">
        <v>15</v>
      </c>
      <c r="F115" t="s">
        <v>329</v>
      </c>
      <c r="G115" t="s">
        <v>307</v>
      </c>
      <c r="J115" t="str">
        <f>IF(OR(テーブル1[[#This Row],[最終合格校]]&lt;&gt;"",テーブル1[[#This Row],[進路区分]]="進学未定",テーブル1[[#This Row],[出願経験]]="有"),"○","")&amp;F115</f>
        <v>○日本国際工科専門学校</v>
      </c>
      <c r="K115" t="str">
        <f t="shared" si="3"/>
        <v>専門学校</v>
      </c>
      <c r="L115" t="str">
        <f t="shared" si="4"/>
        <v/>
      </c>
      <c r="M115" t="str">
        <f t="shared" si="5"/>
        <v>日本国際工科専門学校</v>
      </c>
      <c r="N115" t="str">
        <f>テーブル1[[#This Row],[大学・大学院]]&amp;テーブル1[[#This Row],[専門学校]]</f>
        <v>日本国際工科専門学校</v>
      </c>
    </row>
    <row r="116" spans="1:14" x14ac:dyDescent="0.4">
      <c r="A116" s="4">
        <v>2304138</v>
      </c>
      <c r="B116" s="5" t="s">
        <v>79</v>
      </c>
      <c r="C116" t="s">
        <v>183</v>
      </c>
      <c r="D116" t="s">
        <v>486</v>
      </c>
      <c r="E116" t="s">
        <v>14</v>
      </c>
      <c r="F116" t="s">
        <v>464</v>
      </c>
      <c r="G116" t="s">
        <v>307</v>
      </c>
      <c r="J116" t="str">
        <f>IF(OR(テーブル1[[#This Row],[最終合格校]]&lt;&gt;"",テーブル1[[#This Row],[進路区分]]="進学未定",テーブル1[[#This Row],[出願経験]]="有"),"○","")&amp;F116</f>
        <v>○芦屋大学</v>
      </c>
      <c r="K116" t="str">
        <f t="shared" si="3"/>
        <v>大学</v>
      </c>
      <c r="L116" t="str">
        <f t="shared" si="4"/>
        <v>芦屋大学</v>
      </c>
      <c r="M116" t="str">
        <f t="shared" si="5"/>
        <v/>
      </c>
      <c r="N116" t="str">
        <f>テーブル1[[#This Row],[大学・大学院]]&amp;テーブル1[[#This Row],[専門学校]]</f>
        <v>芦屋大学</v>
      </c>
    </row>
    <row r="117" spans="1:14" x14ac:dyDescent="0.4">
      <c r="A117" s="4">
        <v>2304038</v>
      </c>
      <c r="B117" s="5" t="s">
        <v>80</v>
      </c>
      <c r="C117" t="s">
        <v>184</v>
      </c>
      <c r="D117" t="s">
        <v>486</v>
      </c>
      <c r="E117" t="s">
        <v>15</v>
      </c>
      <c r="F117" t="s">
        <v>324</v>
      </c>
      <c r="G117" t="s">
        <v>307</v>
      </c>
      <c r="J117" t="str">
        <f>IF(OR(テーブル1[[#This Row],[最終合格校]]&lt;&gt;"",テーブル1[[#This Row],[進路区分]]="進学未定",テーブル1[[#This Row],[出願経験]]="有"),"○","")&amp;F117</f>
        <v>○中央美術学園</v>
      </c>
      <c r="K117" t="str">
        <f t="shared" si="3"/>
        <v>専門学校</v>
      </c>
      <c r="L117" t="str">
        <f t="shared" si="4"/>
        <v/>
      </c>
      <c r="M117" t="str">
        <f t="shared" si="5"/>
        <v>中央美術学園</v>
      </c>
      <c r="N117" t="str">
        <f>テーブル1[[#This Row],[大学・大学院]]&amp;テーブル1[[#This Row],[専門学校]]</f>
        <v>中央美術学園</v>
      </c>
    </row>
    <row r="118" spans="1:14" x14ac:dyDescent="0.4">
      <c r="A118" s="4">
        <v>2304057</v>
      </c>
      <c r="B118" s="5" t="s">
        <v>80</v>
      </c>
      <c r="C118" t="s">
        <v>185</v>
      </c>
      <c r="D118" t="s">
        <v>486</v>
      </c>
      <c r="E118" t="s">
        <v>15</v>
      </c>
      <c r="F118" t="s">
        <v>330</v>
      </c>
      <c r="G118" t="s">
        <v>307</v>
      </c>
      <c r="J118" t="str">
        <f>IF(OR(テーブル1[[#This Row],[最終合格校]]&lt;&gt;"",テーブル1[[#This Row],[進路区分]]="進学未定",テーブル1[[#This Row],[出願経験]]="有"),"○","")&amp;F118</f>
        <v>○ICT専門学校</v>
      </c>
      <c r="K118" t="str">
        <f t="shared" si="3"/>
        <v>専門学校</v>
      </c>
      <c r="L118" t="str">
        <f t="shared" si="4"/>
        <v/>
      </c>
      <c r="M118" t="str">
        <f t="shared" si="5"/>
        <v>ICT専門学校</v>
      </c>
      <c r="N118" t="str">
        <f>テーブル1[[#This Row],[大学・大学院]]&amp;テーブル1[[#This Row],[専門学校]]</f>
        <v>ICT専門学校</v>
      </c>
    </row>
    <row r="119" spans="1:14" x14ac:dyDescent="0.4">
      <c r="A119" s="4">
        <v>2304058</v>
      </c>
      <c r="B119" s="5" t="s">
        <v>80</v>
      </c>
      <c r="C119" t="s">
        <v>186</v>
      </c>
      <c r="D119" t="s">
        <v>486</v>
      </c>
      <c r="E119" t="s">
        <v>15</v>
      </c>
      <c r="F119" t="s">
        <v>325</v>
      </c>
      <c r="G119" t="s">
        <v>307</v>
      </c>
      <c r="J119" t="str">
        <f>IF(OR(テーブル1[[#This Row],[最終合格校]]&lt;&gt;"",テーブル1[[#This Row],[進路区分]]="進学未定",テーブル1[[#This Row],[出願経験]]="有"),"○","")&amp;F119</f>
        <v>○専門学校アートカレッジ神戸</v>
      </c>
      <c r="K119" t="str">
        <f t="shared" si="3"/>
        <v>専門学校</v>
      </c>
      <c r="L119" t="str">
        <f t="shared" si="4"/>
        <v/>
      </c>
      <c r="M119" t="str">
        <f t="shared" si="5"/>
        <v>専門学校アートカレッジ神戸</v>
      </c>
      <c r="N119" t="str">
        <f>テーブル1[[#This Row],[大学・大学院]]&amp;テーブル1[[#This Row],[専門学校]]</f>
        <v>専門学校アートカレッジ神戸</v>
      </c>
    </row>
    <row r="120" spans="1:14" x14ac:dyDescent="0.4">
      <c r="A120" s="4">
        <v>2304060</v>
      </c>
      <c r="B120" s="5" t="s">
        <v>80</v>
      </c>
      <c r="C120" t="s">
        <v>187</v>
      </c>
      <c r="D120" t="s">
        <v>486</v>
      </c>
      <c r="E120" t="s">
        <v>15</v>
      </c>
      <c r="F120" t="s">
        <v>318</v>
      </c>
      <c r="G120" t="s">
        <v>307</v>
      </c>
      <c r="J120" t="str">
        <f>IF(OR(テーブル1[[#This Row],[最終合格校]]&lt;&gt;"",テーブル1[[#This Row],[進路区分]]="進学未定",テーブル1[[#This Row],[出願経験]]="有"),"○","")&amp;F120</f>
        <v>○愛甲学院専門学校</v>
      </c>
      <c r="K120" t="str">
        <f t="shared" si="3"/>
        <v>専門学校</v>
      </c>
      <c r="L120" t="str">
        <f t="shared" si="4"/>
        <v/>
      </c>
      <c r="M120" t="str">
        <f t="shared" si="5"/>
        <v>愛甲学院専門学校</v>
      </c>
      <c r="N120" t="str">
        <f>テーブル1[[#This Row],[大学・大学院]]&amp;テーブル1[[#This Row],[専門学校]]</f>
        <v>愛甲学院専門学校</v>
      </c>
    </row>
    <row r="121" spans="1:14" x14ac:dyDescent="0.4">
      <c r="A121" s="4">
        <v>2304061</v>
      </c>
      <c r="B121" s="5" t="s">
        <v>80</v>
      </c>
      <c r="C121" t="s">
        <v>188</v>
      </c>
      <c r="D121" t="s">
        <v>486</v>
      </c>
      <c r="E121" t="s">
        <v>15</v>
      </c>
      <c r="F121" t="s">
        <v>318</v>
      </c>
      <c r="G121" t="s">
        <v>307</v>
      </c>
      <c r="J121" t="str">
        <f>IF(OR(テーブル1[[#This Row],[最終合格校]]&lt;&gt;"",テーブル1[[#This Row],[進路区分]]="進学未定",テーブル1[[#This Row],[出願経験]]="有"),"○","")&amp;F121</f>
        <v>○愛甲学院専門学校</v>
      </c>
      <c r="K121" t="str">
        <f t="shared" si="3"/>
        <v>専門学校</v>
      </c>
      <c r="L121" t="str">
        <f t="shared" si="4"/>
        <v/>
      </c>
      <c r="M121" t="str">
        <f t="shared" si="5"/>
        <v>愛甲学院専門学校</v>
      </c>
      <c r="N121" t="str">
        <f>テーブル1[[#This Row],[大学・大学院]]&amp;テーブル1[[#This Row],[専門学校]]</f>
        <v>愛甲学院専門学校</v>
      </c>
    </row>
    <row r="122" spans="1:14" x14ac:dyDescent="0.4">
      <c r="A122" s="4">
        <v>2304097</v>
      </c>
      <c r="B122" s="5" t="s">
        <v>80</v>
      </c>
      <c r="C122" t="s">
        <v>189</v>
      </c>
      <c r="D122" t="s">
        <v>486</v>
      </c>
      <c r="E122" t="s">
        <v>15</v>
      </c>
      <c r="F122" t="s">
        <v>316</v>
      </c>
      <c r="G122" t="s">
        <v>307</v>
      </c>
      <c r="J122" t="str">
        <f>IF(OR(テーブル1[[#This Row],[最終合格校]]&lt;&gt;"",テーブル1[[#This Row],[進路区分]]="進学未定",テーブル1[[#This Row],[出願経験]]="有"),"○","")&amp;F122</f>
        <v>○日本理工情報専門学校</v>
      </c>
      <c r="K122" t="str">
        <f t="shared" si="3"/>
        <v>専門学校</v>
      </c>
      <c r="L122" t="str">
        <f t="shared" si="4"/>
        <v/>
      </c>
      <c r="M122" t="str">
        <f t="shared" si="5"/>
        <v>日本理工情報専門学校</v>
      </c>
      <c r="N122" t="str">
        <f>テーブル1[[#This Row],[大学・大学院]]&amp;テーブル1[[#This Row],[専門学校]]</f>
        <v>日本理工情報専門学校</v>
      </c>
    </row>
    <row r="123" spans="1:14" x14ac:dyDescent="0.4">
      <c r="A123" s="4">
        <v>2304107</v>
      </c>
      <c r="B123" s="5" t="s">
        <v>80</v>
      </c>
      <c r="C123" t="s">
        <v>190</v>
      </c>
      <c r="D123" t="s">
        <v>486</v>
      </c>
      <c r="E123" t="s">
        <v>15</v>
      </c>
      <c r="F123" t="s">
        <v>326</v>
      </c>
      <c r="G123" t="s">
        <v>307</v>
      </c>
      <c r="J123" t="str">
        <f>IF(OR(テーブル1[[#This Row],[最終合格校]]&lt;&gt;"",テーブル1[[#This Row],[進路区分]]="進学未定",テーブル1[[#This Row],[出願経験]]="有"),"○","")&amp;F123</f>
        <v>○浦和専門学校</v>
      </c>
      <c r="K123" t="str">
        <f t="shared" si="3"/>
        <v>専門学校</v>
      </c>
      <c r="L123" t="str">
        <f t="shared" si="4"/>
        <v/>
      </c>
      <c r="M123" t="str">
        <f t="shared" si="5"/>
        <v>浦和専門学校</v>
      </c>
      <c r="N123" t="str">
        <f>テーブル1[[#This Row],[大学・大学院]]&amp;テーブル1[[#This Row],[専門学校]]</f>
        <v>浦和専門学校</v>
      </c>
    </row>
    <row r="124" spans="1:14" x14ac:dyDescent="0.4">
      <c r="A124" s="4">
        <v>2304117</v>
      </c>
      <c r="B124" s="5" t="s">
        <v>80</v>
      </c>
      <c r="C124" t="s">
        <v>191</v>
      </c>
      <c r="D124" t="s">
        <v>486</v>
      </c>
      <c r="E124" t="s">
        <v>14</v>
      </c>
      <c r="F124" t="s">
        <v>396</v>
      </c>
      <c r="G124" t="s">
        <v>307</v>
      </c>
      <c r="J124" t="str">
        <f>IF(OR(テーブル1[[#This Row],[最終合格校]]&lt;&gt;"",テーブル1[[#This Row],[進路区分]]="進学未定",テーブル1[[#This Row],[出願経験]]="有"),"○","")&amp;F124</f>
        <v>○日本経済大学</v>
      </c>
      <c r="K124" t="str">
        <f t="shared" si="3"/>
        <v>大学</v>
      </c>
      <c r="L124" t="str">
        <f t="shared" si="4"/>
        <v>日本経済大学</v>
      </c>
      <c r="M124" t="str">
        <f t="shared" si="5"/>
        <v/>
      </c>
      <c r="N124" t="str">
        <f>テーブル1[[#This Row],[大学・大学院]]&amp;テーブル1[[#This Row],[専門学校]]</f>
        <v>日本経済大学</v>
      </c>
    </row>
    <row r="125" spans="1:14" x14ac:dyDescent="0.4">
      <c r="A125" s="4">
        <v>2304124</v>
      </c>
      <c r="B125" s="5" t="s">
        <v>80</v>
      </c>
      <c r="C125" t="s">
        <v>192</v>
      </c>
      <c r="D125" t="s">
        <v>486</v>
      </c>
      <c r="E125" t="s">
        <v>14</v>
      </c>
      <c r="F125" t="s">
        <v>396</v>
      </c>
      <c r="G125" t="s">
        <v>307</v>
      </c>
      <c r="J125" t="str">
        <f>IF(OR(テーブル1[[#This Row],[最終合格校]]&lt;&gt;"",テーブル1[[#This Row],[進路区分]]="進学未定",テーブル1[[#This Row],[出願経験]]="有"),"○","")&amp;F125</f>
        <v>○日本経済大学</v>
      </c>
      <c r="K125" t="str">
        <f t="shared" si="3"/>
        <v>大学</v>
      </c>
      <c r="L125" t="str">
        <f t="shared" si="4"/>
        <v>日本経済大学</v>
      </c>
      <c r="M125" t="str">
        <f t="shared" si="5"/>
        <v/>
      </c>
      <c r="N125" t="str">
        <f>テーブル1[[#This Row],[大学・大学院]]&amp;テーブル1[[#This Row],[専門学校]]</f>
        <v>日本経済大学</v>
      </c>
    </row>
    <row r="126" spans="1:14" x14ac:dyDescent="0.4">
      <c r="A126" s="4">
        <v>2304129</v>
      </c>
      <c r="B126" s="5" t="s">
        <v>80</v>
      </c>
      <c r="C126" t="s">
        <v>193</v>
      </c>
      <c r="D126" t="s">
        <v>486</v>
      </c>
      <c r="E126" t="s">
        <v>14</v>
      </c>
      <c r="F126" t="s">
        <v>396</v>
      </c>
      <c r="G126" t="s">
        <v>307</v>
      </c>
      <c r="J126" t="str">
        <f>IF(OR(テーブル1[[#This Row],[最終合格校]]&lt;&gt;"",テーブル1[[#This Row],[進路区分]]="進学未定",テーブル1[[#This Row],[出願経験]]="有"),"○","")&amp;F126</f>
        <v>○日本経済大学</v>
      </c>
      <c r="K126" t="str">
        <f t="shared" si="3"/>
        <v>大学</v>
      </c>
      <c r="L126" t="str">
        <f t="shared" si="4"/>
        <v>日本経済大学</v>
      </c>
      <c r="M126" t="str">
        <f t="shared" si="5"/>
        <v/>
      </c>
      <c r="N126" t="str">
        <f>テーブル1[[#This Row],[大学・大学院]]&amp;テーブル1[[#This Row],[専門学校]]</f>
        <v>日本経済大学</v>
      </c>
    </row>
    <row r="127" spans="1:14" x14ac:dyDescent="0.4">
      <c r="A127" s="4">
        <v>2304132</v>
      </c>
      <c r="B127" s="5" t="s">
        <v>80</v>
      </c>
      <c r="C127" t="s">
        <v>194</v>
      </c>
      <c r="D127" t="s">
        <v>486</v>
      </c>
      <c r="E127" t="s">
        <v>15</v>
      </c>
      <c r="F127" t="s">
        <v>330</v>
      </c>
      <c r="G127" t="s">
        <v>307</v>
      </c>
      <c r="J127" t="str">
        <f>IF(OR(テーブル1[[#This Row],[最終合格校]]&lt;&gt;"",テーブル1[[#This Row],[進路区分]]="進学未定",テーブル1[[#This Row],[出願経験]]="有"),"○","")&amp;F127</f>
        <v>○ICT専門学校</v>
      </c>
      <c r="K127" t="str">
        <f t="shared" si="3"/>
        <v>専門学校</v>
      </c>
      <c r="L127" t="str">
        <f t="shared" si="4"/>
        <v/>
      </c>
      <c r="M127" t="str">
        <f t="shared" si="5"/>
        <v>ICT専門学校</v>
      </c>
      <c r="N127" t="str">
        <f>テーブル1[[#This Row],[大学・大学院]]&amp;テーブル1[[#This Row],[専門学校]]</f>
        <v>ICT専門学校</v>
      </c>
    </row>
    <row r="128" spans="1:14" x14ac:dyDescent="0.4">
      <c r="A128" s="4">
        <v>2304134</v>
      </c>
      <c r="B128" s="5" t="s">
        <v>80</v>
      </c>
      <c r="C128" t="s">
        <v>195</v>
      </c>
      <c r="D128" t="s">
        <v>486</v>
      </c>
      <c r="E128" t="s">
        <v>15</v>
      </c>
      <c r="F128" t="s">
        <v>330</v>
      </c>
      <c r="G128" t="s">
        <v>307</v>
      </c>
      <c r="J128" t="str">
        <f>IF(OR(テーブル1[[#This Row],[最終合格校]]&lt;&gt;"",テーブル1[[#This Row],[進路区分]]="進学未定",テーブル1[[#This Row],[出願経験]]="有"),"○","")&amp;F128</f>
        <v>○ICT専門学校</v>
      </c>
      <c r="K128" t="str">
        <f t="shared" si="3"/>
        <v>専門学校</v>
      </c>
      <c r="L128" t="str">
        <f t="shared" si="4"/>
        <v/>
      </c>
      <c r="M128" t="str">
        <f t="shared" si="5"/>
        <v>ICT専門学校</v>
      </c>
      <c r="N128" t="str">
        <f>テーブル1[[#This Row],[大学・大学院]]&amp;テーブル1[[#This Row],[専門学校]]</f>
        <v>ICT専門学校</v>
      </c>
    </row>
    <row r="129" spans="1:14" x14ac:dyDescent="0.4">
      <c r="A129" s="4">
        <v>2307003</v>
      </c>
      <c r="B129" s="5" t="s">
        <v>80</v>
      </c>
      <c r="C129" t="s">
        <v>196</v>
      </c>
      <c r="D129" t="s">
        <v>486</v>
      </c>
      <c r="E129" t="s">
        <v>14</v>
      </c>
      <c r="F129" t="s">
        <v>459</v>
      </c>
      <c r="G129" t="s">
        <v>307</v>
      </c>
      <c r="J129" t="str">
        <f>IF(OR(テーブル1[[#This Row],[最終合格校]]&lt;&gt;"",テーブル1[[#This Row],[進路区分]]="進学未定",テーブル1[[#This Row],[出願経験]]="有"),"○","")&amp;F129</f>
        <v>○神戸国際大学</v>
      </c>
      <c r="K129" t="str">
        <f t="shared" si="3"/>
        <v>大学</v>
      </c>
      <c r="L129" t="str">
        <f t="shared" si="4"/>
        <v>神戸国際大学</v>
      </c>
      <c r="M129" t="str">
        <f t="shared" si="5"/>
        <v/>
      </c>
      <c r="N129" t="str">
        <f>テーブル1[[#This Row],[大学・大学院]]&amp;テーブル1[[#This Row],[専門学校]]</f>
        <v>神戸国際大学</v>
      </c>
    </row>
    <row r="130" spans="1:14" x14ac:dyDescent="0.4">
      <c r="A130" s="4">
        <v>2307039</v>
      </c>
      <c r="B130" s="5" t="s">
        <v>80</v>
      </c>
      <c r="C130" t="s">
        <v>197</v>
      </c>
      <c r="D130" t="s">
        <v>486</v>
      </c>
      <c r="E130" t="s">
        <v>15</v>
      </c>
      <c r="F130" t="s">
        <v>398</v>
      </c>
      <c r="G130" t="s">
        <v>307</v>
      </c>
      <c r="J130" t="str">
        <f>IF(OR(テーブル1[[#This Row],[最終合格校]]&lt;&gt;"",テーブル1[[#This Row],[進路区分]]="進学未定",テーブル1[[#This Row],[出願経験]]="有"),"○","")&amp;F130</f>
        <v>○愛甲学院専門学校</v>
      </c>
      <c r="K130" t="str">
        <f t="shared" ref="K130:K193" si="6">IF(OR(D130="卒業",D130="修了",D130="延長"),E130,"")</f>
        <v>専門学校</v>
      </c>
      <c r="L130" t="str">
        <f t="shared" ref="L130:L193" si="7">IF(E130="大学",F130,IF(E130="大学院",F130,""))</f>
        <v/>
      </c>
      <c r="M130" t="str">
        <f t="shared" ref="M130:M193" si="8">IF(E130="専門学校",F130,"")</f>
        <v>愛甲学院専門学校</v>
      </c>
      <c r="N130" t="str">
        <f>テーブル1[[#This Row],[大学・大学院]]&amp;テーブル1[[#This Row],[専門学校]]</f>
        <v>愛甲学院専門学校</v>
      </c>
    </row>
    <row r="131" spans="1:14" x14ac:dyDescent="0.4">
      <c r="A131" s="4">
        <v>2307040</v>
      </c>
      <c r="B131" s="5" t="s">
        <v>80</v>
      </c>
      <c r="C131" t="s">
        <v>198</v>
      </c>
      <c r="D131" t="s">
        <v>486</v>
      </c>
      <c r="E131" t="s">
        <v>14</v>
      </c>
      <c r="F131" t="s">
        <v>466</v>
      </c>
      <c r="G131" t="s">
        <v>307</v>
      </c>
      <c r="J131" t="str">
        <f>IF(OR(テーブル1[[#This Row],[最終合格校]]&lt;&gt;"",テーブル1[[#This Row],[進路区分]]="進学未定",テーブル1[[#This Row],[出願経験]]="有"),"○","")&amp;F131</f>
        <v>○神戸松蔭大学</v>
      </c>
      <c r="K131" t="str">
        <f t="shared" si="6"/>
        <v>大学</v>
      </c>
      <c r="L131" t="str">
        <f t="shared" si="7"/>
        <v>神戸松蔭大学</v>
      </c>
      <c r="M131" t="str">
        <f t="shared" si="8"/>
        <v/>
      </c>
      <c r="N131" t="str">
        <f>テーブル1[[#This Row],[大学・大学院]]&amp;テーブル1[[#This Row],[専門学校]]</f>
        <v>神戸松蔭大学</v>
      </c>
    </row>
    <row r="132" spans="1:14" x14ac:dyDescent="0.4">
      <c r="A132" s="4">
        <v>2307080</v>
      </c>
      <c r="B132" s="5" t="s">
        <v>80</v>
      </c>
      <c r="C132" t="s">
        <v>199</v>
      </c>
      <c r="D132" t="s">
        <v>486</v>
      </c>
      <c r="E132" t="s">
        <v>15</v>
      </c>
      <c r="F132" t="s">
        <v>397</v>
      </c>
      <c r="G132" t="s">
        <v>307</v>
      </c>
      <c r="J132" t="str">
        <f>IF(OR(テーブル1[[#This Row],[最終合格校]]&lt;&gt;"",テーブル1[[#This Row],[進路区分]]="進学未定",テーブル1[[#This Row],[出願経験]]="有"),"○","")&amp;F132</f>
        <v>○浦和専門学校</v>
      </c>
      <c r="K132" t="str">
        <f t="shared" si="6"/>
        <v>専門学校</v>
      </c>
      <c r="L132" t="str">
        <f t="shared" si="7"/>
        <v/>
      </c>
      <c r="M132" t="str">
        <f t="shared" si="8"/>
        <v>浦和専門学校</v>
      </c>
      <c r="N132" t="str">
        <f>テーブル1[[#This Row],[大学・大学院]]&amp;テーブル1[[#This Row],[専門学校]]</f>
        <v>浦和専門学校</v>
      </c>
    </row>
    <row r="133" spans="1:14" x14ac:dyDescent="0.4">
      <c r="A133" s="4">
        <v>2307085</v>
      </c>
      <c r="B133" s="5" t="s">
        <v>80</v>
      </c>
      <c r="C133" t="s">
        <v>200</v>
      </c>
      <c r="D133" t="s">
        <v>486</v>
      </c>
      <c r="E133" t="s">
        <v>15</v>
      </c>
      <c r="F133" t="s">
        <v>317</v>
      </c>
      <c r="G133" t="s">
        <v>307</v>
      </c>
      <c r="J133" t="str">
        <f>IF(OR(テーブル1[[#This Row],[最終合格校]]&lt;&gt;"",テーブル1[[#This Row],[進路区分]]="進学未定",テーブル1[[#This Row],[出願経験]]="有"),"○","")&amp;F133</f>
        <v>○中央工学校OSAKA</v>
      </c>
      <c r="K133" t="str">
        <f t="shared" si="6"/>
        <v>専門学校</v>
      </c>
      <c r="L133" t="str">
        <f t="shared" si="7"/>
        <v/>
      </c>
      <c r="M133" t="str">
        <f t="shared" si="8"/>
        <v>中央工学校OSAKA</v>
      </c>
      <c r="N133" t="str">
        <f>テーブル1[[#This Row],[大学・大学院]]&amp;テーブル1[[#This Row],[専門学校]]</f>
        <v>中央工学校OSAKA</v>
      </c>
    </row>
    <row r="134" spans="1:14" x14ac:dyDescent="0.4">
      <c r="A134" s="4">
        <v>2307087</v>
      </c>
      <c r="B134" s="5" t="s">
        <v>80</v>
      </c>
      <c r="C134" t="s">
        <v>355</v>
      </c>
      <c r="D134" t="s">
        <v>486</v>
      </c>
      <c r="E134" t="s">
        <v>15</v>
      </c>
      <c r="F134" t="s">
        <v>331</v>
      </c>
      <c r="G134" t="s">
        <v>307</v>
      </c>
      <c r="J134" t="str">
        <f>IF(OR(テーブル1[[#This Row],[最終合格校]]&lt;&gt;"",テーブル1[[#This Row],[進路区分]]="進学未定",テーブル1[[#This Row],[出願経験]]="有"),"○","")&amp;F134</f>
        <v>○日産栃木自動車大学校</v>
      </c>
      <c r="K134" t="str">
        <f t="shared" si="6"/>
        <v>専門学校</v>
      </c>
      <c r="L134" t="str">
        <f t="shared" si="7"/>
        <v/>
      </c>
      <c r="M134" t="str">
        <f t="shared" si="8"/>
        <v>日産栃木自動車大学校</v>
      </c>
      <c r="N134" t="str">
        <f>テーブル1[[#This Row],[大学・大学院]]&amp;テーブル1[[#This Row],[専門学校]]</f>
        <v>日産栃木自動車大学校</v>
      </c>
    </row>
    <row r="135" spans="1:14" x14ac:dyDescent="0.4">
      <c r="A135" s="4">
        <v>2304082</v>
      </c>
      <c r="B135" s="5" t="s">
        <v>81</v>
      </c>
      <c r="C135" t="s">
        <v>201</v>
      </c>
      <c r="D135" t="s">
        <v>486</v>
      </c>
      <c r="E135" t="s">
        <v>461</v>
      </c>
      <c r="F135" t="s">
        <v>467</v>
      </c>
      <c r="G135" t="s">
        <v>307</v>
      </c>
      <c r="J135" t="str">
        <f>IF(OR(テーブル1[[#This Row],[最終合格校]]&lt;&gt;"",テーブル1[[#This Row],[進路区分]]="進学未定",テーブル1[[#This Row],[出願経験]]="有"),"○","")&amp;F135</f>
        <v>○神戸電子専門学校</v>
      </c>
      <c r="K135" t="str">
        <f t="shared" si="6"/>
        <v>特定活動ビザ</v>
      </c>
      <c r="L135" t="str">
        <f t="shared" si="7"/>
        <v/>
      </c>
      <c r="M135" t="str">
        <f t="shared" si="8"/>
        <v/>
      </c>
      <c r="N135" t="str">
        <f>テーブル1[[#This Row],[大学・大学院]]&amp;テーブル1[[#This Row],[専門学校]]</f>
        <v/>
      </c>
    </row>
    <row r="136" spans="1:14" x14ac:dyDescent="0.4">
      <c r="A136" s="4">
        <v>2304091</v>
      </c>
      <c r="B136" s="5" t="s">
        <v>81</v>
      </c>
      <c r="C136" t="s">
        <v>202</v>
      </c>
      <c r="D136" t="s">
        <v>486</v>
      </c>
      <c r="E136" t="s">
        <v>461</v>
      </c>
      <c r="F136" t="s">
        <v>467</v>
      </c>
      <c r="G136" t="s">
        <v>307</v>
      </c>
      <c r="J136" t="str">
        <f>IF(OR(テーブル1[[#This Row],[最終合格校]]&lt;&gt;"",テーブル1[[#This Row],[進路区分]]="進学未定",テーブル1[[#This Row],[出願経験]]="有"),"○","")&amp;F136</f>
        <v>○神戸電子専門学校</v>
      </c>
      <c r="K136" t="str">
        <f t="shared" si="6"/>
        <v>特定活動ビザ</v>
      </c>
      <c r="L136" t="str">
        <f t="shared" si="7"/>
        <v/>
      </c>
      <c r="M136" t="str">
        <f t="shared" si="8"/>
        <v/>
      </c>
      <c r="N136" t="str">
        <f>テーブル1[[#This Row],[大学・大学院]]&amp;テーブル1[[#This Row],[専門学校]]</f>
        <v/>
      </c>
    </row>
    <row r="137" spans="1:14" x14ac:dyDescent="0.4">
      <c r="A137" s="4">
        <v>2304094</v>
      </c>
      <c r="B137" s="5" t="s">
        <v>81</v>
      </c>
      <c r="C137" t="s">
        <v>454</v>
      </c>
      <c r="D137" t="s">
        <v>486</v>
      </c>
      <c r="E137" t="s">
        <v>15</v>
      </c>
      <c r="F137" t="s">
        <v>422</v>
      </c>
      <c r="G137" t="s">
        <v>307</v>
      </c>
      <c r="J137" t="str">
        <f>IF(OR(テーブル1[[#This Row],[最終合格校]]&lt;&gt;"",テーブル1[[#This Row],[進路区分]]="進学未定",テーブル1[[#This Row],[出願経験]]="有"),"○","")&amp;F137</f>
        <v>○神戸国際調理製菓専門学校</v>
      </c>
      <c r="K137" t="str">
        <f t="shared" si="6"/>
        <v>専門学校</v>
      </c>
      <c r="L137" t="str">
        <f t="shared" si="7"/>
        <v/>
      </c>
      <c r="M137" t="str">
        <f t="shared" si="8"/>
        <v>神戸国際調理製菓専門学校</v>
      </c>
      <c r="N137" t="str">
        <f>テーブル1[[#This Row],[大学・大学院]]&amp;テーブル1[[#This Row],[専門学校]]</f>
        <v>神戸国際調理製菓専門学校</v>
      </c>
    </row>
    <row r="138" spans="1:14" x14ac:dyDescent="0.4">
      <c r="A138" s="4">
        <v>2304136</v>
      </c>
      <c r="B138" s="5" t="s">
        <v>81</v>
      </c>
      <c r="C138" t="s">
        <v>203</v>
      </c>
      <c r="D138" t="s">
        <v>486</v>
      </c>
      <c r="E138" t="s">
        <v>15</v>
      </c>
      <c r="F138" t="s">
        <v>347</v>
      </c>
      <c r="G138" t="s">
        <v>307</v>
      </c>
      <c r="J138" t="str">
        <f>IF(OR(テーブル1[[#This Row],[最終合格校]]&lt;&gt;"",テーブル1[[#This Row],[進路区分]]="進学未定",テーブル1[[#This Row],[出願経験]]="有"),"○","")&amp;F138</f>
        <v>○大阪コミュニティーワーカー専門学校</v>
      </c>
      <c r="K138" t="str">
        <f t="shared" si="6"/>
        <v>専門学校</v>
      </c>
      <c r="L138" t="str">
        <f t="shared" si="7"/>
        <v/>
      </c>
      <c r="M138" t="str">
        <f t="shared" si="8"/>
        <v>大阪コミュニティーワーカー専門学校</v>
      </c>
      <c r="N138" t="str">
        <f>テーブル1[[#This Row],[大学・大学院]]&amp;テーブル1[[#This Row],[専門学校]]</f>
        <v>大阪コミュニティーワーカー専門学校</v>
      </c>
    </row>
    <row r="139" spans="1:14" x14ac:dyDescent="0.4">
      <c r="A139" s="4">
        <v>2307002</v>
      </c>
      <c r="B139" s="5" t="s">
        <v>81</v>
      </c>
      <c r="C139" t="s">
        <v>204</v>
      </c>
      <c r="D139" t="s">
        <v>486</v>
      </c>
      <c r="E139" t="s">
        <v>15</v>
      </c>
      <c r="F139" t="s">
        <v>416</v>
      </c>
      <c r="G139" t="s">
        <v>307</v>
      </c>
      <c r="J139" t="str">
        <f>IF(OR(テーブル1[[#This Row],[最終合格校]]&lt;&gt;"",テーブル1[[#This Row],[進路区分]]="進学未定",テーブル1[[#This Row],[出願経験]]="有"),"○","")&amp;F139</f>
        <v>○兵庫県立総合衛生学院</v>
      </c>
      <c r="K139" t="str">
        <f t="shared" si="6"/>
        <v>専門学校</v>
      </c>
      <c r="L139" t="str">
        <f t="shared" si="7"/>
        <v/>
      </c>
      <c r="M139" t="str">
        <f t="shared" si="8"/>
        <v>兵庫県立総合衛生学院</v>
      </c>
      <c r="N139" t="str">
        <f>テーブル1[[#This Row],[大学・大学院]]&amp;テーブル1[[#This Row],[専門学校]]</f>
        <v>兵庫県立総合衛生学院</v>
      </c>
    </row>
    <row r="140" spans="1:14" x14ac:dyDescent="0.4">
      <c r="A140" s="4">
        <v>2307004</v>
      </c>
      <c r="B140" s="5" t="s">
        <v>81</v>
      </c>
      <c r="C140" t="s">
        <v>205</v>
      </c>
      <c r="D140" t="s">
        <v>486</v>
      </c>
      <c r="E140" t="s">
        <v>14</v>
      </c>
      <c r="F140" t="s">
        <v>399</v>
      </c>
      <c r="G140" t="s">
        <v>307</v>
      </c>
      <c r="J140" t="str">
        <f>IF(OR(テーブル1[[#This Row],[最終合格校]]&lt;&gt;"",テーブル1[[#This Row],[進路区分]]="進学未定",テーブル1[[#This Row],[出願経験]]="有"),"○","")&amp;F140</f>
        <v>○新潟食料農業大学</v>
      </c>
      <c r="K140" t="str">
        <f t="shared" si="6"/>
        <v>大学</v>
      </c>
      <c r="L140" t="str">
        <f t="shared" si="7"/>
        <v>新潟食料農業大学</v>
      </c>
      <c r="M140" t="str">
        <f t="shared" si="8"/>
        <v/>
      </c>
      <c r="N140" t="str">
        <f>テーブル1[[#This Row],[大学・大学院]]&amp;テーブル1[[#This Row],[専門学校]]</f>
        <v>新潟食料農業大学</v>
      </c>
    </row>
    <row r="141" spans="1:14" x14ac:dyDescent="0.4">
      <c r="A141" s="4">
        <v>2307008</v>
      </c>
      <c r="B141" s="5" t="s">
        <v>81</v>
      </c>
      <c r="C141" t="s">
        <v>206</v>
      </c>
      <c r="D141" t="s">
        <v>486</v>
      </c>
      <c r="E141" t="s">
        <v>14</v>
      </c>
      <c r="F141" t="s">
        <v>457</v>
      </c>
      <c r="G141" t="s">
        <v>307</v>
      </c>
      <c r="J141" t="str">
        <f>IF(OR(テーブル1[[#This Row],[最終合格校]]&lt;&gt;"",テーブル1[[#This Row],[進路区分]]="進学未定",テーブル1[[#This Row],[出願経験]]="有"),"○","")&amp;F141</f>
        <v>○大阪女学院大学</v>
      </c>
      <c r="K141" t="str">
        <f t="shared" si="6"/>
        <v>大学</v>
      </c>
      <c r="L141" t="str">
        <f t="shared" si="7"/>
        <v>大阪女学院大学</v>
      </c>
      <c r="M141" t="str">
        <f t="shared" si="8"/>
        <v/>
      </c>
      <c r="N141" t="str">
        <f>テーブル1[[#This Row],[大学・大学院]]&amp;テーブル1[[#This Row],[専門学校]]</f>
        <v>大阪女学院大学</v>
      </c>
    </row>
    <row r="142" spans="1:14" x14ac:dyDescent="0.4">
      <c r="A142" s="4">
        <v>2307009</v>
      </c>
      <c r="B142" s="6" t="s">
        <v>81</v>
      </c>
      <c r="C142" s="7" t="s">
        <v>207</v>
      </c>
      <c r="D142" t="s">
        <v>486</v>
      </c>
      <c r="E142" t="s">
        <v>461</v>
      </c>
      <c r="J142" t="str">
        <f>IF(OR(テーブル1[[#This Row],[最終合格校]]&lt;&gt;"",テーブル1[[#This Row],[進路区分]]="進学未定",テーブル1[[#This Row],[出願経験]]="有"),"○","")&amp;F142</f>
        <v/>
      </c>
      <c r="K142" t="str">
        <f t="shared" si="6"/>
        <v>特定活動ビザ</v>
      </c>
      <c r="L142" t="str">
        <f t="shared" si="7"/>
        <v/>
      </c>
      <c r="M142" t="str">
        <f t="shared" si="8"/>
        <v/>
      </c>
      <c r="N142" t="str">
        <f>テーブル1[[#This Row],[大学・大学院]]&amp;テーブル1[[#This Row],[専門学校]]</f>
        <v/>
      </c>
    </row>
    <row r="143" spans="1:14" x14ac:dyDescent="0.4">
      <c r="A143" s="4">
        <v>2307013</v>
      </c>
      <c r="B143" s="5" t="s">
        <v>81</v>
      </c>
      <c r="C143" t="s">
        <v>208</v>
      </c>
      <c r="D143" t="s">
        <v>486</v>
      </c>
      <c r="E143" t="s">
        <v>461</v>
      </c>
      <c r="J143" t="str">
        <f>IF(OR(テーブル1[[#This Row],[最終合格校]]&lt;&gt;"",テーブル1[[#This Row],[進路区分]]="進学未定",テーブル1[[#This Row],[出願経験]]="有"),"○","")&amp;F143</f>
        <v/>
      </c>
      <c r="K143" t="str">
        <f t="shared" si="6"/>
        <v>特定活動ビザ</v>
      </c>
      <c r="L143" t="str">
        <f t="shared" si="7"/>
        <v/>
      </c>
      <c r="M143" t="str">
        <f t="shared" si="8"/>
        <v/>
      </c>
      <c r="N143" t="str">
        <f>テーブル1[[#This Row],[大学・大学院]]&amp;テーブル1[[#This Row],[専門学校]]</f>
        <v/>
      </c>
    </row>
    <row r="144" spans="1:14" x14ac:dyDescent="0.4">
      <c r="A144" s="4">
        <v>2307014</v>
      </c>
      <c r="B144" s="5" t="s">
        <v>81</v>
      </c>
      <c r="C144" t="s">
        <v>209</v>
      </c>
      <c r="D144" t="s">
        <v>486</v>
      </c>
      <c r="E144" t="s">
        <v>461</v>
      </c>
      <c r="J144" t="str">
        <f>IF(OR(テーブル1[[#This Row],[最終合格校]]&lt;&gt;"",テーブル1[[#This Row],[進路区分]]="進学未定",テーブル1[[#This Row],[出願経験]]="有"),"○","")&amp;F144</f>
        <v/>
      </c>
      <c r="K144" t="str">
        <f t="shared" si="6"/>
        <v>特定活動ビザ</v>
      </c>
      <c r="L144" t="str">
        <f t="shared" si="7"/>
        <v/>
      </c>
      <c r="M144" t="str">
        <f t="shared" si="8"/>
        <v/>
      </c>
      <c r="N144" t="str">
        <f>テーブル1[[#This Row],[大学・大学院]]&amp;テーブル1[[#This Row],[専門学校]]</f>
        <v/>
      </c>
    </row>
    <row r="145" spans="1:14" x14ac:dyDescent="0.4">
      <c r="A145" s="4">
        <v>2307031</v>
      </c>
      <c r="B145" s="5" t="s">
        <v>81</v>
      </c>
      <c r="C145" t="s">
        <v>411</v>
      </c>
      <c r="D145" t="s">
        <v>486</v>
      </c>
      <c r="E145" t="s">
        <v>15</v>
      </c>
      <c r="F145" t="s">
        <v>400</v>
      </c>
      <c r="G145" t="s">
        <v>307</v>
      </c>
      <c r="J145" t="str">
        <f>IF(OR(テーブル1[[#This Row],[最終合格校]]&lt;&gt;"",テーブル1[[#This Row],[進路区分]]="進学未定",テーブル1[[#This Row],[出願経験]]="有"),"○","")&amp;F145</f>
        <v>○千葉モードビジネス専門学校</v>
      </c>
      <c r="K145" t="str">
        <f t="shared" si="6"/>
        <v>専門学校</v>
      </c>
      <c r="L145" t="str">
        <f t="shared" si="7"/>
        <v/>
      </c>
      <c r="M145" t="str">
        <f t="shared" si="8"/>
        <v>千葉モードビジネス専門学校</v>
      </c>
      <c r="N145" t="str">
        <f>テーブル1[[#This Row],[大学・大学院]]&amp;テーブル1[[#This Row],[専門学校]]</f>
        <v>千葉モードビジネス専門学校</v>
      </c>
    </row>
    <row r="146" spans="1:14" x14ac:dyDescent="0.4">
      <c r="A146" s="4">
        <v>2307035</v>
      </c>
      <c r="B146" s="5" t="s">
        <v>81</v>
      </c>
      <c r="C146" t="s">
        <v>210</v>
      </c>
      <c r="D146" t="s">
        <v>486</v>
      </c>
      <c r="E146" t="s">
        <v>15</v>
      </c>
      <c r="F146" t="s">
        <v>323</v>
      </c>
      <c r="G146" t="s">
        <v>307</v>
      </c>
      <c r="J146" t="str">
        <f>IF(OR(テーブル1[[#This Row],[最終合格校]]&lt;&gt;"",テーブル1[[#This Row],[進路区分]]="進学未定",テーブル1[[#This Row],[出願経験]]="有"),"○","")&amp;F146</f>
        <v>○関西国際旅行・ホテル専門学校</v>
      </c>
      <c r="K146" t="str">
        <f t="shared" si="6"/>
        <v>専門学校</v>
      </c>
      <c r="L146" t="str">
        <f t="shared" si="7"/>
        <v/>
      </c>
      <c r="M146" t="str">
        <f t="shared" si="8"/>
        <v>関西国際旅行・ホテル専門学校</v>
      </c>
      <c r="N146" t="str">
        <f>テーブル1[[#This Row],[大学・大学院]]&amp;テーブル1[[#This Row],[専門学校]]</f>
        <v>関西国際旅行・ホテル専門学校</v>
      </c>
    </row>
    <row r="147" spans="1:14" x14ac:dyDescent="0.4">
      <c r="A147" s="4">
        <v>2307036</v>
      </c>
      <c r="B147" s="5" t="s">
        <v>81</v>
      </c>
      <c r="C147" t="s">
        <v>211</v>
      </c>
      <c r="D147" t="s">
        <v>486</v>
      </c>
      <c r="E147" t="s">
        <v>14</v>
      </c>
      <c r="F147" t="s">
        <v>483</v>
      </c>
      <c r="G147" t="s">
        <v>307</v>
      </c>
      <c r="J147" t="str">
        <f>IF(OR(テーブル1[[#This Row],[最終合格校]]&lt;&gt;"",テーブル1[[#This Row],[進路区分]]="進学未定",テーブル1[[#This Row],[出願経験]]="有"),"○","")&amp;F147</f>
        <v>○日本経済大学渋谷キャンパス</v>
      </c>
      <c r="K147" t="str">
        <f t="shared" si="6"/>
        <v>大学</v>
      </c>
      <c r="L147" t="str">
        <f t="shared" si="7"/>
        <v>日本経済大学渋谷キャンパス</v>
      </c>
      <c r="M147" t="str">
        <f t="shared" si="8"/>
        <v/>
      </c>
      <c r="N147" t="str">
        <f>テーブル1[[#This Row],[大学・大学院]]&amp;テーブル1[[#This Row],[専門学校]]</f>
        <v>日本経済大学渋谷キャンパス</v>
      </c>
    </row>
    <row r="148" spans="1:14" x14ac:dyDescent="0.4">
      <c r="A148" s="4">
        <v>2307037</v>
      </c>
      <c r="B148" s="5" t="s">
        <v>81</v>
      </c>
      <c r="C148" t="s">
        <v>212</v>
      </c>
      <c r="D148" t="s">
        <v>486</v>
      </c>
      <c r="E148" t="s">
        <v>15</v>
      </c>
      <c r="F148" t="s">
        <v>401</v>
      </c>
      <c r="G148" t="s">
        <v>307</v>
      </c>
      <c r="J148" t="str">
        <f>IF(OR(テーブル1[[#This Row],[最終合格校]]&lt;&gt;"",テーブル1[[#This Row],[進路区分]]="進学未定",テーブル1[[#This Row],[出願経験]]="有"),"○","")&amp;F148</f>
        <v>○東京グローバルビジネス専門学校</v>
      </c>
      <c r="K148" t="str">
        <f t="shared" si="6"/>
        <v>専門学校</v>
      </c>
      <c r="L148" t="str">
        <f t="shared" si="7"/>
        <v/>
      </c>
      <c r="M148" t="str">
        <f t="shared" si="8"/>
        <v>東京グローバルビジネス専門学校</v>
      </c>
      <c r="N148" t="str">
        <f>テーブル1[[#This Row],[大学・大学院]]&amp;テーブル1[[#This Row],[専門学校]]</f>
        <v>東京グローバルビジネス専門学校</v>
      </c>
    </row>
    <row r="149" spans="1:14" x14ac:dyDescent="0.4">
      <c r="A149" s="4">
        <v>2307038</v>
      </c>
      <c r="B149" s="5" t="s">
        <v>81</v>
      </c>
      <c r="C149" t="s">
        <v>213</v>
      </c>
      <c r="D149" t="s">
        <v>486</v>
      </c>
      <c r="E149" t="s">
        <v>15</v>
      </c>
      <c r="F149" t="s">
        <v>417</v>
      </c>
      <c r="G149" t="s">
        <v>307</v>
      </c>
      <c r="J149" t="str">
        <f>IF(OR(テーブル1[[#This Row],[最終合格校]]&lt;&gt;"",テーブル1[[#This Row],[進路区分]]="進学未定",テーブル1[[#This Row],[出願経験]]="有"),"○","")&amp;F149</f>
        <v>○ECC国際外語専門学校</v>
      </c>
      <c r="K149" t="str">
        <f t="shared" si="6"/>
        <v>専門学校</v>
      </c>
      <c r="L149" t="str">
        <f t="shared" si="7"/>
        <v/>
      </c>
      <c r="M149" t="str">
        <f t="shared" si="8"/>
        <v>ECC国際外語専門学校</v>
      </c>
      <c r="N149" t="str">
        <f>テーブル1[[#This Row],[大学・大学院]]&amp;テーブル1[[#This Row],[専門学校]]</f>
        <v>ECC国際外語専門学校</v>
      </c>
    </row>
    <row r="150" spans="1:14" x14ac:dyDescent="0.4">
      <c r="A150" s="4">
        <v>2307051</v>
      </c>
      <c r="B150" s="5" t="s">
        <v>81</v>
      </c>
      <c r="C150" t="s">
        <v>214</v>
      </c>
      <c r="D150" t="s">
        <v>486</v>
      </c>
      <c r="E150" t="s">
        <v>15</v>
      </c>
      <c r="F150" t="s">
        <v>402</v>
      </c>
      <c r="G150" t="s">
        <v>307</v>
      </c>
      <c r="J150" t="str">
        <f>IF(OR(テーブル1[[#This Row],[最終合格校]]&lt;&gt;"",テーブル1[[#This Row],[進路区分]]="進学未定",テーブル1[[#This Row],[出願経験]]="有"),"○","")&amp;F150</f>
        <v>○大阪社会福祉専門学校</v>
      </c>
      <c r="K150" t="str">
        <f t="shared" si="6"/>
        <v>専門学校</v>
      </c>
      <c r="L150" t="str">
        <f t="shared" si="7"/>
        <v/>
      </c>
      <c r="M150" t="str">
        <f t="shared" si="8"/>
        <v>大阪社会福祉専門学校</v>
      </c>
      <c r="N150" t="str">
        <f>テーブル1[[#This Row],[大学・大学院]]&amp;テーブル1[[#This Row],[専門学校]]</f>
        <v>大阪社会福祉専門学校</v>
      </c>
    </row>
    <row r="151" spans="1:14" x14ac:dyDescent="0.4">
      <c r="A151" s="4">
        <v>2307082</v>
      </c>
      <c r="B151" s="5" t="s">
        <v>81</v>
      </c>
      <c r="C151" t="s">
        <v>215</v>
      </c>
      <c r="D151" t="s">
        <v>486</v>
      </c>
      <c r="E151" t="s">
        <v>15</v>
      </c>
      <c r="F151" t="s">
        <v>467</v>
      </c>
      <c r="G151" t="s">
        <v>307</v>
      </c>
      <c r="J151" t="str">
        <f>IF(OR(テーブル1[[#This Row],[最終合格校]]&lt;&gt;"",テーブル1[[#This Row],[進路区分]]="進学未定",テーブル1[[#This Row],[出願経験]]="有"),"○","")&amp;F151</f>
        <v>○神戸電子専門学校</v>
      </c>
      <c r="K151" t="str">
        <f t="shared" si="6"/>
        <v>専門学校</v>
      </c>
      <c r="L151" t="str">
        <f t="shared" si="7"/>
        <v/>
      </c>
      <c r="M151" t="str">
        <f t="shared" si="8"/>
        <v>神戸電子専門学校</v>
      </c>
      <c r="N151" t="str">
        <f>テーブル1[[#This Row],[大学・大学院]]&amp;テーブル1[[#This Row],[専門学校]]</f>
        <v>神戸電子専門学校</v>
      </c>
    </row>
    <row r="152" spans="1:14" x14ac:dyDescent="0.4">
      <c r="A152" s="4">
        <v>2307083</v>
      </c>
      <c r="B152" s="5" t="s">
        <v>81</v>
      </c>
      <c r="C152" t="s">
        <v>216</v>
      </c>
      <c r="D152" t="s">
        <v>486</v>
      </c>
      <c r="E152" t="s">
        <v>15</v>
      </c>
      <c r="F152" t="s">
        <v>318</v>
      </c>
      <c r="G152" t="s">
        <v>307</v>
      </c>
      <c r="J152" t="str">
        <f>IF(OR(テーブル1[[#This Row],[最終合格校]]&lt;&gt;"",テーブル1[[#This Row],[進路区分]]="進学未定",テーブル1[[#This Row],[出願経験]]="有"),"○","")&amp;F152</f>
        <v>○愛甲学院専門学校</v>
      </c>
      <c r="K152" t="str">
        <f t="shared" si="6"/>
        <v>専門学校</v>
      </c>
      <c r="L152" t="str">
        <f t="shared" si="7"/>
        <v/>
      </c>
      <c r="M152" t="str">
        <f t="shared" si="8"/>
        <v>愛甲学院専門学校</v>
      </c>
      <c r="N152" t="str">
        <f>テーブル1[[#This Row],[大学・大学院]]&amp;テーブル1[[#This Row],[専門学校]]</f>
        <v>愛甲学院専門学校</v>
      </c>
    </row>
    <row r="153" spans="1:14" x14ac:dyDescent="0.4">
      <c r="A153" s="4">
        <v>2307084</v>
      </c>
      <c r="B153" s="5" t="s">
        <v>81</v>
      </c>
      <c r="C153" t="s">
        <v>217</v>
      </c>
      <c r="D153" t="s">
        <v>486</v>
      </c>
      <c r="E153" t="s">
        <v>15</v>
      </c>
      <c r="F153" t="s">
        <v>318</v>
      </c>
      <c r="G153" t="s">
        <v>307</v>
      </c>
      <c r="J153" t="str">
        <f>IF(OR(テーブル1[[#This Row],[最終合格校]]&lt;&gt;"",テーブル1[[#This Row],[進路区分]]="進学未定",テーブル1[[#This Row],[出願経験]]="有"),"○","")&amp;F153</f>
        <v>○愛甲学院専門学校</v>
      </c>
      <c r="K153" t="str">
        <f t="shared" si="6"/>
        <v>専門学校</v>
      </c>
      <c r="L153" t="str">
        <f t="shared" si="7"/>
        <v/>
      </c>
      <c r="M153" t="str">
        <f t="shared" si="8"/>
        <v>愛甲学院専門学校</v>
      </c>
      <c r="N153" t="str">
        <f>テーブル1[[#This Row],[大学・大学院]]&amp;テーブル1[[#This Row],[専門学校]]</f>
        <v>愛甲学院専門学校</v>
      </c>
    </row>
    <row r="154" spans="1:14" x14ac:dyDescent="0.4">
      <c r="A154" s="4">
        <v>2307088</v>
      </c>
      <c r="B154" s="5" t="s">
        <v>81</v>
      </c>
      <c r="C154" t="s">
        <v>218</v>
      </c>
      <c r="D154" t="s">
        <v>486</v>
      </c>
      <c r="E154" t="s">
        <v>15</v>
      </c>
      <c r="F154" t="s">
        <v>320</v>
      </c>
      <c r="G154" t="s">
        <v>307</v>
      </c>
      <c r="J154" t="str">
        <f>IF(OR(テーブル1[[#This Row],[最終合格校]]&lt;&gt;"",テーブル1[[#This Row],[進路区分]]="進学未定",テーブル1[[#This Row],[出願経験]]="有"),"○","")&amp;F154</f>
        <v>○東京国際ビジネスカレッジ神戸校</v>
      </c>
      <c r="K154" t="str">
        <f t="shared" si="6"/>
        <v>専門学校</v>
      </c>
      <c r="L154" t="str">
        <f t="shared" si="7"/>
        <v/>
      </c>
      <c r="M154" t="str">
        <f t="shared" si="8"/>
        <v>東京国際ビジネスカレッジ神戸校</v>
      </c>
      <c r="N154" t="str">
        <f>テーブル1[[#This Row],[大学・大学院]]&amp;テーブル1[[#This Row],[専門学校]]</f>
        <v>東京国際ビジネスカレッジ神戸校</v>
      </c>
    </row>
    <row r="155" spans="1:14" x14ac:dyDescent="0.4">
      <c r="A155" s="4">
        <v>2304004</v>
      </c>
      <c r="B155" s="5" t="s">
        <v>82</v>
      </c>
      <c r="C155" t="s">
        <v>219</v>
      </c>
      <c r="D155" t="s">
        <v>332</v>
      </c>
      <c r="E155" t="s">
        <v>16</v>
      </c>
      <c r="I155" t="s">
        <v>35</v>
      </c>
      <c r="J155" t="str">
        <f>IF(OR(テーブル1[[#This Row],[最終合格校]]&lt;&gt;"",テーブル1[[#This Row],[進路区分]]="進学未定",テーブル1[[#This Row],[出願経験]]="有"),"○","")&amp;F155</f>
        <v/>
      </c>
      <c r="K155" t="str">
        <f t="shared" si="6"/>
        <v/>
      </c>
      <c r="L155" t="str">
        <f t="shared" si="7"/>
        <v/>
      </c>
      <c r="M155" t="str">
        <f t="shared" si="8"/>
        <v/>
      </c>
      <c r="N155" t="str">
        <f>テーブル1[[#This Row],[大学・大学院]]&amp;テーブル1[[#This Row],[専門学校]]</f>
        <v/>
      </c>
    </row>
    <row r="156" spans="1:14" x14ac:dyDescent="0.4">
      <c r="A156" s="4">
        <v>2304020</v>
      </c>
      <c r="B156" s="5" t="s">
        <v>82</v>
      </c>
      <c r="C156" t="s">
        <v>220</v>
      </c>
      <c r="D156" t="s">
        <v>486</v>
      </c>
      <c r="E156" t="s">
        <v>15</v>
      </c>
      <c r="F156" t="s">
        <v>468</v>
      </c>
      <c r="G156" t="s">
        <v>307</v>
      </c>
      <c r="J156" t="str">
        <f>IF(OR(テーブル1[[#This Row],[最終合格校]]&lt;&gt;"",テーブル1[[#This Row],[進路区分]]="進学未定",テーブル1[[#This Row],[出願経験]]="有"),"○","")&amp;F156</f>
        <v>○日本コンピュータ専門学校</v>
      </c>
      <c r="K156" t="str">
        <f t="shared" si="6"/>
        <v>専門学校</v>
      </c>
      <c r="L156" t="str">
        <f t="shared" si="7"/>
        <v/>
      </c>
      <c r="M156" t="str">
        <f t="shared" si="8"/>
        <v>日本コンピュータ専門学校</v>
      </c>
      <c r="N156" t="str">
        <f>テーブル1[[#This Row],[大学・大学院]]&amp;テーブル1[[#This Row],[専門学校]]</f>
        <v>日本コンピュータ専門学校</v>
      </c>
    </row>
    <row r="157" spans="1:14" x14ac:dyDescent="0.4">
      <c r="A157" s="4">
        <v>2304022</v>
      </c>
      <c r="B157" s="5" t="s">
        <v>82</v>
      </c>
      <c r="C157" t="s">
        <v>358</v>
      </c>
      <c r="D157" t="s">
        <v>486</v>
      </c>
      <c r="E157" t="s">
        <v>15</v>
      </c>
      <c r="F157" t="s">
        <v>325</v>
      </c>
      <c r="G157" t="s">
        <v>307</v>
      </c>
      <c r="J157" t="str">
        <f>IF(OR(テーブル1[[#This Row],[最終合格校]]&lt;&gt;"",テーブル1[[#This Row],[進路区分]]="進学未定",テーブル1[[#This Row],[出願経験]]="有"),"○","")&amp;F157</f>
        <v>○専門学校アートカレッジ神戸</v>
      </c>
      <c r="K157" t="str">
        <f t="shared" si="6"/>
        <v>専門学校</v>
      </c>
      <c r="L157" t="str">
        <f t="shared" si="7"/>
        <v/>
      </c>
      <c r="M157" t="str">
        <f t="shared" si="8"/>
        <v>専門学校アートカレッジ神戸</v>
      </c>
      <c r="N157" t="str">
        <f>テーブル1[[#This Row],[大学・大学院]]&amp;テーブル1[[#This Row],[専門学校]]</f>
        <v>専門学校アートカレッジ神戸</v>
      </c>
    </row>
    <row r="158" spans="1:14" x14ac:dyDescent="0.4">
      <c r="A158" s="4">
        <v>2304045</v>
      </c>
      <c r="B158" s="5" t="s">
        <v>82</v>
      </c>
      <c r="C158" t="s">
        <v>221</v>
      </c>
      <c r="D158" t="s">
        <v>486</v>
      </c>
      <c r="E158" t="s">
        <v>15</v>
      </c>
      <c r="F158" t="s">
        <v>310</v>
      </c>
      <c r="G158" t="s">
        <v>307</v>
      </c>
      <c r="J158" t="str">
        <f>IF(OR(テーブル1[[#This Row],[最終合格校]]&lt;&gt;"",テーブル1[[#This Row],[進路区分]]="進学未定",テーブル1[[#This Row],[出願経験]]="有"),"○","")&amp;F158</f>
        <v>○東亜経理専門学校</v>
      </c>
      <c r="K158" t="str">
        <f t="shared" si="6"/>
        <v>専門学校</v>
      </c>
      <c r="L158" t="str">
        <f t="shared" si="7"/>
        <v/>
      </c>
      <c r="M158" t="str">
        <f t="shared" si="8"/>
        <v>東亜経理専門学校</v>
      </c>
      <c r="N158" t="str">
        <f>テーブル1[[#This Row],[大学・大学院]]&amp;テーブル1[[#This Row],[専門学校]]</f>
        <v>東亜経理専門学校</v>
      </c>
    </row>
    <row r="159" spans="1:14" x14ac:dyDescent="0.4">
      <c r="A159" s="4">
        <v>2307016</v>
      </c>
      <c r="B159" s="5" t="s">
        <v>82</v>
      </c>
      <c r="C159" t="s">
        <v>413</v>
      </c>
      <c r="D159" t="s">
        <v>486</v>
      </c>
      <c r="E159" t="s">
        <v>15</v>
      </c>
      <c r="F159" t="s">
        <v>403</v>
      </c>
      <c r="G159" t="s">
        <v>307</v>
      </c>
      <c r="J159" t="str">
        <f>IF(OR(テーブル1[[#This Row],[最終合格校]]&lt;&gt;"",テーブル1[[#This Row],[進路区分]]="進学未定",テーブル1[[#This Row],[出願経験]]="有"),"○","")&amp;F159</f>
        <v>○麻生専門学校</v>
      </c>
      <c r="K159" t="str">
        <f t="shared" si="6"/>
        <v>専門学校</v>
      </c>
      <c r="L159" t="str">
        <f t="shared" si="7"/>
        <v/>
      </c>
      <c r="M159" t="str">
        <f t="shared" si="8"/>
        <v>麻生専門学校</v>
      </c>
      <c r="N159" t="str">
        <f>テーブル1[[#This Row],[大学・大学院]]&amp;テーブル1[[#This Row],[専門学校]]</f>
        <v>麻生専門学校</v>
      </c>
    </row>
    <row r="160" spans="1:14" x14ac:dyDescent="0.4">
      <c r="A160" s="4">
        <v>2307019</v>
      </c>
      <c r="B160" s="5" t="s">
        <v>82</v>
      </c>
      <c r="C160" t="s">
        <v>222</v>
      </c>
      <c r="D160" t="s">
        <v>486</v>
      </c>
      <c r="E160" t="s">
        <v>15</v>
      </c>
      <c r="F160" t="s">
        <v>340</v>
      </c>
      <c r="G160" t="s">
        <v>307</v>
      </c>
      <c r="J160" t="str">
        <f>IF(OR(テーブル1[[#This Row],[最終合格校]]&lt;&gt;"",テーブル1[[#This Row],[進路区分]]="進学未定",テーブル1[[#This Row],[出願経験]]="有"),"○","")&amp;F160</f>
        <v>○ECCコンピュータ専門学校</v>
      </c>
      <c r="K160" t="str">
        <f t="shared" si="6"/>
        <v>専門学校</v>
      </c>
      <c r="L160" t="str">
        <f t="shared" si="7"/>
        <v/>
      </c>
      <c r="M160" t="str">
        <f t="shared" si="8"/>
        <v>ECCコンピュータ専門学校</v>
      </c>
      <c r="N160" t="str">
        <f>テーブル1[[#This Row],[大学・大学院]]&amp;テーブル1[[#This Row],[専門学校]]</f>
        <v>ECCコンピュータ専門学校</v>
      </c>
    </row>
    <row r="161" spans="1:14" x14ac:dyDescent="0.4">
      <c r="A161" s="4">
        <v>2307020</v>
      </c>
      <c r="B161" s="5" t="s">
        <v>82</v>
      </c>
      <c r="C161" t="s">
        <v>223</v>
      </c>
      <c r="D161" t="s">
        <v>486</v>
      </c>
      <c r="E161" t="s">
        <v>15</v>
      </c>
      <c r="F161" t="s">
        <v>340</v>
      </c>
      <c r="G161" t="s">
        <v>307</v>
      </c>
      <c r="J161" t="str">
        <f>IF(OR(テーブル1[[#This Row],[最終合格校]]&lt;&gt;"",テーブル1[[#This Row],[進路区分]]="進学未定",テーブル1[[#This Row],[出願経験]]="有"),"○","")&amp;F161</f>
        <v>○ECCコンピュータ専門学校</v>
      </c>
      <c r="K161" t="str">
        <f t="shared" si="6"/>
        <v>専門学校</v>
      </c>
      <c r="L161" t="str">
        <f t="shared" si="7"/>
        <v/>
      </c>
      <c r="M161" t="str">
        <f t="shared" si="8"/>
        <v>ECCコンピュータ専門学校</v>
      </c>
      <c r="N161" t="str">
        <f>テーブル1[[#This Row],[大学・大学院]]&amp;テーブル1[[#This Row],[専門学校]]</f>
        <v>ECCコンピュータ専門学校</v>
      </c>
    </row>
    <row r="162" spans="1:14" x14ac:dyDescent="0.4">
      <c r="A162" s="4">
        <v>2307029</v>
      </c>
      <c r="B162" s="5" t="s">
        <v>82</v>
      </c>
      <c r="C162" t="s">
        <v>224</v>
      </c>
      <c r="D162" t="s">
        <v>486</v>
      </c>
      <c r="E162" t="s">
        <v>15</v>
      </c>
      <c r="F162" t="s">
        <v>323</v>
      </c>
      <c r="G162" t="s">
        <v>307</v>
      </c>
      <c r="J162" t="str">
        <f>IF(OR(テーブル1[[#This Row],[最終合格校]]&lt;&gt;"",テーブル1[[#This Row],[進路区分]]="進学未定",テーブル1[[#This Row],[出願経験]]="有"),"○","")&amp;F162</f>
        <v>○関西国際旅行・ホテル専門学校</v>
      </c>
      <c r="K162" t="str">
        <f t="shared" si="6"/>
        <v>専門学校</v>
      </c>
      <c r="L162" t="str">
        <f t="shared" si="7"/>
        <v/>
      </c>
      <c r="M162" t="str">
        <f t="shared" si="8"/>
        <v>関西国際旅行・ホテル専門学校</v>
      </c>
      <c r="N162" t="str">
        <f>テーブル1[[#This Row],[大学・大学院]]&amp;テーブル1[[#This Row],[専門学校]]</f>
        <v>関西国際旅行・ホテル専門学校</v>
      </c>
    </row>
    <row r="163" spans="1:14" x14ac:dyDescent="0.4">
      <c r="A163" s="4">
        <v>2307033</v>
      </c>
      <c r="B163" s="5" t="s">
        <v>82</v>
      </c>
      <c r="C163" t="s">
        <v>225</v>
      </c>
      <c r="D163" t="s">
        <v>486</v>
      </c>
      <c r="E163" t="s">
        <v>15</v>
      </c>
      <c r="F163" t="s">
        <v>325</v>
      </c>
      <c r="G163" t="s">
        <v>307</v>
      </c>
      <c r="J163" t="str">
        <f>IF(OR(テーブル1[[#This Row],[最終合格校]]&lt;&gt;"",テーブル1[[#This Row],[進路区分]]="進学未定",テーブル1[[#This Row],[出願経験]]="有"),"○","")&amp;F163</f>
        <v>○専門学校アートカレッジ神戸</v>
      </c>
      <c r="K163" t="str">
        <f t="shared" si="6"/>
        <v>専門学校</v>
      </c>
      <c r="L163" t="str">
        <f t="shared" si="7"/>
        <v/>
      </c>
      <c r="M163" t="str">
        <f t="shared" si="8"/>
        <v>専門学校アートカレッジ神戸</v>
      </c>
      <c r="N163" t="str">
        <f>テーブル1[[#This Row],[大学・大学院]]&amp;テーブル1[[#This Row],[専門学校]]</f>
        <v>専門学校アートカレッジ神戸</v>
      </c>
    </row>
    <row r="164" spans="1:14" x14ac:dyDescent="0.4">
      <c r="A164" s="4">
        <v>2307042</v>
      </c>
      <c r="B164" s="5" t="s">
        <v>82</v>
      </c>
      <c r="C164" t="s">
        <v>345</v>
      </c>
      <c r="D164" t="s">
        <v>486</v>
      </c>
      <c r="E164" t="s">
        <v>15</v>
      </c>
      <c r="F164" t="s">
        <v>333</v>
      </c>
      <c r="G164" t="s">
        <v>307</v>
      </c>
      <c r="J164" t="str">
        <f>IF(OR(テーブル1[[#This Row],[最終合格校]]&lt;&gt;"",テーブル1[[#This Row],[進路区分]]="進学未定",テーブル1[[#This Row],[出願経験]]="有"),"○","")&amp;F164</f>
        <v>○国際観光専門学校名古屋校</v>
      </c>
      <c r="K164" t="str">
        <f t="shared" si="6"/>
        <v>専門学校</v>
      </c>
      <c r="L164" t="str">
        <f t="shared" si="7"/>
        <v/>
      </c>
      <c r="M164" t="str">
        <f t="shared" si="8"/>
        <v>国際観光専門学校名古屋校</v>
      </c>
      <c r="N164" t="str">
        <f>テーブル1[[#This Row],[大学・大学院]]&amp;テーブル1[[#This Row],[専門学校]]</f>
        <v>国際観光専門学校名古屋校</v>
      </c>
    </row>
    <row r="165" spans="1:14" x14ac:dyDescent="0.4">
      <c r="A165" s="4">
        <v>2307043</v>
      </c>
      <c r="B165" s="5" t="s">
        <v>82</v>
      </c>
      <c r="C165" t="s">
        <v>356</v>
      </c>
      <c r="D165" t="s">
        <v>486</v>
      </c>
      <c r="E165" t="s">
        <v>15</v>
      </c>
      <c r="F165" t="s">
        <v>334</v>
      </c>
      <c r="G165" t="s">
        <v>307</v>
      </c>
      <c r="J165" t="str">
        <f>IF(OR(テーブル1[[#This Row],[最終合格校]]&lt;&gt;"",テーブル1[[#This Row],[進路区分]]="進学未定",テーブル1[[#This Row],[出願経験]]="有"),"○","")&amp;F165</f>
        <v>○日本デザイナー芸術学院</v>
      </c>
      <c r="K165" t="str">
        <f t="shared" si="6"/>
        <v>専門学校</v>
      </c>
      <c r="L165" t="str">
        <f t="shared" si="7"/>
        <v/>
      </c>
      <c r="M165" t="str">
        <f t="shared" si="8"/>
        <v>日本デザイナー芸術学院</v>
      </c>
      <c r="N165" t="str">
        <f>テーブル1[[#This Row],[大学・大学院]]&amp;テーブル1[[#This Row],[専門学校]]</f>
        <v>日本デザイナー芸術学院</v>
      </c>
    </row>
    <row r="166" spans="1:14" x14ac:dyDescent="0.4">
      <c r="A166" s="4">
        <v>2307054</v>
      </c>
      <c r="B166" s="5" t="s">
        <v>82</v>
      </c>
      <c r="C166" t="s">
        <v>346</v>
      </c>
      <c r="D166" t="s">
        <v>486</v>
      </c>
      <c r="E166" t="s">
        <v>15</v>
      </c>
      <c r="F166" t="s">
        <v>314</v>
      </c>
      <c r="G166" t="s">
        <v>307</v>
      </c>
      <c r="J166" t="str">
        <f>IF(OR(テーブル1[[#This Row],[最終合格校]]&lt;&gt;"",テーブル1[[#This Row],[進路区分]]="進学未定",テーブル1[[#This Row],[出願経験]]="有"),"○","")&amp;F166</f>
        <v>○駿台観光＆外語ビジネス専門学校</v>
      </c>
      <c r="K166" t="str">
        <f t="shared" si="6"/>
        <v>専門学校</v>
      </c>
      <c r="L166" t="str">
        <f t="shared" si="7"/>
        <v/>
      </c>
      <c r="M166" t="str">
        <f t="shared" si="8"/>
        <v>駿台観光＆外語ビジネス専門学校</v>
      </c>
      <c r="N166" t="str">
        <f>テーブル1[[#This Row],[大学・大学院]]&amp;テーブル1[[#This Row],[専門学校]]</f>
        <v>駿台観光＆外語ビジネス専門学校</v>
      </c>
    </row>
    <row r="167" spans="1:14" x14ac:dyDescent="0.4">
      <c r="A167" s="4">
        <v>2307065</v>
      </c>
      <c r="B167" s="5" t="s">
        <v>82</v>
      </c>
      <c r="C167" t="s">
        <v>226</v>
      </c>
      <c r="D167" t="s">
        <v>486</v>
      </c>
      <c r="E167" t="s">
        <v>15</v>
      </c>
      <c r="F167" t="s">
        <v>324</v>
      </c>
      <c r="G167" t="s">
        <v>307</v>
      </c>
      <c r="J167" t="str">
        <f>IF(OR(テーブル1[[#This Row],[最終合格校]]&lt;&gt;"",テーブル1[[#This Row],[進路区分]]="進学未定",テーブル1[[#This Row],[出願経験]]="有"),"○","")&amp;F167</f>
        <v>○中央美術学園</v>
      </c>
      <c r="K167" t="str">
        <f t="shared" si="6"/>
        <v>専門学校</v>
      </c>
      <c r="L167" t="str">
        <f t="shared" si="7"/>
        <v/>
      </c>
      <c r="M167" t="str">
        <f t="shared" si="8"/>
        <v>中央美術学園</v>
      </c>
      <c r="N167" t="str">
        <f>テーブル1[[#This Row],[大学・大学院]]&amp;テーブル1[[#This Row],[専門学校]]</f>
        <v>中央美術学園</v>
      </c>
    </row>
    <row r="168" spans="1:14" x14ac:dyDescent="0.4">
      <c r="A168" s="4">
        <v>2307068</v>
      </c>
      <c r="B168" s="5" t="s">
        <v>82</v>
      </c>
      <c r="C168" t="s">
        <v>227</v>
      </c>
      <c r="D168" t="s">
        <v>486</v>
      </c>
      <c r="E168" t="s">
        <v>15</v>
      </c>
      <c r="F168" t="s">
        <v>324</v>
      </c>
      <c r="G168" t="s">
        <v>307</v>
      </c>
      <c r="J168" t="str">
        <f>IF(OR(テーブル1[[#This Row],[最終合格校]]&lt;&gt;"",テーブル1[[#This Row],[進路区分]]="進学未定",テーブル1[[#This Row],[出願経験]]="有"),"○","")&amp;F168</f>
        <v>○中央美術学園</v>
      </c>
      <c r="K168" t="str">
        <f t="shared" si="6"/>
        <v>専門学校</v>
      </c>
      <c r="L168" t="str">
        <f t="shared" si="7"/>
        <v/>
      </c>
      <c r="M168" t="str">
        <f t="shared" si="8"/>
        <v>中央美術学園</v>
      </c>
      <c r="N168" t="str">
        <f>テーブル1[[#This Row],[大学・大学院]]&amp;テーブル1[[#This Row],[専門学校]]</f>
        <v>中央美術学園</v>
      </c>
    </row>
    <row r="169" spans="1:14" x14ac:dyDescent="0.4">
      <c r="A169" s="4">
        <v>2307069</v>
      </c>
      <c r="B169" s="5" t="s">
        <v>82</v>
      </c>
      <c r="C169" t="s">
        <v>406</v>
      </c>
      <c r="D169" t="s">
        <v>486</v>
      </c>
      <c r="E169" t="s">
        <v>14</v>
      </c>
      <c r="F169" t="s">
        <v>404</v>
      </c>
      <c r="G169" t="s">
        <v>307</v>
      </c>
      <c r="J169" t="str">
        <f>IF(OR(テーブル1[[#This Row],[最終合格校]]&lt;&gt;"",テーブル1[[#This Row],[進路区分]]="進学未定",テーブル1[[#This Row],[出願経験]]="有"),"○","")&amp;F169</f>
        <v>○関西国際大学</v>
      </c>
      <c r="K169" t="str">
        <f t="shared" si="6"/>
        <v>大学</v>
      </c>
      <c r="L169" t="str">
        <f t="shared" si="7"/>
        <v>関西国際大学</v>
      </c>
      <c r="M169" t="str">
        <f t="shared" si="8"/>
        <v/>
      </c>
      <c r="N169" t="str">
        <f>テーブル1[[#This Row],[大学・大学院]]&amp;テーブル1[[#This Row],[専門学校]]</f>
        <v>関西国際大学</v>
      </c>
    </row>
    <row r="170" spans="1:14" x14ac:dyDescent="0.4">
      <c r="A170" s="4">
        <v>2307070</v>
      </c>
      <c r="B170" s="5" t="s">
        <v>82</v>
      </c>
      <c r="C170" t="s">
        <v>228</v>
      </c>
      <c r="D170" t="s">
        <v>486</v>
      </c>
      <c r="E170" t="s">
        <v>15</v>
      </c>
      <c r="F170" t="s">
        <v>384</v>
      </c>
      <c r="G170" t="s">
        <v>307</v>
      </c>
      <c r="J170" t="str">
        <f>IF(OR(テーブル1[[#This Row],[最終合格校]]&lt;&gt;"",テーブル1[[#This Row],[進路区分]]="進学未定",テーブル1[[#This Row],[出願経験]]="有"),"○","")&amp;F170</f>
        <v>○神戸電子専門学校</v>
      </c>
      <c r="K170" t="str">
        <f t="shared" si="6"/>
        <v>専門学校</v>
      </c>
      <c r="L170" t="str">
        <f t="shared" si="7"/>
        <v/>
      </c>
      <c r="M170" t="str">
        <f t="shared" si="8"/>
        <v>神戸電子専門学校</v>
      </c>
      <c r="N170" t="str">
        <f>テーブル1[[#This Row],[大学・大学院]]&amp;テーブル1[[#This Row],[専門学校]]</f>
        <v>神戸電子専門学校</v>
      </c>
    </row>
    <row r="171" spans="1:14" x14ac:dyDescent="0.4">
      <c r="A171" s="4">
        <v>2307089</v>
      </c>
      <c r="B171" s="5" t="s">
        <v>82</v>
      </c>
      <c r="C171" t="s">
        <v>229</v>
      </c>
      <c r="D171" t="s">
        <v>486</v>
      </c>
      <c r="E171" t="s">
        <v>15</v>
      </c>
      <c r="F171" t="s">
        <v>469</v>
      </c>
      <c r="G171" t="s">
        <v>307</v>
      </c>
      <c r="J171" t="str">
        <f>IF(OR(テーブル1[[#This Row],[最終合格校]]&lt;&gt;"",テーブル1[[#This Row],[進路区分]]="進学未定",テーブル1[[#This Row],[出願経験]]="有"),"○","")&amp;F171</f>
        <v>○専門学校日本デジタルカレッジ</v>
      </c>
      <c r="K171" t="str">
        <f t="shared" si="6"/>
        <v>専門学校</v>
      </c>
      <c r="L171" t="str">
        <f t="shared" si="7"/>
        <v/>
      </c>
      <c r="M171" t="str">
        <f t="shared" si="8"/>
        <v>専門学校日本デジタルカレッジ</v>
      </c>
      <c r="N171" t="str">
        <f>テーブル1[[#This Row],[大学・大学院]]&amp;テーブル1[[#This Row],[専門学校]]</f>
        <v>専門学校日本デジタルカレッジ</v>
      </c>
    </row>
    <row r="172" spans="1:14" x14ac:dyDescent="0.4">
      <c r="A172" s="4">
        <v>2307090</v>
      </c>
      <c r="B172" s="5" t="s">
        <v>82</v>
      </c>
      <c r="C172" t="s">
        <v>230</v>
      </c>
      <c r="D172" t="s">
        <v>486</v>
      </c>
      <c r="E172" t="s">
        <v>15</v>
      </c>
      <c r="F172" t="s">
        <v>470</v>
      </c>
      <c r="G172" t="s">
        <v>307</v>
      </c>
      <c r="J172" t="str">
        <f>IF(OR(テーブル1[[#This Row],[最終合格校]]&lt;&gt;"",テーブル1[[#This Row],[進路区分]]="進学未定",テーブル1[[#This Row],[出願経験]]="有"),"○","")&amp;F172</f>
        <v>○日本コンピュータ専門学校</v>
      </c>
      <c r="K172" t="str">
        <f t="shared" si="6"/>
        <v>専門学校</v>
      </c>
      <c r="L172" t="str">
        <f t="shared" si="7"/>
        <v/>
      </c>
      <c r="M172" t="str">
        <f t="shared" si="8"/>
        <v>日本コンピュータ専門学校</v>
      </c>
      <c r="N172" t="str">
        <f>テーブル1[[#This Row],[大学・大学院]]&amp;テーブル1[[#This Row],[専門学校]]</f>
        <v>日本コンピュータ専門学校</v>
      </c>
    </row>
    <row r="173" spans="1:14" x14ac:dyDescent="0.4">
      <c r="A173" s="4">
        <v>2307091</v>
      </c>
      <c r="B173" s="5" t="s">
        <v>82</v>
      </c>
      <c r="C173" t="s">
        <v>231</v>
      </c>
      <c r="D173" t="s">
        <v>486</v>
      </c>
      <c r="E173" t="s">
        <v>15</v>
      </c>
      <c r="F173" t="s">
        <v>325</v>
      </c>
      <c r="G173" t="s">
        <v>307</v>
      </c>
      <c r="J173" t="str">
        <f>IF(OR(テーブル1[[#This Row],[最終合格校]]&lt;&gt;"",テーブル1[[#This Row],[進路区分]]="進学未定",テーブル1[[#This Row],[出願経験]]="有"),"○","")&amp;F173</f>
        <v>○専門学校アートカレッジ神戸</v>
      </c>
      <c r="K173" t="str">
        <f t="shared" si="6"/>
        <v>専門学校</v>
      </c>
      <c r="L173" t="str">
        <f t="shared" si="7"/>
        <v/>
      </c>
      <c r="M173" t="str">
        <f t="shared" si="8"/>
        <v>専門学校アートカレッジ神戸</v>
      </c>
      <c r="N173" t="str">
        <f>テーブル1[[#This Row],[大学・大学院]]&amp;テーブル1[[#This Row],[専門学校]]</f>
        <v>専門学校アートカレッジ神戸</v>
      </c>
    </row>
    <row r="174" spans="1:14" x14ac:dyDescent="0.4">
      <c r="A174" s="4">
        <v>2304032</v>
      </c>
      <c r="B174" s="5" t="s">
        <v>83</v>
      </c>
      <c r="C174" t="s">
        <v>232</v>
      </c>
      <c r="D174" t="s">
        <v>486</v>
      </c>
      <c r="E174" t="s">
        <v>15</v>
      </c>
      <c r="F174" t="s">
        <v>490</v>
      </c>
      <c r="G174" t="s">
        <v>307</v>
      </c>
      <c r="J174" t="str">
        <f>IF(OR(テーブル1[[#This Row],[最終合格校]]&lt;&gt;"",テーブル1[[#This Row],[進路区分]]="進学未定",テーブル1[[#This Row],[出願経験]]="有"),"○","")&amp;F174</f>
        <v>○大阪観光ビジネス学院</v>
      </c>
      <c r="K174" t="str">
        <f t="shared" si="6"/>
        <v>専門学校</v>
      </c>
      <c r="L174" t="str">
        <f t="shared" si="7"/>
        <v/>
      </c>
      <c r="M174" t="str">
        <f t="shared" si="8"/>
        <v>大阪観光ビジネス学院</v>
      </c>
      <c r="N174" t="str">
        <f>テーブル1[[#This Row],[大学・大学院]]&amp;テーブル1[[#This Row],[専門学校]]</f>
        <v>大阪観光ビジネス学院</v>
      </c>
    </row>
    <row r="175" spans="1:14" x14ac:dyDescent="0.4">
      <c r="A175" s="4">
        <v>2304039</v>
      </c>
      <c r="B175" s="5" t="s">
        <v>83</v>
      </c>
      <c r="C175" t="s">
        <v>233</v>
      </c>
      <c r="D175" t="s">
        <v>486</v>
      </c>
      <c r="E175" t="s">
        <v>15</v>
      </c>
      <c r="F175" t="s">
        <v>323</v>
      </c>
      <c r="G175" t="s">
        <v>307</v>
      </c>
      <c r="J175" t="str">
        <f>IF(OR(テーブル1[[#This Row],[最終合格校]]&lt;&gt;"",テーブル1[[#This Row],[進路区分]]="進学未定",テーブル1[[#This Row],[出願経験]]="有"),"○","")&amp;F175</f>
        <v>○関西国際旅行・ホテル専門学校</v>
      </c>
      <c r="K175" t="str">
        <f t="shared" si="6"/>
        <v>専門学校</v>
      </c>
      <c r="L175" t="str">
        <f t="shared" si="7"/>
        <v/>
      </c>
      <c r="M175" t="str">
        <f t="shared" si="8"/>
        <v>関西国際旅行・ホテル専門学校</v>
      </c>
      <c r="N175" t="str">
        <f>テーブル1[[#This Row],[大学・大学院]]&amp;テーブル1[[#This Row],[専門学校]]</f>
        <v>関西国際旅行・ホテル専門学校</v>
      </c>
    </row>
    <row r="176" spans="1:14" x14ac:dyDescent="0.4">
      <c r="A176" s="4">
        <v>2304049</v>
      </c>
      <c r="B176" s="5" t="s">
        <v>83</v>
      </c>
      <c r="C176" t="s">
        <v>234</v>
      </c>
      <c r="D176" t="s">
        <v>486</v>
      </c>
      <c r="E176" t="s">
        <v>15</v>
      </c>
      <c r="F176" t="s">
        <v>335</v>
      </c>
      <c r="G176" t="s">
        <v>307</v>
      </c>
      <c r="J176" t="str">
        <f>IF(OR(テーブル1[[#This Row],[最終合格校]]&lt;&gt;"",テーブル1[[#This Row],[進路区分]]="進学未定",テーブル1[[#This Row],[出願経験]]="有"),"○","")&amp;F176</f>
        <v>○大阪コミュニティーワーカー専門学校</v>
      </c>
      <c r="K176" t="str">
        <f t="shared" si="6"/>
        <v>専門学校</v>
      </c>
      <c r="L176" t="str">
        <f t="shared" si="7"/>
        <v/>
      </c>
      <c r="M176" t="str">
        <f t="shared" si="8"/>
        <v>大阪コミュニティーワーカー専門学校</v>
      </c>
      <c r="N176" t="str">
        <f>テーブル1[[#This Row],[大学・大学院]]&amp;テーブル1[[#This Row],[専門学校]]</f>
        <v>大阪コミュニティーワーカー専門学校</v>
      </c>
    </row>
    <row r="177" spans="1:14" x14ac:dyDescent="0.4">
      <c r="A177" s="4">
        <v>2304113</v>
      </c>
      <c r="B177" s="5" t="s">
        <v>83</v>
      </c>
      <c r="C177" t="s">
        <v>235</v>
      </c>
      <c r="D177" t="s">
        <v>486</v>
      </c>
      <c r="E177" t="s">
        <v>15</v>
      </c>
      <c r="F177" t="s">
        <v>320</v>
      </c>
      <c r="G177" t="s">
        <v>307</v>
      </c>
      <c r="J177" t="str">
        <f>IF(OR(テーブル1[[#This Row],[最終合格校]]&lt;&gt;"",テーブル1[[#This Row],[進路区分]]="進学未定",テーブル1[[#This Row],[出願経験]]="有"),"○","")&amp;F177</f>
        <v>○東京国際ビジネスカレッジ神戸校</v>
      </c>
      <c r="K177" t="str">
        <f t="shared" si="6"/>
        <v>専門学校</v>
      </c>
      <c r="L177" t="str">
        <f t="shared" si="7"/>
        <v/>
      </c>
      <c r="M177" t="str">
        <f t="shared" si="8"/>
        <v>東京国際ビジネスカレッジ神戸校</v>
      </c>
      <c r="N177" t="str">
        <f>テーブル1[[#This Row],[大学・大学院]]&amp;テーブル1[[#This Row],[専門学校]]</f>
        <v>東京国際ビジネスカレッジ神戸校</v>
      </c>
    </row>
    <row r="178" spans="1:14" x14ac:dyDescent="0.4">
      <c r="A178" s="4">
        <v>2307006</v>
      </c>
      <c r="B178" s="5" t="s">
        <v>83</v>
      </c>
      <c r="C178" t="s">
        <v>236</v>
      </c>
      <c r="D178" t="s">
        <v>486</v>
      </c>
      <c r="E178" t="s">
        <v>15</v>
      </c>
      <c r="F178" t="s">
        <v>325</v>
      </c>
      <c r="G178" t="s">
        <v>307</v>
      </c>
      <c r="J178" t="str">
        <f>IF(OR(テーブル1[[#This Row],[最終合格校]]&lt;&gt;"",テーブル1[[#This Row],[進路区分]]="進学未定",テーブル1[[#This Row],[出願経験]]="有"),"○","")&amp;F178</f>
        <v>○専門学校アートカレッジ神戸</v>
      </c>
      <c r="K178" t="str">
        <f t="shared" si="6"/>
        <v>専門学校</v>
      </c>
      <c r="L178" t="str">
        <f t="shared" si="7"/>
        <v/>
      </c>
      <c r="M178" t="str">
        <f t="shared" si="8"/>
        <v>専門学校アートカレッジ神戸</v>
      </c>
      <c r="N178" t="str">
        <f>テーブル1[[#This Row],[大学・大学院]]&amp;テーブル1[[#This Row],[専門学校]]</f>
        <v>専門学校アートカレッジ神戸</v>
      </c>
    </row>
    <row r="179" spans="1:14" x14ac:dyDescent="0.4">
      <c r="A179" s="4">
        <v>2307025</v>
      </c>
      <c r="B179" s="5" t="s">
        <v>83</v>
      </c>
      <c r="C179" t="s">
        <v>237</v>
      </c>
      <c r="D179" t="s">
        <v>486</v>
      </c>
      <c r="E179" t="s">
        <v>15</v>
      </c>
      <c r="F179" t="s">
        <v>336</v>
      </c>
      <c r="G179" t="s">
        <v>307</v>
      </c>
      <c r="J179" t="str">
        <f>IF(OR(テーブル1[[#This Row],[最終合格校]]&lt;&gt;"",テーブル1[[#This Row],[進路区分]]="進学未定",テーブル1[[#This Row],[出願経験]]="有"),"○","")&amp;F179</f>
        <v>○ポプラ介護福祉学校</v>
      </c>
      <c r="K179" t="str">
        <f t="shared" si="6"/>
        <v>専門学校</v>
      </c>
      <c r="L179" t="str">
        <f t="shared" si="7"/>
        <v/>
      </c>
      <c r="M179" t="str">
        <f t="shared" si="8"/>
        <v>ポプラ介護福祉学校</v>
      </c>
      <c r="N179" t="str">
        <f>テーブル1[[#This Row],[大学・大学院]]&amp;テーブル1[[#This Row],[専門学校]]</f>
        <v>ポプラ介護福祉学校</v>
      </c>
    </row>
    <row r="180" spans="1:14" x14ac:dyDescent="0.4">
      <c r="A180" s="4">
        <v>2307044</v>
      </c>
      <c r="B180" s="5" t="s">
        <v>83</v>
      </c>
      <c r="C180" t="s">
        <v>238</v>
      </c>
      <c r="D180" t="s">
        <v>486</v>
      </c>
      <c r="E180" t="s">
        <v>15</v>
      </c>
      <c r="F180" t="s">
        <v>310</v>
      </c>
      <c r="G180" t="s">
        <v>307</v>
      </c>
      <c r="J180" t="str">
        <f>IF(OR(テーブル1[[#This Row],[最終合格校]]&lt;&gt;"",テーブル1[[#This Row],[進路区分]]="進学未定",テーブル1[[#This Row],[出願経験]]="有"),"○","")&amp;F180</f>
        <v>○東亜経理専門学校</v>
      </c>
      <c r="K180" t="str">
        <f t="shared" si="6"/>
        <v>専門学校</v>
      </c>
      <c r="L180" t="str">
        <f t="shared" si="7"/>
        <v/>
      </c>
      <c r="M180" t="str">
        <f t="shared" si="8"/>
        <v>東亜経理専門学校</v>
      </c>
      <c r="N180" t="str">
        <f>テーブル1[[#This Row],[大学・大学院]]&amp;テーブル1[[#This Row],[専門学校]]</f>
        <v>東亜経理専門学校</v>
      </c>
    </row>
    <row r="181" spans="1:14" x14ac:dyDescent="0.4">
      <c r="A181" s="4">
        <v>2307049</v>
      </c>
      <c r="B181" s="5" t="s">
        <v>83</v>
      </c>
      <c r="C181" t="s">
        <v>239</v>
      </c>
      <c r="D181" t="s">
        <v>486</v>
      </c>
      <c r="E181" t="s">
        <v>15</v>
      </c>
      <c r="F181" t="s">
        <v>490</v>
      </c>
      <c r="G181" t="s">
        <v>307</v>
      </c>
      <c r="J181" t="str">
        <f>IF(OR(テーブル1[[#This Row],[最終合格校]]&lt;&gt;"",テーブル1[[#This Row],[進路区分]]="進学未定",テーブル1[[#This Row],[出願経験]]="有"),"○","")&amp;F181</f>
        <v>○大阪観光ビジネス学院</v>
      </c>
      <c r="K181" t="str">
        <f t="shared" si="6"/>
        <v>専門学校</v>
      </c>
      <c r="L181" t="str">
        <f t="shared" si="7"/>
        <v/>
      </c>
      <c r="M181" t="str">
        <f t="shared" si="8"/>
        <v>大阪観光ビジネス学院</v>
      </c>
      <c r="N181" t="str">
        <f>テーブル1[[#This Row],[大学・大学院]]&amp;テーブル1[[#This Row],[専門学校]]</f>
        <v>大阪観光ビジネス学院</v>
      </c>
    </row>
    <row r="182" spans="1:14" x14ac:dyDescent="0.4">
      <c r="A182" s="4">
        <v>2307056</v>
      </c>
      <c r="B182" s="5" t="s">
        <v>83</v>
      </c>
      <c r="C182" t="s">
        <v>240</v>
      </c>
      <c r="D182" t="s">
        <v>486</v>
      </c>
      <c r="E182" t="s">
        <v>15</v>
      </c>
      <c r="F182" t="s">
        <v>319</v>
      </c>
      <c r="G182" t="s">
        <v>307</v>
      </c>
      <c r="J182" t="str">
        <f>IF(OR(テーブル1[[#This Row],[最終合格校]]&lt;&gt;"",テーブル1[[#This Row],[進路区分]]="進学未定",テーブル1[[#This Row],[出願経験]]="有"),"○","")&amp;F182</f>
        <v>○太田工科専門学校</v>
      </c>
      <c r="K182" t="str">
        <f t="shared" si="6"/>
        <v>専門学校</v>
      </c>
      <c r="L182" t="str">
        <f t="shared" si="7"/>
        <v/>
      </c>
      <c r="M182" t="str">
        <f t="shared" si="8"/>
        <v>太田工科専門学校</v>
      </c>
      <c r="N182" t="str">
        <f>テーブル1[[#This Row],[大学・大学院]]&amp;テーブル1[[#This Row],[専門学校]]</f>
        <v>太田工科専門学校</v>
      </c>
    </row>
    <row r="183" spans="1:14" x14ac:dyDescent="0.4">
      <c r="A183" s="4">
        <v>2307058</v>
      </c>
      <c r="B183" s="5" t="s">
        <v>83</v>
      </c>
      <c r="C183" t="s">
        <v>352</v>
      </c>
      <c r="D183" t="s">
        <v>486</v>
      </c>
      <c r="E183" t="s">
        <v>15</v>
      </c>
      <c r="F183" t="s">
        <v>351</v>
      </c>
      <c r="G183" t="s">
        <v>307</v>
      </c>
      <c r="J183" t="str">
        <f>IF(OR(テーブル1[[#This Row],[最終合格校]]&lt;&gt;"",テーブル1[[#This Row],[進路区分]]="進学未定",テーブル1[[#This Row],[出願経験]]="有"),"○","")&amp;F183</f>
        <v>○東京マルチ・AI専門学校</v>
      </c>
      <c r="K183" t="str">
        <f t="shared" si="6"/>
        <v>専門学校</v>
      </c>
      <c r="L183" t="str">
        <f t="shared" si="7"/>
        <v/>
      </c>
      <c r="M183" t="str">
        <f t="shared" si="8"/>
        <v>東京マルチ・AI専門学校</v>
      </c>
      <c r="N183" t="str">
        <f>テーブル1[[#This Row],[大学・大学院]]&amp;テーブル1[[#This Row],[専門学校]]</f>
        <v>東京マルチ・AI専門学校</v>
      </c>
    </row>
    <row r="184" spans="1:14" x14ac:dyDescent="0.4">
      <c r="A184" s="4">
        <v>2307059</v>
      </c>
      <c r="B184" s="5" t="s">
        <v>83</v>
      </c>
      <c r="C184" t="s">
        <v>241</v>
      </c>
      <c r="D184" t="s">
        <v>486</v>
      </c>
      <c r="E184" t="s">
        <v>15</v>
      </c>
      <c r="F184" t="s">
        <v>324</v>
      </c>
      <c r="G184" t="s">
        <v>307</v>
      </c>
      <c r="J184" t="str">
        <f>IF(OR(テーブル1[[#This Row],[最終合格校]]&lt;&gt;"",テーブル1[[#This Row],[進路区分]]="進学未定",テーブル1[[#This Row],[出願経験]]="有"),"○","")&amp;F184</f>
        <v>○中央美術学園</v>
      </c>
      <c r="K184" t="str">
        <f t="shared" si="6"/>
        <v>専門学校</v>
      </c>
      <c r="L184" t="str">
        <f t="shared" si="7"/>
        <v/>
      </c>
      <c r="M184" t="str">
        <f t="shared" si="8"/>
        <v>中央美術学園</v>
      </c>
      <c r="N184" t="str">
        <f>テーブル1[[#This Row],[大学・大学院]]&amp;テーブル1[[#This Row],[専門学校]]</f>
        <v>中央美術学園</v>
      </c>
    </row>
    <row r="185" spans="1:14" x14ac:dyDescent="0.4">
      <c r="A185" s="4">
        <v>2307060</v>
      </c>
      <c r="B185" s="5" t="s">
        <v>83</v>
      </c>
      <c r="C185" t="s">
        <v>342</v>
      </c>
      <c r="D185" t="s">
        <v>486</v>
      </c>
      <c r="E185" t="s">
        <v>15</v>
      </c>
      <c r="F185" t="s">
        <v>337</v>
      </c>
      <c r="G185" t="s">
        <v>307</v>
      </c>
      <c r="J185" t="str">
        <f>IF(OR(テーブル1[[#This Row],[最終合格校]]&lt;&gt;"",テーブル1[[#This Row],[進路区分]]="進学未定",テーブル1[[#This Row],[出願経験]]="有"),"○","")&amp;F185</f>
        <v>○GIA 専門学校 新潟国際自動車大学校</v>
      </c>
      <c r="K185" t="str">
        <f t="shared" si="6"/>
        <v>専門学校</v>
      </c>
      <c r="L185" t="str">
        <f t="shared" si="7"/>
        <v/>
      </c>
      <c r="M185" t="str">
        <f t="shared" si="8"/>
        <v>GIA 専門学校 新潟国際自動車大学校</v>
      </c>
      <c r="N185" t="str">
        <f>テーブル1[[#This Row],[大学・大学院]]&amp;テーブル1[[#This Row],[専門学校]]</f>
        <v>GIA 専門学校 新潟国際自動車大学校</v>
      </c>
    </row>
    <row r="186" spans="1:14" x14ac:dyDescent="0.4">
      <c r="A186" s="4">
        <v>2307061</v>
      </c>
      <c r="B186" s="5" t="s">
        <v>83</v>
      </c>
      <c r="C186" t="s">
        <v>471</v>
      </c>
      <c r="D186" t="s">
        <v>486</v>
      </c>
      <c r="E186" t="s">
        <v>15</v>
      </c>
      <c r="F186" t="s">
        <v>323</v>
      </c>
      <c r="G186" t="s">
        <v>307</v>
      </c>
      <c r="J186" t="str">
        <f>IF(OR(テーブル1[[#This Row],[最終合格校]]&lt;&gt;"",テーブル1[[#This Row],[進路区分]]="進学未定",テーブル1[[#This Row],[出願経験]]="有"),"○","")&amp;F186</f>
        <v>○関西国際旅行・ホテル専門学校</v>
      </c>
      <c r="K186" t="str">
        <f t="shared" si="6"/>
        <v>専門学校</v>
      </c>
      <c r="L186" t="str">
        <f t="shared" si="7"/>
        <v/>
      </c>
      <c r="M186" t="str">
        <f t="shared" si="8"/>
        <v>関西国際旅行・ホテル専門学校</v>
      </c>
      <c r="N186" t="str">
        <f>テーブル1[[#This Row],[大学・大学院]]&amp;テーブル1[[#This Row],[専門学校]]</f>
        <v>関西国際旅行・ホテル専門学校</v>
      </c>
    </row>
    <row r="187" spans="1:14" x14ac:dyDescent="0.4">
      <c r="A187" s="4">
        <v>2307063</v>
      </c>
      <c r="B187" s="5" t="s">
        <v>83</v>
      </c>
      <c r="C187" t="s">
        <v>242</v>
      </c>
      <c r="D187" t="s">
        <v>486</v>
      </c>
      <c r="E187" t="s">
        <v>15</v>
      </c>
      <c r="F187" t="s">
        <v>323</v>
      </c>
      <c r="G187" t="s">
        <v>307</v>
      </c>
      <c r="J187" t="str">
        <f>IF(OR(テーブル1[[#This Row],[最終合格校]]&lt;&gt;"",テーブル1[[#This Row],[進路区分]]="進学未定",テーブル1[[#This Row],[出願経験]]="有"),"○","")&amp;F187</f>
        <v>○関西国際旅行・ホテル専門学校</v>
      </c>
      <c r="K187" t="str">
        <f t="shared" si="6"/>
        <v>専門学校</v>
      </c>
      <c r="L187" t="str">
        <f t="shared" si="7"/>
        <v/>
      </c>
      <c r="M187" t="str">
        <f t="shared" si="8"/>
        <v>関西国際旅行・ホテル専門学校</v>
      </c>
      <c r="N187" t="str">
        <f>テーブル1[[#This Row],[大学・大学院]]&amp;テーブル1[[#This Row],[専門学校]]</f>
        <v>関西国際旅行・ホテル専門学校</v>
      </c>
    </row>
    <row r="188" spans="1:14" x14ac:dyDescent="0.4">
      <c r="A188" s="4">
        <v>2307064</v>
      </c>
      <c r="B188" s="5" t="s">
        <v>83</v>
      </c>
      <c r="C188" t="s">
        <v>243</v>
      </c>
      <c r="D188" t="s">
        <v>486</v>
      </c>
      <c r="E188" t="s">
        <v>15</v>
      </c>
      <c r="F188" t="s">
        <v>312</v>
      </c>
      <c r="G188" t="s">
        <v>307</v>
      </c>
      <c r="J188" t="str">
        <f>IF(OR(テーブル1[[#This Row],[最終合格校]]&lt;&gt;"",テーブル1[[#This Row],[進路区分]]="進学未定",テーブル1[[#This Row],[出願経験]]="有"),"○","")&amp;F188</f>
        <v>○関西国際旅行・ホテル専門学校</v>
      </c>
      <c r="K188" t="str">
        <f t="shared" si="6"/>
        <v>専門学校</v>
      </c>
      <c r="L188" t="str">
        <f t="shared" si="7"/>
        <v/>
      </c>
      <c r="M188" t="str">
        <f t="shared" si="8"/>
        <v>関西国際旅行・ホテル専門学校</v>
      </c>
      <c r="N188" t="str">
        <f>テーブル1[[#This Row],[大学・大学院]]&amp;テーブル1[[#This Row],[専門学校]]</f>
        <v>関西国際旅行・ホテル専門学校</v>
      </c>
    </row>
    <row r="189" spans="1:14" x14ac:dyDescent="0.4">
      <c r="A189" s="4">
        <v>2307067</v>
      </c>
      <c r="B189" s="5" t="s">
        <v>83</v>
      </c>
      <c r="C189" t="s">
        <v>244</v>
      </c>
      <c r="D189" t="s">
        <v>486</v>
      </c>
      <c r="E189" t="s">
        <v>15</v>
      </c>
      <c r="F189" t="s">
        <v>324</v>
      </c>
      <c r="G189" t="s">
        <v>307</v>
      </c>
      <c r="J189" t="str">
        <f>IF(OR(テーブル1[[#This Row],[最終合格校]]&lt;&gt;"",テーブル1[[#This Row],[進路区分]]="進学未定",テーブル1[[#This Row],[出願経験]]="有"),"○","")&amp;F189</f>
        <v>○中央美術学園</v>
      </c>
      <c r="K189" t="str">
        <f t="shared" si="6"/>
        <v>専門学校</v>
      </c>
      <c r="L189" t="str">
        <f t="shared" si="7"/>
        <v/>
      </c>
      <c r="M189" t="str">
        <f t="shared" si="8"/>
        <v>中央美術学園</v>
      </c>
      <c r="N189" t="str">
        <f>テーブル1[[#This Row],[大学・大学院]]&amp;テーブル1[[#This Row],[専門学校]]</f>
        <v>中央美術学園</v>
      </c>
    </row>
    <row r="190" spans="1:14" x14ac:dyDescent="0.4">
      <c r="A190" s="4">
        <v>2307071</v>
      </c>
      <c r="B190" s="5" t="s">
        <v>83</v>
      </c>
      <c r="C190" t="s">
        <v>245</v>
      </c>
      <c r="D190" t="s">
        <v>486</v>
      </c>
      <c r="E190" t="s">
        <v>15</v>
      </c>
      <c r="F190" t="s">
        <v>323</v>
      </c>
      <c r="G190" t="s">
        <v>307</v>
      </c>
      <c r="J190" t="str">
        <f>IF(OR(テーブル1[[#This Row],[最終合格校]]&lt;&gt;"",テーブル1[[#This Row],[進路区分]]="進学未定",テーブル1[[#This Row],[出願経験]]="有"),"○","")&amp;F190</f>
        <v>○関西国際旅行・ホテル専門学校</v>
      </c>
      <c r="K190" t="str">
        <f t="shared" si="6"/>
        <v>専門学校</v>
      </c>
      <c r="L190" t="str">
        <f t="shared" si="7"/>
        <v/>
      </c>
      <c r="M190" t="str">
        <f t="shared" si="8"/>
        <v>関西国際旅行・ホテル専門学校</v>
      </c>
      <c r="N190" t="str">
        <f>テーブル1[[#This Row],[大学・大学院]]&amp;テーブル1[[#This Row],[専門学校]]</f>
        <v>関西国際旅行・ホテル専門学校</v>
      </c>
    </row>
    <row r="191" spans="1:14" x14ac:dyDescent="0.4">
      <c r="A191" s="4">
        <v>2307074</v>
      </c>
      <c r="B191" s="5" t="s">
        <v>83</v>
      </c>
      <c r="C191" t="s">
        <v>246</v>
      </c>
      <c r="D191" t="s">
        <v>486</v>
      </c>
      <c r="E191" t="s">
        <v>386</v>
      </c>
      <c r="F191" t="s">
        <v>313</v>
      </c>
      <c r="G191" t="s">
        <v>307</v>
      </c>
      <c r="J191" t="str">
        <f>IF(OR(テーブル1[[#This Row],[最終合格校]]&lt;&gt;"",テーブル1[[#This Row],[進路区分]]="進学未定",テーブル1[[#This Row],[出願経験]]="有"),"○","")&amp;F191</f>
        <v>○神戸親和大学</v>
      </c>
      <c r="K191" t="str">
        <f t="shared" si="6"/>
        <v>大学</v>
      </c>
      <c r="L191" t="str">
        <f t="shared" si="7"/>
        <v>神戸親和大学</v>
      </c>
      <c r="M191" t="str">
        <f t="shared" si="8"/>
        <v/>
      </c>
      <c r="N191" t="str">
        <f>テーブル1[[#This Row],[大学・大学院]]&amp;テーブル1[[#This Row],[専門学校]]</f>
        <v>神戸親和大学</v>
      </c>
    </row>
    <row r="192" spans="1:14" x14ac:dyDescent="0.4">
      <c r="A192" s="4">
        <v>2307075</v>
      </c>
      <c r="B192" s="5" t="s">
        <v>83</v>
      </c>
      <c r="C192" t="s">
        <v>247</v>
      </c>
      <c r="D192" t="s">
        <v>486</v>
      </c>
      <c r="E192" t="s">
        <v>15</v>
      </c>
      <c r="F192" t="s">
        <v>319</v>
      </c>
      <c r="G192" t="s">
        <v>307</v>
      </c>
      <c r="J192" t="str">
        <f>IF(OR(テーブル1[[#This Row],[最終合格校]]&lt;&gt;"",テーブル1[[#This Row],[進路区分]]="進学未定",テーブル1[[#This Row],[出願経験]]="有"),"○","")&amp;F192</f>
        <v>○太田工科専門学校</v>
      </c>
      <c r="K192" t="str">
        <f t="shared" si="6"/>
        <v>専門学校</v>
      </c>
      <c r="L192" t="str">
        <f t="shared" si="7"/>
        <v/>
      </c>
      <c r="M192" t="str">
        <f t="shared" si="8"/>
        <v>太田工科専門学校</v>
      </c>
      <c r="N192" t="str">
        <f>テーブル1[[#This Row],[大学・大学院]]&amp;テーブル1[[#This Row],[専門学校]]</f>
        <v>太田工科専門学校</v>
      </c>
    </row>
    <row r="193" spans="1:14" x14ac:dyDescent="0.4">
      <c r="A193" s="4">
        <v>2307086</v>
      </c>
      <c r="B193" s="5" t="s">
        <v>83</v>
      </c>
      <c r="C193" t="s">
        <v>248</v>
      </c>
      <c r="D193" t="s">
        <v>486</v>
      </c>
      <c r="E193" t="s">
        <v>15</v>
      </c>
      <c r="F193" t="s">
        <v>323</v>
      </c>
      <c r="G193" t="s">
        <v>307</v>
      </c>
      <c r="J193" t="str">
        <f>IF(OR(テーブル1[[#This Row],[最終合格校]]&lt;&gt;"",テーブル1[[#This Row],[進路区分]]="進学未定",テーブル1[[#This Row],[出願経験]]="有"),"○","")&amp;F193</f>
        <v>○関西国際旅行・ホテル専門学校</v>
      </c>
      <c r="K193" t="str">
        <f t="shared" si="6"/>
        <v>専門学校</v>
      </c>
      <c r="L193" t="str">
        <f t="shared" si="7"/>
        <v/>
      </c>
      <c r="M193" t="str">
        <f t="shared" si="8"/>
        <v>関西国際旅行・ホテル専門学校</v>
      </c>
      <c r="N193" t="str">
        <f>テーブル1[[#This Row],[大学・大学院]]&amp;テーブル1[[#This Row],[専門学校]]</f>
        <v>関西国際旅行・ホテル専門学校</v>
      </c>
    </row>
    <row r="194" spans="1:14" x14ac:dyDescent="0.4">
      <c r="A194" s="4">
        <v>2304047</v>
      </c>
      <c r="B194" s="5" t="s">
        <v>84</v>
      </c>
      <c r="C194" t="s">
        <v>249</v>
      </c>
      <c r="D194" t="s">
        <v>486</v>
      </c>
      <c r="E194" t="s">
        <v>15</v>
      </c>
      <c r="F194" t="s">
        <v>318</v>
      </c>
      <c r="G194" t="s">
        <v>307</v>
      </c>
      <c r="J194" t="str">
        <f>IF(OR(テーブル1[[#This Row],[最終合格校]]&lt;&gt;"",テーブル1[[#This Row],[進路区分]]="進学未定",テーブル1[[#This Row],[出願経験]]="有"),"○","")&amp;F194</f>
        <v>○愛甲学院専門学校</v>
      </c>
      <c r="K194" t="str">
        <f t="shared" ref="K194:K253" si="9">IF(OR(D194="卒業",D194="修了",D194="延長"),E194,"")</f>
        <v>専門学校</v>
      </c>
      <c r="L194" t="str">
        <f t="shared" ref="L194:L253" si="10">IF(E194="大学",F194,IF(E194="大学院",F194,""))</f>
        <v/>
      </c>
      <c r="M194" t="str">
        <f t="shared" ref="M194:M253" si="11">IF(E194="専門学校",F194,"")</f>
        <v>愛甲学院専門学校</v>
      </c>
      <c r="N194" t="str">
        <f>テーブル1[[#This Row],[大学・大学院]]&amp;テーブル1[[#This Row],[専門学校]]</f>
        <v>愛甲学院専門学校</v>
      </c>
    </row>
    <row r="195" spans="1:14" x14ac:dyDescent="0.4">
      <c r="A195" s="4">
        <v>2304048</v>
      </c>
      <c r="B195" s="5" t="s">
        <v>84</v>
      </c>
      <c r="C195" t="s">
        <v>250</v>
      </c>
      <c r="D195" t="s">
        <v>486</v>
      </c>
      <c r="E195" t="s">
        <v>15</v>
      </c>
      <c r="F195" t="s">
        <v>325</v>
      </c>
      <c r="G195" t="s">
        <v>307</v>
      </c>
      <c r="J195" t="str">
        <f>IF(OR(テーブル1[[#This Row],[最終合格校]]&lt;&gt;"",テーブル1[[#This Row],[進路区分]]="進学未定",テーブル1[[#This Row],[出願経験]]="有"),"○","")&amp;F195</f>
        <v>○専門学校アートカレッジ神戸</v>
      </c>
      <c r="K195" t="str">
        <f t="shared" si="9"/>
        <v>専門学校</v>
      </c>
      <c r="L195" t="str">
        <f t="shared" si="10"/>
        <v/>
      </c>
      <c r="M195" t="str">
        <f t="shared" si="11"/>
        <v>専門学校アートカレッジ神戸</v>
      </c>
      <c r="N195" t="str">
        <f>テーブル1[[#This Row],[大学・大学院]]&amp;テーブル1[[#This Row],[専門学校]]</f>
        <v>専門学校アートカレッジ神戸</v>
      </c>
    </row>
    <row r="196" spans="1:14" x14ac:dyDescent="0.4">
      <c r="A196" s="4">
        <v>2304054</v>
      </c>
      <c r="B196" s="5" t="s">
        <v>84</v>
      </c>
      <c r="C196" t="s">
        <v>251</v>
      </c>
      <c r="D196" t="s">
        <v>486</v>
      </c>
      <c r="E196" t="s">
        <v>15</v>
      </c>
      <c r="F196" t="s">
        <v>325</v>
      </c>
      <c r="G196" t="s">
        <v>307</v>
      </c>
      <c r="J196" t="str">
        <f>IF(OR(テーブル1[[#This Row],[最終合格校]]&lt;&gt;"",テーブル1[[#This Row],[進路区分]]="進学未定",テーブル1[[#This Row],[出願経験]]="有"),"○","")&amp;F196</f>
        <v>○専門学校アートカレッジ神戸</v>
      </c>
      <c r="K196" t="str">
        <f t="shared" si="9"/>
        <v>専門学校</v>
      </c>
      <c r="L196" t="str">
        <f t="shared" si="10"/>
        <v/>
      </c>
      <c r="M196" t="str">
        <f t="shared" si="11"/>
        <v>専門学校アートカレッジ神戸</v>
      </c>
      <c r="N196" t="str">
        <f>テーブル1[[#This Row],[大学・大学院]]&amp;テーブル1[[#This Row],[専門学校]]</f>
        <v>専門学校アートカレッジ神戸</v>
      </c>
    </row>
    <row r="197" spans="1:14" x14ac:dyDescent="0.4">
      <c r="A197" s="4">
        <v>2304137</v>
      </c>
      <c r="B197" s="5" t="s">
        <v>84</v>
      </c>
      <c r="C197" t="s">
        <v>252</v>
      </c>
      <c r="D197" t="s">
        <v>486</v>
      </c>
      <c r="E197" t="s">
        <v>15</v>
      </c>
      <c r="F197" t="s">
        <v>321</v>
      </c>
      <c r="G197" t="s">
        <v>307</v>
      </c>
      <c r="J197" t="str">
        <f>IF(OR(テーブル1[[#This Row],[最終合格校]]&lt;&gt;"",テーブル1[[#This Row],[進路区分]]="進学未定",テーブル1[[#This Row],[出願経験]]="有"),"○","")&amp;F197</f>
        <v>○和歌山社会福祉専門学校</v>
      </c>
      <c r="K197" t="str">
        <f t="shared" si="9"/>
        <v>専門学校</v>
      </c>
      <c r="L197" t="str">
        <f t="shared" si="10"/>
        <v/>
      </c>
      <c r="M197" t="str">
        <f t="shared" si="11"/>
        <v>和歌山社会福祉専門学校</v>
      </c>
      <c r="N197" t="str">
        <f>テーブル1[[#This Row],[大学・大学院]]&amp;テーブル1[[#This Row],[専門学校]]</f>
        <v>和歌山社会福祉専門学校</v>
      </c>
    </row>
    <row r="198" spans="1:14" x14ac:dyDescent="0.4">
      <c r="A198" s="4">
        <v>2307026</v>
      </c>
      <c r="B198" s="5" t="s">
        <v>84</v>
      </c>
      <c r="C198" t="s">
        <v>253</v>
      </c>
      <c r="D198" t="s">
        <v>486</v>
      </c>
      <c r="E198" t="s">
        <v>15</v>
      </c>
      <c r="F198" t="s">
        <v>323</v>
      </c>
      <c r="G198" t="s">
        <v>307</v>
      </c>
      <c r="J198" t="str">
        <f>IF(OR(テーブル1[[#This Row],[最終合格校]]&lt;&gt;"",テーブル1[[#This Row],[進路区分]]="進学未定",テーブル1[[#This Row],[出願経験]]="有"),"○","")&amp;F198</f>
        <v>○関西国際旅行・ホテル専門学校</v>
      </c>
      <c r="K198" t="str">
        <f t="shared" si="9"/>
        <v>専門学校</v>
      </c>
      <c r="L198" t="str">
        <f t="shared" si="10"/>
        <v/>
      </c>
      <c r="M198" t="str">
        <f t="shared" si="11"/>
        <v>関西国際旅行・ホテル専門学校</v>
      </c>
      <c r="N198" t="str">
        <f>テーブル1[[#This Row],[大学・大学院]]&amp;テーブル1[[#This Row],[専門学校]]</f>
        <v>関西国際旅行・ホテル専門学校</v>
      </c>
    </row>
    <row r="199" spans="1:14" x14ac:dyDescent="0.4">
      <c r="A199" s="4">
        <v>2307027</v>
      </c>
      <c r="B199" s="5" t="s">
        <v>84</v>
      </c>
      <c r="C199" t="s">
        <v>254</v>
      </c>
      <c r="D199" t="s">
        <v>486</v>
      </c>
      <c r="E199" t="s">
        <v>15</v>
      </c>
      <c r="F199" t="s">
        <v>323</v>
      </c>
      <c r="G199" t="s">
        <v>307</v>
      </c>
      <c r="J199" t="str">
        <f>IF(OR(テーブル1[[#This Row],[最終合格校]]&lt;&gt;"",テーブル1[[#This Row],[進路区分]]="進学未定",テーブル1[[#This Row],[出願経験]]="有"),"○","")&amp;F199</f>
        <v>○関西国際旅行・ホテル専門学校</v>
      </c>
      <c r="K199" t="str">
        <f t="shared" si="9"/>
        <v>専門学校</v>
      </c>
      <c r="L199" t="str">
        <f t="shared" si="10"/>
        <v/>
      </c>
      <c r="M199" t="str">
        <f t="shared" si="11"/>
        <v>関西国際旅行・ホテル専門学校</v>
      </c>
      <c r="N199" t="str">
        <f>テーブル1[[#This Row],[大学・大学院]]&amp;テーブル1[[#This Row],[専門学校]]</f>
        <v>関西国際旅行・ホテル専門学校</v>
      </c>
    </row>
    <row r="200" spans="1:14" x14ac:dyDescent="0.4">
      <c r="A200" s="4">
        <v>2307028</v>
      </c>
      <c r="B200" s="5" t="s">
        <v>84</v>
      </c>
      <c r="C200" t="s">
        <v>255</v>
      </c>
      <c r="D200" t="s">
        <v>486</v>
      </c>
      <c r="E200" t="s">
        <v>15</v>
      </c>
      <c r="F200" t="s">
        <v>323</v>
      </c>
      <c r="G200" t="s">
        <v>307</v>
      </c>
      <c r="J200" t="str">
        <f>IF(OR(テーブル1[[#This Row],[最終合格校]]&lt;&gt;"",テーブル1[[#This Row],[進路区分]]="進学未定",テーブル1[[#This Row],[出願経験]]="有"),"○","")&amp;F200</f>
        <v>○関西国際旅行・ホテル専門学校</v>
      </c>
      <c r="K200" t="str">
        <f t="shared" si="9"/>
        <v>専門学校</v>
      </c>
      <c r="L200" t="str">
        <f t="shared" si="10"/>
        <v/>
      </c>
      <c r="M200" t="str">
        <f t="shared" si="11"/>
        <v>関西国際旅行・ホテル専門学校</v>
      </c>
      <c r="N200" t="str">
        <f>テーブル1[[#This Row],[大学・大学院]]&amp;テーブル1[[#This Row],[専門学校]]</f>
        <v>関西国際旅行・ホテル専門学校</v>
      </c>
    </row>
    <row r="201" spans="1:14" x14ac:dyDescent="0.4">
      <c r="A201" s="4">
        <v>2307030</v>
      </c>
      <c r="B201" s="5" t="s">
        <v>84</v>
      </c>
      <c r="C201" t="s">
        <v>256</v>
      </c>
      <c r="D201" t="s">
        <v>486</v>
      </c>
      <c r="E201" t="s">
        <v>15</v>
      </c>
      <c r="F201" t="s">
        <v>336</v>
      </c>
      <c r="G201" t="s">
        <v>307</v>
      </c>
      <c r="J201" t="str">
        <f>IF(OR(テーブル1[[#This Row],[最終合格校]]&lt;&gt;"",テーブル1[[#This Row],[進路区分]]="進学未定",テーブル1[[#This Row],[出願経験]]="有"),"○","")&amp;F201</f>
        <v>○ポプラ介護福祉学校</v>
      </c>
      <c r="K201" t="str">
        <f t="shared" si="9"/>
        <v>専門学校</v>
      </c>
      <c r="L201" t="str">
        <f t="shared" si="10"/>
        <v/>
      </c>
      <c r="M201" t="str">
        <f t="shared" si="11"/>
        <v>ポプラ介護福祉学校</v>
      </c>
      <c r="N201" t="str">
        <f>テーブル1[[#This Row],[大学・大学院]]&amp;テーブル1[[#This Row],[専門学校]]</f>
        <v>ポプラ介護福祉学校</v>
      </c>
    </row>
    <row r="202" spans="1:14" x14ac:dyDescent="0.4">
      <c r="A202" s="4">
        <v>2307032</v>
      </c>
      <c r="B202" s="5" t="s">
        <v>84</v>
      </c>
      <c r="C202" t="s">
        <v>350</v>
      </c>
      <c r="D202" t="s">
        <v>486</v>
      </c>
      <c r="E202" t="s">
        <v>15</v>
      </c>
      <c r="F202" t="s">
        <v>338</v>
      </c>
      <c r="G202" t="s">
        <v>307</v>
      </c>
      <c r="J202" t="str">
        <f>IF(OR(テーブル1[[#This Row],[最終合格校]]&lt;&gt;"",テーブル1[[#This Row],[進路区分]]="進学未定",テーブル1[[#This Row],[出願経験]]="有"),"○","")&amp;F202</f>
        <v>○中野スクールオブビジネス</v>
      </c>
      <c r="K202" t="str">
        <f t="shared" si="9"/>
        <v>専門学校</v>
      </c>
      <c r="L202" t="str">
        <f t="shared" si="10"/>
        <v/>
      </c>
      <c r="M202" t="str">
        <f t="shared" si="11"/>
        <v>中野スクールオブビジネス</v>
      </c>
      <c r="N202" t="str">
        <f>テーブル1[[#This Row],[大学・大学院]]&amp;テーブル1[[#This Row],[専門学校]]</f>
        <v>中野スクールオブビジネス</v>
      </c>
    </row>
    <row r="203" spans="1:14" x14ac:dyDescent="0.4">
      <c r="A203" s="4">
        <v>2307041</v>
      </c>
      <c r="B203" s="5" t="s">
        <v>84</v>
      </c>
      <c r="C203" t="s">
        <v>257</v>
      </c>
      <c r="D203" t="s">
        <v>486</v>
      </c>
      <c r="E203" t="s">
        <v>15</v>
      </c>
      <c r="F203" t="s">
        <v>336</v>
      </c>
      <c r="G203" t="s">
        <v>307</v>
      </c>
      <c r="J203" t="str">
        <f>IF(OR(テーブル1[[#This Row],[最終合格校]]&lt;&gt;"",テーブル1[[#This Row],[進路区分]]="進学未定",テーブル1[[#This Row],[出願経験]]="有"),"○","")&amp;F203</f>
        <v>○ポプラ介護福祉学校</v>
      </c>
      <c r="K203" t="str">
        <f t="shared" si="9"/>
        <v>専門学校</v>
      </c>
      <c r="L203" t="str">
        <f t="shared" si="10"/>
        <v/>
      </c>
      <c r="M203" t="str">
        <f t="shared" si="11"/>
        <v>ポプラ介護福祉学校</v>
      </c>
      <c r="N203" t="str">
        <f>テーブル1[[#This Row],[大学・大学院]]&amp;テーブル1[[#This Row],[専門学校]]</f>
        <v>ポプラ介護福祉学校</v>
      </c>
    </row>
    <row r="204" spans="1:14" x14ac:dyDescent="0.4">
      <c r="A204" s="4">
        <v>2307045</v>
      </c>
      <c r="B204" s="5" t="s">
        <v>84</v>
      </c>
      <c r="C204" t="s">
        <v>258</v>
      </c>
      <c r="D204" t="s">
        <v>486</v>
      </c>
      <c r="E204" t="s">
        <v>15</v>
      </c>
      <c r="F204" t="s">
        <v>472</v>
      </c>
      <c r="G204" t="s">
        <v>307</v>
      </c>
      <c r="J204" t="str">
        <f>IF(OR(テーブル1[[#This Row],[最終合格校]]&lt;&gt;"",テーブル1[[#This Row],[進路区分]]="進学未定",テーブル1[[#This Row],[出願経験]]="有"),"○","")&amp;F204</f>
        <v>○SOLA学園</v>
      </c>
      <c r="K204" t="str">
        <f t="shared" si="9"/>
        <v>専門学校</v>
      </c>
      <c r="L204" t="str">
        <f t="shared" si="10"/>
        <v/>
      </c>
      <c r="M204" t="str">
        <f t="shared" si="11"/>
        <v>SOLA学園</v>
      </c>
      <c r="N204" t="str">
        <f>テーブル1[[#This Row],[大学・大学院]]&amp;テーブル1[[#This Row],[専門学校]]</f>
        <v>SOLA学園</v>
      </c>
    </row>
    <row r="205" spans="1:14" x14ac:dyDescent="0.4">
      <c r="A205" s="4">
        <v>2307046</v>
      </c>
      <c r="B205" s="5" t="s">
        <v>84</v>
      </c>
      <c r="C205" t="s">
        <v>259</v>
      </c>
      <c r="D205" t="s">
        <v>486</v>
      </c>
      <c r="E205" t="s">
        <v>15</v>
      </c>
      <c r="F205" t="s">
        <v>325</v>
      </c>
      <c r="G205" t="s">
        <v>307</v>
      </c>
      <c r="J205" t="str">
        <f>IF(OR(テーブル1[[#This Row],[最終合格校]]&lt;&gt;"",テーブル1[[#This Row],[進路区分]]="進学未定",テーブル1[[#This Row],[出願経験]]="有"),"○","")&amp;F205</f>
        <v>○専門学校アートカレッジ神戸</v>
      </c>
      <c r="K205" t="str">
        <f t="shared" si="9"/>
        <v>専門学校</v>
      </c>
      <c r="L205" t="str">
        <f t="shared" si="10"/>
        <v/>
      </c>
      <c r="M205" t="str">
        <f t="shared" si="11"/>
        <v>専門学校アートカレッジ神戸</v>
      </c>
      <c r="N205" t="str">
        <f>テーブル1[[#This Row],[大学・大学院]]&amp;テーブル1[[#This Row],[専門学校]]</f>
        <v>専門学校アートカレッジ神戸</v>
      </c>
    </row>
    <row r="206" spans="1:14" x14ac:dyDescent="0.4">
      <c r="A206" s="4">
        <v>2307047</v>
      </c>
      <c r="B206" s="5" t="s">
        <v>84</v>
      </c>
      <c r="C206" t="s">
        <v>260</v>
      </c>
      <c r="D206" t="s">
        <v>486</v>
      </c>
      <c r="E206" t="s">
        <v>15</v>
      </c>
      <c r="F206" t="s">
        <v>323</v>
      </c>
      <c r="G206" t="s">
        <v>307</v>
      </c>
      <c r="J206" t="str">
        <f>IF(OR(テーブル1[[#This Row],[最終合格校]]&lt;&gt;"",テーブル1[[#This Row],[進路区分]]="進学未定",テーブル1[[#This Row],[出願経験]]="有"),"○","")&amp;F206</f>
        <v>○関西国際旅行・ホテル専門学校</v>
      </c>
      <c r="K206" t="str">
        <f t="shared" si="9"/>
        <v>専門学校</v>
      </c>
      <c r="L206" t="str">
        <f t="shared" si="10"/>
        <v/>
      </c>
      <c r="M206" t="str">
        <f t="shared" si="11"/>
        <v>関西国際旅行・ホテル専門学校</v>
      </c>
      <c r="N206" t="str">
        <f>テーブル1[[#This Row],[大学・大学院]]&amp;テーブル1[[#This Row],[専門学校]]</f>
        <v>関西国際旅行・ホテル専門学校</v>
      </c>
    </row>
    <row r="207" spans="1:14" x14ac:dyDescent="0.4">
      <c r="A207" s="4">
        <v>2307048</v>
      </c>
      <c r="B207" s="5" t="s">
        <v>84</v>
      </c>
      <c r="C207" t="s">
        <v>261</v>
      </c>
      <c r="D207" t="s">
        <v>486</v>
      </c>
      <c r="E207" t="s">
        <v>15</v>
      </c>
      <c r="F207" t="s">
        <v>323</v>
      </c>
      <c r="G207" t="s">
        <v>307</v>
      </c>
      <c r="J207" t="str">
        <f>IF(OR(テーブル1[[#This Row],[最終合格校]]&lt;&gt;"",テーブル1[[#This Row],[進路区分]]="進学未定",テーブル1[[#This Row],[出願経験]]="有"),"○","")&amp;F207</f>
        <v>○関西国際旅行・ホテル専門学校</v>
      </c>
      <c r="K207" t="str">
        <f t="shared" si="9"/>
        <v>専門学校</v>
      </c>
      <c r="L207" t="str">
        <f t="shared" si="10"/>
        <v/>
      </c>
      <c r="M207" t="str">
        <f t="shared" si="11"/>
        <v>関西国際旅行・ホテル専門学校</v>
      </c>
      <c r="N207" t="str">
        <f>テーブル1[[#This Row],[大学・大学院]]&amp;テーブル1[[#This Row],[専門学校]]</f>
        <v>関西国際旅行・ホテル専門学校</v>
      </c>
    </row>
    <row r="208" spans="1:14" x14ac:dyDescent="0.4">
      <c r="A208" s="4">
        <v>2307050</v>
      </c>
      <c r="B208" s="5" t="s">
        <v>84</v>
      </c>
      <c r="C208" t="s">
        <v>262</v>
      </c>
      <c r="D208" t="s">
        <v>486</v>
      </c>
      <c r="E208" t="s">
        <v>15</v>
      </c>
      <c r="F208" t="s">
        <v>323</v>
      </c>
      <c r="G208" t="s">
        <v>307</v>
      </c>
      <c r="J208" t="str">
        <f>IF(OR(テーブル1[[#This Row],[最終合格校]]&lt;&gt;"",テーブル1[[#This Row],[進路区分]]="進学未定",テーブル1[[#This Row],[出願経験]]="有"),"○","")&amp;F208</f>
        <v>○関西国際旅行・ホテル専門学校</v>
      </c>
      <c r="K208" t="str">
        <f t="shared" si="9"/>
        <v>専門学校</v>
      </c>
      <c r="L208" t="str">
        <f t="shared" si="10"/>
        <v/>
      </c>
      <c r="M208" t="str">
        <f t="shared" si="11"/>
        <v>関西国際旅行・ホテル専門学校</v>
      </c>
      <c r="N208" t="str">
        <f>テーブル1[[#This Row],[大学・大学院]]&amp;テーブル1[[#This Row],[専門学校]]</f>
        <v>関西国際旅行・ホテル専門学校</v>
      </c>
    </row>
    <row r="209" spans="1:14" x14ac:dyDescent="0.4">
      <c r="A209" s="4">
        <v>2307052</v>
      </c>
      <c r="B209" s="5" t="s">
        <v>84</v>
      </c>
      <c r="C209" t="s">
        <v>263</v>
      </c>
      <c r="D209" t="s">
        <v>486</v>
      </c>
      <c r="E209" t="s">
        <v>15</v>
      </c>
      <c r="F209" t="s">
        <v>336</v>
      </c>
      <c r="G209" t="s">
        <v>307</v>
      </c>
      <c r="J209" t="str">
        <f>IF(OR(テーブル1[[#This Row],[最終合格校]]&lt;&gt;"",テーブル1[[#This Row],[進路区分]]="進学未定",テーブル1[[#This Row],[出願経験]]="有"),"○","")&amp;F209</f>
        <v>○ポプラ介護福祉学校</v>
      </c>
      <c r="K209" t="str">
        <f t="shared" si="9"/>
        <v>専門学校</v>
      </c>
      <c r="L209" t="str">
        <f t="shared" si="10"/>
        <v/>
      </c>
      <c r="M209" t="str">
        <f t="shared" si="11"/>
        <v>ポプラ介護福祉学校</v>
      </c>
      <c r="N209" t="str">
        <f>テーブル1[[#This Row],[大学・大学院]]&amp;テーブル1[[#This Row],[専門学校]]</f>
        <v>ポプラ介護福祉学校</v>
      </c>
    </row>
    <row r="210" spans="1:14" x14ac:dyDescent="0.4">
      <c r="A210" s="4">
        <v>2307053</v>
      </c>
      <c r="B210" s="5" t="s">
        <v>84</v>
      </c>
      <c r="C210" t="s">
        <v>264</v>
      </c>
      <c r="D210" t="s">
        <v>486</v>
      </c>
      <c r="E210" t="s">
        <v>15</v>
      </c>
      <c r="F210" t="s">
        <v>323</v>
      </c>
      <c r="G210" t="s">
        <v>307</v>
      </c>
      <c r="J210" t="str">
        <f>IF(OR(テーブル1[[#This Row],[最終合格校]]&lt;&gt;"",テーブル1[[#This Row],[進路区分]]="進学未定",テーブル1[[#This Row],[出願経験]]="有"),"○","")&amp;F210</f>
        <v>○関西国際旅行・ホテル専門学校</v>
      </c>
      <c r="K210" t="str">
        <f t="shared" si="9"/>
        <v>専門学校</v>
      </c>
      <c r="L210" t="str">
        <f t="shared" si="10"/>
        <v/>
      </c>
      <c r="M210" t="str">
        <f t="shared" si="11"/>
        <v>関西国際旅行・ホテル専門学校</v>
      </c>
      <c r="N210" t="str">
        <f>テーブル1[[#This Row],[大学・大学院]]&amp;テーブル1[[#This Row],[専門学校]]</f>
        <v>関西国際旅行・ホテル専門学校</v>
      </c>
    </row>
    <row r="211" spans="1:14" x14ac:dyDescent="0.4">
      <c r="A211" s="4">
        <v>2307066</v>
      </c>
      <c r="B211" s="5" t="s">
        <v>84</v>
      </c>
      <c r="C211" t="s">
        <v>265</v>
      </c>
      <c r="D211" t="s">
        <v>486</v>
      </c>
      <c r="E211" t="s">
        <v>15</v>
      </c>
      <c r="F211" t="s">
        <v>324</v>
      </c>
      <c r="G211" t="s">
        <v>307</v>
      </c>
      <c r="J211" t="str">
        <f>IF(OR(テーブル1[[#This Row],[最終合格校]]&lt;&gt;"",テーブル1[[#This Row],[進路区分]]="進学未定",テーブル1[[#This Row],[出願経験]]="有"),"○","")&amp;F211</f>
        <v>○中央美術学園</v>
      </c>
      <c r="K211" t="str">
        <f t="shared" si="9"/>
        <v>専門学校</v>
      </c>
      <c r="L211" t="str">
        <f t="shared" si="10"/>
        <v/>
      </c>
      <c r="M211" t="str">
        <f t="shared" si="11"/>
        <v>中央美術学園</v>
      </c>
      <c r="N211" t="str">
        <f>テーブル1[[#This Row],[大学・大学院]]&amp;テーブル1[[#This Row],[専門学校]]</f>
        <v>中央美術学園</v>
      </c>
    </row>
    <row r="212" spans="1:14" x14ac:dyDescent="0.4">
      <c r="A212" s="4">
        <v>2307078</v>
      </c>
      <c r="B212" s="5" t="s">
        <v>84</v>
      </c>
      <c r="C212" t="s">
        <v>266</v>
      </c>
      <c r="D212" t="s">
        <v>486</v>
      </c>
      <c r="E212" t="s">
        <v>15</v>
      </c>
      <c r="F212" t="s">
        <v>308</v>
      </c>
      <c r="G212" t="s">
        <v>307</v>
      </c>
      <c r="J212" t="str">
        <f>IF(OR(テーブル1[[#This Row],[最終合格校]]&lt;&gt;"",テーブル1[[#This Row],[進路区分]]="進学未定",テーブル1[[#This Row],[出願経験]]="有"),"○","")&amp;F212</f>
        <v>○CAD製図専門学校</v>
      </c>
      <c r="K212" t="str">
        <f t="shared" si="9"/>
        <v>専門学校</v>
      </c>
      <c r="L212" t="str">
        <f t="shared" si="10"/>
        <v/>
      </c>
      <c r="M212" t="str">
        <f t="shared" si="11"/>
        <v>CAD製図専門学校</v>
      </c>
      <c r="N212" t="str">
        <f>テーブル1[[#This Row],[大学・大学院]]&amp;テーブル1[[#This Row],[専門学校]]</f>
        <v>CAD製図専門学校</v>
      </c>
    </row>
    <row r="213" spans="1:14" x14ac:dyDescent="0.4">
      <c r="A213" s="4">
        <v>2307079</v>
      </c>
      <c r="B213" s="5" t="s">
        <v>84</v>
      </c>
      <c r="C213" t="s">
        <v>267</v>
      </c>
      <c r="D213" t="s">
        <v>486</v>
      </c>
      <c r="E213" t="s">
        <v>15</v>
      </c>
      <c r="F213" t="s">
        <v>308</v>
      </c>
      <c r="G213" t="s">
        <v>307</v>
      </c>
      <c r="J213" t="str">
        <f>IF(OR(テーブル1[[#This Row],[最終合格校]]&lt;&gt;"",テーブル1[[#This Row],[進路区分]]="進学未定",テーブル1[[#This Row],[出願経験]]="有"),"○","")&amp;F213</f>
        <v>○CAD製図専門学校</v>
      </c>
      <c r="K213" t="str">
        <f t="shared" si="9"/>
        <v>専門学校</v>
      </c>
      <c r="L213" t="str">
        <f t="shared" si="10"/>
        <v/>
      </c>
      <c r="M213" t="str">
        <f t="shared" si="11"/>
        <v>CAD製図専門学校</v>
      </c>
      <c r="N213" t="str">
        <f>テーブル1[[#This Row],[大学・大学院]]&amp;テーブル1[[#This Row],[専門学校]]</f>
        <v>CAD製図専門学校</v>
      </c>
    </row>
    <row r="214" spans="1:14" x14ac:dyDescent="0.4">
      <c r="A214" s="4">
        <v>2307034</v>
      </c>
      <c r="B214" s="5" t="s">
        <v>85</v>
      </c>
      <c r="C214" t="s">
        <v>268</v>
      </c>
      <c r="D214" t="s">
        <v>486</v>
      </c>
      <c r="E214" t="s">
        <v>15</v>
      </c>
      <c r="F214" t="s">
        <v>323</v>
      </c>
      <c r="G214" t="s">
        <v>307</v>
      </c>
      <c r="J214" t="str">
        <f>IF(OR(テーブル1[[#This Row],[最終合格校]]&lt;&gt;"",テーブル1[[#This Row],[進路区分]]="進学未定",テーブル1[[#This Row],[出願経験]]="有"),"○","")&amp;F214</f>
        <v>○関西国際旅行・ホテル専門学校</v>
      </c>
      <c r="K214" t="str">
        <f t="shared" si="9"/>
        <v>専門学校</v>
      </c>
      <c r="L214" t="str">
        <f t="shared" si="10"/>
        <v/>
      </c>
      <c r="M214" t="str">
        <f t="shared" si="11"/>
        <v>関西国際旅行・ホテル専門学校</v>
      </c>
      <c r="N214" t="str">
        <f>テーブル1[[#This Row],[大学・大学院]]&amp;テーブル1[[#This Row],[専門学校]]</f>
        <v>関西国際旅行・ホテル専門学校</v>
      </c>
    </row>
    <row r="215" spans="1:14" x14ac:dyDescent="0.4">
      <c r="A215" s="4">
        <v>2307073</v>
      </c>
      <c r="B215" s="5" t="s">
        <v>85</v>
      </c>
      <c r="C215" t="s">
        <v>269</v>
      </c>
      <c r="D215" t="s">
        <v>486</v>
      </c>
      <c r="E215" t="s">
        <v>14</v>
      </c>
      <c r="F215" t="s">
        <v>485</v>
      </c>
      <c r="G215" t="s">
        <v>307</v>
      </c>
      <c r="J215" t="str">
        <f>IF(OR(テーブル1[[#This Row],[最終合格校]]&lt;&gt;"",テーブル1[[#This Row],[進路区分]]="進学未定",テーブル1[[#This Row],[出願経験]]="有"),"○","")&amp;F215</f>
        <v>○四国大学短期学部</v>
      </c>
      <c r="K215" t="str">
        <f t="shared" si="9"/>
        <v>大学</v>
      </c>
      <c r="L215" t="str">
        <f t="shared" si="10"/>
        <v>四国大学短期学部</v>
      </c>
      <c r="M215" t="str">
        <f t="shared" si="11"/>
        <v/>
      </c>
      <c r="N215" t="str">
        <f>テーブル1[[#This Row],[大学・大学院]]&amp;テーブル1[[#This Row],[専門学校]]</f>
        <v>四国大学短期学部</v>
      </c>
    </row>
    <row r="216" spans="1:14" x14ac:dyDescent="0.4">
      <c r="A216" s="4">
        <v>2307081</v>
      </c>
      <c r="B216" s="5" t="s">
        <v>85</v>
      </c>
      <c r="C216" t="s">
        <v>270</v>
      </c>
      <c r="D216" t="s">
        <v>486</v>
      </c>
      <c r="E216" t="s">
        <v>386</v>
      </c>
      <c r="F216" t="s">
        <v>58</v>
      </c>
      <c r="G216" t="s">
        <v>307</v>
      </c>
      <c r="J216" t="str">
        <f>IF(OR(テーブル1[[#This Row],[最終合格校]]&lt;&gt;"",テーブル1[[#This Row],[進路区分]]="進学未定",テーブル1[[#This Row],[出願経験]]="有"),"○","")&amp;F216</f>
        <v>○大阪観光大学</v>
      </c>
      <c r="K216" t="str">
        <f t="shared" si="9"/>
        <v>大学</v>
      </c>
      <c r="L216" t="str">
        <f t="shared" si="10"/>
        <v>大阪観光大学</v>
      </c>
      <c r="M216" t="str">
        <f t="shared" si="11"/>
        <v/>
      </c>
      <c r="N216" t="str">
        <f>テーブル1[[#This Row],[大学・大学院]]&amp;テーブル1[[#This Row],[専門学校]]</f>
        <v>大阪観光大学</v>
      </c>
    </row>
    <row r="217" spans="1:14" x14ac:dyDescent="0.4">
      <c r="A217" s="4">
        <v>2310001</v>
      </c>
      <c r="B217" s="5" t="s">
        <v>85</v>
      </c>
      <c r="C217" t="s">
        <v>271</v>
      </c>
      <c r="D217" t="s">
        <v>486</v>
      </c>
      <c r="E217" t="s">
        <v>386</v>
      </c>
      <c r="F217" t="s">
        <v>464</v>
      </c>
      <c r="G217" t="s">
        <v>307</v>
      </c>
      <c r="J217" t="str">
        <f>IF(OR(テーブル1[[#This Row],[最終合格校]]&lt;&gt;"",テーブル1[[#This Row],[進路区分]]="進学未定",テーブル1[[#This Row],[出願経験]]="有"),"○","")&amp;F217</f>
        <v>○芦屋大学</v>
      </c>
      <c r="K217" t="str">
        <f t="shared" si="9"/>
        <v>大学</v>
      </c>
      <c r="L217" t="str">
        <f t="shared" si="10"/>
        <v>芦屋大学</v>
      </c>
      <c r="M217" t="str">
        <f t="shared" si="11"/>
        <v/>
      </c>
      <c r="N217" t="str">
        <f>テーブル1[[#This Row],[大学・大学院]]&amp;テーブル1[[#This Row],[専門学校]]</f>
        <v>芦屋大学</v>
      </c>
    </row>
    <row r="218" spans="1:14" x14ac:dyDescent="0.4">
      <c r="A218" s="4">
        <v>2310008</v>
      </c>
      <c r="B218" s="5" t="s">
        <v>85</v>
      </c>
      <c r="C218" t="s">
        <v>272</v>
      </c>
      <c r="D218" t="s">
        <v>486</v>
      </c>
      <c r="E218" t="s">
        <v>386</v>
      </c>
      <c r="F218" t="s">
        <v>385</v>
      </c>
      <c r="G218" t="s">
        <v>307</v>
      </c>
      <c r="J218" t="str">
        <f>IF(OR(テーブル1[[#This Row],[最終合格校]]&lt;&gt;"",テーブル1[[#This Row],[進路区分]]="進学未定",テーブル1[[#This Row],[出願経験]]="有"),"○","")&amp;F218</f>
        <v>○流通科学大学</v>
      </c>
      <c r="K218" t="str">
        <f t="shared" si="9"/>
        <v>大学</v>
      </c>
      <c r="L218" t="str">
        <f t="shared" si="10"/>
        <v>流通科学大学</v>
      </c>
      <c r="M218" t="str">
        <f t="shared" si="11"/>
        <v/>
      </c>
      <c r="N218" t="str">
        <f>テーブル1[[#This Row],[大学・大学院]]&amp;テーブル1[[#This Row],[専門学校]]</f>
        <v>流通科学大学</v>
      </c>
    </row>
    <row r="219" spans="1:14" x14ac:dyDescent="0.4">
      <c r="A219" s="4">
        <v>2310010</v>
      </c>
      <c r="B219" s="5" t="s">
        <v>85</v>
      </c>
      <c r="C219" t="s">
        <v>273</v>
      </c>
      <c r="D219" t="s">
        <v>486</v>
      </c>
      <c r="E219" t="s">
        <v>461</v>
      </c>
      <c r="F219" t="s">
        <v>385</v>
      </c>
      <c r="G219" t="s">
        <v>307</v>
      </c>
      <c r="J219" t="str">
        <f>IF(OR(テーブル1[[#This Row],[最終合格校]]&lt;&gt;"",テーブル1[[#This Row],[進路区分]]="進学未定",テーブル1[[#This Row],[出願経験]]="有"),"○","")&amp;F219</f>
        <v>○流通科学大学</v>
      </c>
      <c r="K219" t="str">
        <f t="shared" si="9"/>
        <v>特定活動ビザ</v>
      </c>
      <c r="L219" t="str">
        <f t="shared" si="10"/>
        <v/>
      </c>
      <c r="M219" t="str">
        <f t="shared" si="11"/>
        <v/>
      </c>
      <c r="N219" t="str">
        <f>テーブル1[[#This Row],[大学・大学院]]&amp;テーブル1[[#This Row],[専門学校]]</f>
        <v/>
      </c>
    </row>
    <row r="220" spans="1:14" x14ac:dyDescent="0.4">
      <c r="A220" s="4">
        <v>2310011</v>
      </c>
      <c r="B220" s="5" t="s">
        <v>85</v>
      </c>
      <c r="C220" t="s">
        <v>274</v>
      </c>
      <c r="D220" t="s">
        <v>486</v>
      </c>
      <c r="E220" t="s">
        <v>15</v>
      </c>
      <c r="F220" t="s">
        <v>323</v>
      </c>
      <c r="G220" t="s">
        <v>307</v>
      </c>
      <c r="J220" t="str">
        <f>IF(OR(テーブル1[[#This Row],[最終合格校]]&lt;&gt;"",テーブル1[[#This Row],[進路区分]]="進学未定",テーブル1[[#This Row],[出願経験]]="有"),"○","")&amp;F220</f>
        <v>○関西国際旅行・ホテル専門学校</v>
      </c>
      <c r="K220" t="str">
        <f t="shared" si="9"/>
        <v>専門学校</v>
      </c>
      <c r="L220" t="str">
        <f t="shared" si="10"/>
        <v/>
      </c>
      <c r="M220" t="str">
        <f t="shared" si="11"/>
        <v>関西国際旅行・ホテル専門学校</v>
      </c>
      <c r="N220" t="str">
        <f>テーブル1[[#This Row],[大学・大学院]]&amp;テーブル1[[#This Row],[専門学校]]</f>
        <v>関西国際旅行・ホテル専門学校</v>
      </c>
    </row>
    <row r="221" spans="1:14" x14ac:dyDescent="0.4">
      <c r="A221" s="4">
        <v>2310012</v>
      </c>
      <c r="B221" s="5" t="s">
        <v>85</v>
      </c>
      <c r="C221" t="s">
        <v>275</v>
      </c>
      <c r="D221" t="s">
        <v>486</v>
      </c>
      <c r="E221" t="s">
        <v>386</v>
      </c>
      <c r="F221" t="s">
        <v>385</v>
      </c>
      <c r="G221" t="s">
        <v>307</v>
      </c>
      <c r="J221" t="str">
        <f>IF(OR(テーブル1[[#This Row],[最終合格校]]&lt;&gt;"",テーブル1[[#This Row],[進路区分]]="進学未定",テーブル1[[#This Row],[出願経験]]="有"),"○","")&amp;F221</f>
        <v>○流通科学大学</v>
      </c>
      <c r="K221" t="str">
        <f t="shared" si="9"/>
        <v>大学</v>
      </c>
      <c r="L221" t="str">
        <f t="shared" si="10"/>
        <v>流通科学大学</v>
      </c>
      <c r="M221" t="str">
        <f t="shared" si="11"/>
        <v/>
      </c>
      <c r="N221" t="str">
        <f>テーブル1[[#This Row],[大学・大学院]]&amp;テーブル1[[#This Row],[専門学校]]</f>
        <v>流通科学大学</v>
      </c>
    </row>
    <row r="222" spans="1:14" x14ac:dyDescent="0.4">
      <c r="A222" s="4">
        <v>2310015</v>
      </c>
      <c r="B222" s="5" t="s">
        <v>85</v>
      </c>
      <c r="C222" t="s">
        <v>452</v>
      </c>
      <c r="D222" t="s">
        <v>486</v>
      </c>
      <c r="E222" t="s">
        <v>15</v>
      </c>
      <c r="F222" t="s">
        <v>340</v>
      </c>
      <c r="G222" t="s">
        <v>307</v>
      </c>
      <c r="J222" t="str">
        <f>IF(OR(テーブル1[[#This Row],[最終合格校]]&lt;&gt;"",テーブル1[[#This Row],[進路区分]]="進学未定",テーブル1[[#This Row],[出願経験]]="有"),"○","")&amp;F222</f>
        <v>○ECCコンピュータ専門学校</v>
      </c>
      <c r="K222" t="str">
        <f t="shared" si="9"/>
        <v>専門学校</v>
      </c>
      <c r="L222" t="str">
        <f t="shared" si="10"/>
        <v/>
      </c>
      <c r="M222" t="str">
        <f t="shared" si="11"/>
        <v>ECCコンピュータ専門学校</v>
      </c>
      <c r="N222" t="str">
        <f>テーブル1[[#This Row],[大学・大学院]]&amp;テーブル1[[#This Row],[専門学校]]</f>
        <v>ECCコンピュータ専門学校</v>
      </c>
    </row>
    <row r="223" spans="1:14" x14ac:dyDescent="0.4">
      <c r="A223" s="4">
        <v>2310018</v>
      </c>
      <c r="B223" s="5" t="s">
        <v>85</v>
      </c>
      <c r="C223" t="s">
        <v>276</v>
      </c>
      <c r="D223" t="s">
        <v>486</v>
      </c>
      <c r="E223" t="s">
        <v>386</v>
      </c>
      <c r="F223" t="s">
        <v>385</v>
      </c>
      <c r="G223" t="s">
        <v>307</v>
      </c>
      <c r="J223" t="str">
        <f>IF(OR(テーブル1[[#This Row],[最終合格校]]&lt;&gt;"",テーブル1[[#This Row],[進路区分]]="進学未定",テーブル1[[#This Row],[出願経験]]="有"),"○","")&amp;F223</f>
        <v>○流通科学大学</v>
      </c>
      <c r="K223" t="str">
        <f t="shared" si="9"/>
        <v>大学</v>
      </c>
      <c r="L223" t="str">
        <f t="shared" si="10"/>
        <v>流通科学大学</v>
      </c>
      <c r="M223" t="str">
        <f t="shared" si="11"/>
        <v/>
      </c>
      <c r="N223" t="str">
        <f>テーブル1[[#This Row],[大学・大学院]]&amp;テーブル1[[#This Row],[専門学校]]</f>
        <v>流通科学大学</v>
      </c>
    </row>
    <row r="224" spans="1:14" x14ac:dyDescent="0.4">
      <c r="A224" s="4">
        <v>2310019</v>
      </c>
      <c r="B224" s="5" t="s">
        <v>85</v>
      </c>
      <c r="C224" t="s">
        <v>277</v>
      </c>
      <c r="D224" t="s">
        <v>486</v>
      </c>
      <c r="E224" t="s">
        <v>15</v>
      </c>
      <c r="F224" t="s">
        <v>384</v>
      </c>
      <c r="G224" t="s">
        <v>307</v>
      </c>
      <c r="J224" t="str">
        <f>IF(OR(テーブル1[[#This Row],[最終合格校]]&lt;&gt;"",テーブル1[[#This Row],[進路区分]]="進学未定",テーブル1[[#This Row],[出願経験]]="有"),"○","")&amp;F224</f>
        <v>○神戸電子専門学校</v>
      </c>
      <c r="K224" t="str">
        <f t="shared" si="9"/>
        <v>専門学校</v>
      </c>
      <c r="L224" t="str">
        <f t="shared" si="10"/>
        <v/>
      </c>
      <c r="M224" t="str">
        <f t="shared" si="11"/>
        <v>神戸電子専門学校</v>
      </c>
      <c r="N224" t="str">
        <f>テーブル1[[#This Row],[大学・大学院]]&amp;テーブル1[[#This Row],[専門学校]]</f>
        <v>神戸電子専門学校</v>
      </c>
    </row>
    <row r="225" spans="1:14" x14ac:dyDescent="0.4">
      <c r="A225" s="4">
        <v>2310022</v>
      </c>
      <c r="B225" s="5" t="s">
        <v>85</v>
      </c>
      <c r="C225" t="s">
        <v>278</v>
      </c>
      <c r="D225" t="s">
        <v>486</v>
      </c>
      <c r="E225" t="s">
        <v>15</v>
      </c>
      <c r="F225" t="s">
        <v>320</v>
      </c>
      <c r="G225" t="s">
        <v>307</v>
      </c>
      <c r="J225" t="str">
        <f>IF(OR(テーブル1[[#This Row],[最終合格校]]&lt;&gt;"",テーブル1[[#This Row],[進路区分]]="進学未定",テーブル1[[#This Row],[出願経験]]="有"),"○","")&amp;F225</f>
        <v>○東京国際ビジネスカレッジ神戸校</v>
      </c>
      <c r="K225" t="str">
        <f t="shared" si="9"/>
        <v>専門学校</v>
      </c>
      <c r="L225" t="str">
        <f t="shared" si="10"/>
        <v/>
      </c>
      <c r="M225" t="str">
        <f t="shared" si="11"/>
        <v>東京国際ビジネスカレッジ神戸校</v>
      </c>
      <c r="N225" t="str">
        <f>テーブル1[[#This Row],[大学・大学院]]&amp;テーブル1[[#This Row],[専門学校]]</f>
        <v>東京国際ビジネスカレッジ神戸校</v>
      </c>
    </row>
    <row r="226" spans="1:14" x14ac:dyDescent="0.4">
      <c r="A226" s="4">
        <v>2310024</v>
      </c>
      <c r="B226" s="5" t="s">
        <v>85</v>
      </c>
      <c r="C226" t="s">
        <v>279</v>
      </c>
      <c r="D226" t="s">
        <v>486</v>
      </c>
      <c r="E226" t="s">
        <v>14</v>
      </c>
      <c r="F226" t="s">
        <v>385</v>
      </c>
      <c r="G226" t="s">
        <v>307</v>
      </c>
      <c r="J226" t="str">
        <f>IF(OR(テーブル1[[#This Row],[最終合格校]]&lt;&gt;"",テーブル1[[#This Row],[進路区分]]="進学未定",テーブル1[[#This Row],[出願経験]]="有"),"○","")&amp;F226</f>
        <v>○流通科学大学</v>
      </c>
      <c r="K226" t="str">
        <f t="shared" si="9"/>
        <v>大学</v>
      </c>
      <c r="L226" t="str">
        <f t="shared" si="10"/>
        <v>流通科学大学</v>
      </c>
      <c r="M226" t="str">
        <f t="shared" si="11"/>
        <v/>
      </c>
      <c r="N226" t="str">
        <f>テーブル1[[#This Row],[大学・大学院]]&amp;テーブル1[[#This Row],[専門学校]]</f>
        <v>流通科学大学</v>
      </c>
    </row>
    <row r="227" spans="1:14" x14ac:dyDescent="0.4">
      <c r="A227" s="4">
        <v>2310026</v>
      </c>
      <c r="B227" s="6" t="s">
        <v>85</v>
      </c>
      <c r="C227" s="7" t="s">
        <v>280</v>
      </c>
      <c r="D227" t="s">
        <v>486</v>
      </c>
      <c r="E227" t="s">
        <v>15</v>
      </c>
      <c r="F227" t="s">
        <v>401</v>
      </c>
      <c r="G227" t="s">
        <v>307</v>
      </c>
      <c r="J227" t="str">
        <f>IF(OR(テーブル1[[#This Row],[最終合格校]]&lt;&gt;"",テーブル1[[#This Row],[進路区分]]="進学未定",テーブル1[[#This Row],[出願経験]]="有"),"○","")&amp;F227</f>
        <v>○東京グローバルビジネス専門学校</v>
      </c>
      <c r="K227" t="str">
        <f t="shared" si="9"/>
        <v>専門学校</v>
      </c>
      <c r="L227" t="str">
        <f t="shared" si="10"/>
        <v/>
      </c>
      <c r="M227" t="str">
        <f t="shared" si="11"/>
        <v>東京グローバルビジネス専門学校</v>
      </c>
      <c r="N227" t="str">
        <f>テーブル1[[#This Row],[大学・大学院]]&amp;テーブル1[[#This Row],[専門学校]]</f>
        <v>東京グローバルビジネス専門学校</v>
      </c>
    </row>
    <row r="228" spans="1:14" x14ac:dyDescent="0.4">
      <c r="A228" s="4">
        <v>2310027</v>
      </c>
      <c r="B228" s="5" t="s">
        <v>85</v>
      </c>
      <c r="C228" t="s">
        <v>281</v>
      </c>
      <c r="D228" t="s">
        <v>486</v>
      </c>
      <c r="E228" t="s">
        <v>15</v>
      </c>
      <c r="F228" t="s">
        <v>328</v>
      </c>
      <c r="G228" t="s">
        <v>307</v>
      </c>
      <c r="J228" t="str">
        <f>IF(OR(テーブル1[[#This Row],[最終合格校]]&lt;&gt;"",テーブル1[[#This Row],[進路区分]]="進学未定",テーブル1[[#This Row],[出願経験]]="有"),"○","")&amp;F228</f>
        <v>○トヨタ神戸自動車大学校</v>
      </c>
      <c r="K228" t="str">
        <f t="shared" si="9"/>
        <v>専門学校</v>
      </c>
      <c r="L228" t="str">
        <f t="shared" si="10"/>
        <v/>
      </c>
      <c r="M228" t="str">
        <f t="shared" si="11"/>
        <v>トヨタ神戸自動車大学校</v>
      </c>
      <c r="N228" t="str">
        <f>テーブル1[[#This Row],[大学・大学院]]&amp;テーブル1[[#This Row],[専門学校]]</f>
        <v>トヨタ神戸自動車大学校</v>
      </c>
    </row>
    <row r="229" spans="1:14" x14ac:dyDescent="0.4">
      <c r="A229" s="4">
        <v>2310028</v>
      </c>
      <c r="B229" s="5" t="s">
        <v>85</v>
      </c>
      <c r="C229" t="s">
        <v>282</v>
      </c>
      <c r="D229" t="s">
        <v>486</v>
      </c>
      <c r="E229" t="s">
        <v>14</v>
      </c>
      <c r="F229" t="s">
        <v>385</v>
      </c>
      <c r="G229" t="s">
        <v>307</v>
      </c>
      <c r="J229" t="str">
        <f>IF(OR(テーブル1[[#This Row],[最終合格校]]&lt;&gt;"",テーブル1[[#This Row],[進路区分]]="進学未定",テーブル1[[#This Row],[出願経験]]="有"),"○","")&amp;F229</f>
        <v>○流通科学大学</v>
      </c>
      <c r="K229" t="str">
        <f t="shared" si="9"/>
        <v>大学</v>
      </c>
      <c r="L229" t="str">
        <f t="shared" si="10"/>
        <v>流通科学大学</v>
      </c>
      <c r="M229" t="str">
        <f t="shared" si="11"/>
        <v/>
      </c>
      <c r="N229" t="str">
        <f>テーブル1[[#This Row],[大学・大学院]]&amp;テーブル1[[#This Row],[専門学校]]</f>
        <v>流通科学大学</v>
      </c>
    </row>
    <row r="230" spans="1:14" x14ac:dyDescent="0.4">
      <c r="A230" s="4">
        <v>2310029</v>
      </c>
      <c r="B230" s="5" t="s">
        <v>85</v>
      </c>
      <c r="C230" t="s">
        <v>283</v>
      </c>
      <c r="D230" t="s">
        <v>486</v>
      </c>
      <c r="E230" t="s">
        <v>14</v>
      </c>
      <c r="F230" t="s">
        <v>460</v>
      </c>
      <c r="G230" t="s">
        <v>307</v>
      </c>
      <c r="J230" t="str">
        <f>IF(OR(テーブル1[[#This Row],[最終合格校]]&lt;&gt;"",テーブル1[[#This Row],[進路区分]]="進学未定",テーブル1[[#This Row],[出願経験]]="有"),"○","")&amp;F230</f>
        <v>○神戸親和大学</v>
      </c>
      <c r="K230" t="str">
        <f t="shared" si="9"/>
        <v>大学</v>
      </c>
      <c r="L230" t="str">
        <f t="shared" si="10"/>
        <v>神戸親和大学</v>
      </c>
      <c r="M230" t="str">
        <f t="shared" si="11"/>
        <v/>
      </c>
      <c r="N230" t="str">
        <f>テーブル1[[#This Row],[大学・大学院]]&amp;テーブル1[[#This Row],[専門学校]]</f>
        <v>神戸親和大学</v>
      </c>
    </row>
    <row r="231" spans="1:14" x14ac:dyDescent="0.4">
      <c r="A231" s="4">
        <v>2310039</v>
      </c>
      <c r="B231" s="5" t="s">
        <v>85</v>
      </c>
      <c r="C231" t="s">
        <v>284</v>
      </c>
      <c r="D231" t="s">
        <v>486</v>
      </c>
      <c r="E231" t="s">
        <v>15</v>
      </c>
      <c r="F231" t="s">
        <v>328</v>
      </c>
      <c r="G231" t="s">
        <v>307</v>
      </c>
      <c r="J231" t="str">
        <f>IF(OR(テーブル1[[#This Row],[最終合格校]]&lt;&gt;"",テーブル1[[#This Row],[進路区分]]="進学未定",テーブル1[[#This Row],[出願経験]]="有"),"○","")&amp;F231</f>
        <v>○トヨタ神戸自動車大学校</v>
      </c>
      <c r="K231" t="str">
        <f t="shared" si="9"/>
        <v>専門学校</v>
      </c>
      <c r="L231" t="str">
        <f t="shared" si="10"/>
        <v/>
      </c>
      <c r="M231" t="str">
        <f t="shared" si="11"/>
        <v>トヨタ神戸自動車大学校</v>
      </c>
      <c r="N231" t="str">
        <f>テーブル1[[#This Row],[大学・大学院]]&amp;テーブル1[[#This Row],[専門学校]]</f>
        <v>トヨタ神戸自動車大学校</v>
      </c>
    </row>
    <row r="232" spans="1:14" x14ac:dyDescent="0.4">
      <c r="A232" s="4">
        <v>2310043</v>
      </c>
      <c r="B232" s="5" t="s">
        <v>85</v>
      </c>
      <c r="C232" t="s">
        <v>285</v>
      </c>
      <c r="D232" t="s">
        <v>486</v>
      </c>
      <c r="E232" t="s">
        <v>15</v>
      </c>
      <c r="F232" t="s">
        <v>330</v>
      </c>
      <c r="G232" t="s">
        <v>307</v>
      </c>
      <c r="J232" t="str">
        <f>IF(OR(テーブル1[[#This Row],[最終合格校]]&lt;&gt;"",テーブル1[[#This Row],[進路区分]]="進学未定",テーブル1[[#This Row],[出願経験]]="有"),"○","")&amp;F232</f>
        <v>○ICT専門学校</v>
      </c>
      <c r="K232" t="str">
        <f t="shared" si="9"/>
        <v>専門学校</v>
      </c>
      <c r="L232" t="str">
        <f t="shared" si="10"/>
        <v/>
      </c>
      <c r="M232" t="str">
        <f t="shared" si="11"/>
        <v>ICT専門学校</v>
      </c>
      <c r="N232" t="str">
        <f>テーブル1[[#This Row],[大学・大学院]]&amp;テーブル1[[#This Row],[専門学校]]</f>
        <v>ICT専門学校</v>
      </c>
    </row>
    <row r="233" spans="1:14" x14ac:dyDescent="0.4">
      <c r="A233" s="4">
        <v>2310045</v>
      </c>
      <c r="B233" s="5" t="s">
        <v>85</v>
      </c>
      <c r="C233" t="s">
        <v>286</v>
      </c>
      <c r="D233" t="s">
        <v>486</v>
      </c>
      <c r="E233" t="s">
        <v>15</v>
      </c>
      <c r="F233" t="s">
        <v>330</v>
      </c>
      <c r="G233" t="s">
        <v>307</v>
      </c>
      <c r="J233" t="str">
        <f>IF(OR(テーブル1[[#This Row],[最終合格校]]&lt;&gt;"",テーブル1[[#This Row],[進路区分]]="進学未定",テーブル1[[#This Row],[出願経験]]="有"),"○","")&amp;F233</f>
        <v>○ICT専門学校</v>
      </c>
      <c r="K233" t="str">
        <f t="shared" si="9"/>
        <v>専門学校</v>
      </c>
      <c r="L233" t="str">
        <f t="shared" si="10"/>
        <v/>
      </c>
      <c r="M233" t="str">
        <f t="shared" si="11"/>
        <v>ICT専門学校</v>
      </c>
      <c r="N233" t="str">
        <f>テーブル1[[#This Row],[大学・大学院]]&amp;テーブル1[[#This Row],[専門学校]]</f>
        <v>ICT専門学校</v>
      </c>
    </row>
    <row r="234" spans="1:14" x14ac:dyDescent="0.4">
      <c r="A234" s="4">
        <v>2304025</v>
      </c>
      <c r="B234" s="5" t="s">
        <v>86</v>
      </c>
      <c r="C234" t="s">
        <v>287</v>
      </c>
      <c r="D234" t="s">
        <v>486</v>
      </c>
      <c r="E234" t="s">
        <v>15</v>
      </c>
      <c r="F234" t="s">
        <v>310</v>
      </c>
      <c r="G234" t="s">
        <v>307</v>
      </c>
      <c r="J234" t="str">
        <f>IF(OR(テーブル1[[#This Row],[最終合格校]]&lt;&gt;"",テーブル1[[#This Row],[進路区分]]="進学未定",テーブル1[[#This Row],[出願経験]]="有"),"○","")&amp;F234</f>
        <v>○東亜経理専門学校</v>
      </c>
      <c r="K234" t="str">
        <f t="shared" si="9"/>
        <v>専門学校</v>
      </c>
      <c r="L234" t="str">
        <f t="shared" si="10"/>
        <v/>
      </c>
      <c r="M234" t="str">
        <f t="shared" si="11"/>
        <v>東亜経理専門学校</v>
      </c>
      <c r="N234" t="str">
        <f>テーブル1[[#This Row],[大学・大学院]]&amp;テーブル1[[#This Row],[専門学校]]</f>
        <v>東亜経理専門学校</v>
      </c>
    </row>
    <row r="235" spans="1:14" x14ac:dyDescent="0.4">
      <c r="A235" s="4">
        <v>2304103</v>
      </c>
      <c r="B235" s="5" t="s">
        <v>86</v>
      </c>
      <c r="C235" t="s">
        <v>288</v>
      </c>
      <c r="D235" t="s">
        <v>486</v>
      </c>
      <c r="E235" t="s">
        <v>15</v>
      </c>
      <c r="F235" t="s">
        <v>330</v>
      </c>
      <c r="G235" t="s">
        <v>307</v>
      </c>
      <c r="J235" t="str">
        <f>IF(OR(テーブル1[[#This Row],[最終合格校]]&lt;&gt;"",テーブル1[[#This Row],[進路区分]]="進学未定",テーブル1[[#This Row],[出願経験]]="有"),"○","")&amp;F235</f>
        <v>○ICT専門学校</v>
      </c>
      <c r="K235" t="str">
        <f t="shared" si="9"/>
        <v>専門学校</v>
      </c>
      <c r="L235" t="str">
        <f t="shared" si="10"/>
        <v/>
      </c>
      <c r="M235" t="str">
        <f t="shared" si="11"/>
        <v>ICT専門学校</v>
      </c>
      <c r="N235" t="str">
        <f>テーブル1[[#This Row],[大学・大学院]]&amp;テーブル1[[#This Row],[専門学校]]</f>
        <v>ICT専門学校</v>
      </c>
    </row>
    <row r="236" spans="1:14" x14ac:dyDescent="0.4">
      <c r="A236" s="4">
        <v>2310002</v>
      </c>
      <c r="B236" s="5" t="s">
        <v>86</v>
      </c>
      <c r="C236" t="s">
        <v>289</v>
      </c>
      <c r="D236" t="s">
        <v>486</v>
      </c>
      <c r="E236" t="s">
        <v>491</v>
      </c>
      <c r="J236" t="str">
        <f>IF(OR(テーブル1[[#This Row],[最終合格校]]&lt;&gt;"",テーブル1[[#This Row],[進路区分]]="進学未定",テーブル1[[#This Row],[出願経験]]="有"),"○","")&amp;F236</f>
        <v/>
      </c>
      <c r="K236" t="str">
        <f t="shared" si="9"/>
        <v>転校</v>
      </c>
      <c r="L236" t="str">
        <f t="shared" si="10"/>
        <v/>
      </c>
      <c r="M236" t="str">
        <f t="shared" si="11"/>
        <v/>
      </c>
      <c r="N236" t="str">
        <f>テーブル1[[#This Row],[大学・大学院]]&amp;テーブル1[[#This Row],[専門学校]]</f>
        <v/>
      </c>
    </row>
    <row r="237" spans="1:14" x14ac:dyDescent="0.4">
      <c r="A237" s="4">
        <v>2310004</v>
      </c>
      <c r="B237" s="5" t="s">
        <v>86</v>
      </c>
      <c r="C237" t="s">
        <v>290</v>
      </c>
      <c r="D237" t="s">
        <v>486</v>
      </c>
      <c r="E237" t="s">
        <v>16</v>
      </c>
      <c r="G237" t="s">
        <v>307</v>
      </c>
      <c r="J237" t="str">
        <f>IF(OR(テーブル1[[#This Row],[最終合格校]]&lt;&gt;"",テーブル1[[#This Row],[進路区分]]="進学未定",テーブル1[[#This Row],[出願経験]]="有"),"○","")&amp;F237</f>
        <v>○</v>
      </c>
      <c r="K237" t="str">
        <f t="shared" si="9"/>
        <v>帰国</v>
      </c>
      <c r="L237" t="str">
        <f t="shared" si="10"/>
        <v/>
      </c>
      <c r="M237" t="str">
        <f t="shared" si="11"/>
        <v/>
      </c>
      <c r="N237" t="s">
        <v>492</v>
      </c>
    </row>
    <row r="238" spans="1:14" x14ac:dyDescent="0.4">
      <c r="A238" s="4">
        <v>2310005</v>
      </c>
      <c r="B238" s="5" t="s">
        <v>86</v>
      </c>
      <c r="C238" t="s">
        <v>291</v>
      </c>
      <c r="D238" t="s">
        <v>332</v>
      </c>
      <c r="E238" t="s">
        <v>487</v>
      </c>
      <c r="I238" t="s">
        <v>35</v>
      </c>
      <c r="J238" t="str">
        <f>IF(OR(テーブル1[[#This Row],[最終合格校]]&lt;&gt;"",テーブル1[[#This Row],[進路区分]]="進学未定",テーブル1[[#This Row],[出願経験]]="有"),"○","")&amp;F238</f>
        <v/>
      </c>
      <c r="K238" t="str">
        <f t="shared" si="9"/>
        <v/>
      </c>
      <c r="L238" t="str">
        <f t="shared" si="10"/>
        <v/>
      </c>
      <c r="M238" t="str">
        <f t="shared" si="11"/>
        <v/>
      </c>
      <c r="N238" t="str">
        <f>テーブル1[[#This Row],[大学・大学院]]&amp;テーブル1[[#This Row],[専門学校]]</f>
        <v/>
      </c>
    </row>
    <row r="239" spans="1:14" x14ac:dyDescent="0.4">
      <c r="A239" s="4">
        <v>2310007</v>
      </c>
      <c r="B239" s="5" t="s">
        <v>86</v>
      </c>
      <c r="C239" t="s">
        <v>292</v>
      </c>
      <c r="D239" t="s">
        <v>486</v>
      </c>
      <c r="E239" t="s">
        <v>15</v>
      </c>
      <c r="F239" t="s">
        <v>339</v>
      </c>
      <c r="G239" t="s">
        <v>307</v>
      </c>
      <c r="J239" t="str">
        <f>IF(OR(テーブル1[[#This Row],[最終合格校]]&lt;&gt;"",テーブル1[[#This Row],[進路区分]]="進学未定",テーブル1[[#This Row],[出願経験]]="有"),"○","")&amp;F239</f>
        <v>○日本工科大学校</v>
      </c>
      <c r="K239" t="str">
        <f t="shared" si="9"/>
        <v>専門学校</v>
      </c>
      <c r="L239" t="str">
        <f t="shared" si="10"/>
        <v/>
      </c>
      <c r="M239" t="str">
        <f t="shared" si="11"/>
        <v>日本工科大学校</v>
      </c>
      <c r="N239" t="str">
        <f>テーブル1[[#This Row],[大学・大学院]]&amp;テーブル1[[#This Row],[専門学校]]</f>
        <v>日本工科大学校</v>
      </c>
    </row>
    <row r="240" spans="1:14" x14ac:dyDescent="0.4">
      <c r="A240" s="4">
        <v>2310021</v>
      </c>
      <c r="B240" s="5" t="s">
        <v>86</v>
      </c>
      <c r="C240" t="s">
        <v>293</v>
      </c>
      <c r="D240" t="s">
        <v>486</v>
      </c>
      <c r="E240" t="s">
        <v>15</v>
      </c>
      <c r="F240" t="s">
        <v>317</v>
      </c>
      <c r="G240" t="s">
        <v>307</v>
      </c>
      <c r="J240" t="str">
        <f>IF(OR(テーブル1[[#This Row],[最終合格校]]&lt;&gt;"",テーブル1[[#This Row],[進路区分]]="進学未定",テーブル1[[#This Row],[出願経験]]="有"),"○","")&amp;F240</f>
        <v>○中央工学校OSAKA</v>
      </c>
      <c r="K240" t="str">
        <f t="shared" si="9"/>
        <v>専門学校</v>
      </c>
      <c r="L240" t="str">
        <f t="shared" si="10"/>
        <v/>
      </c>
      <c r="M240" t="str">
        <f t="shared" si="11"/>
        <v>中央工学校OSAKA</v>
      </c>
      <c r="N240" t="str">
        <f>テーブル1[[#This Row],[大学・大学院]]&amp;テーブル1[[#This Row],[専門学校]]</f>
        <v>中央工学校OSAKA</v>
      </c>
    </row>
    <row r="241" spans="1:14" x14ac:dyDescent="0.4">
      <c r="A241" s="4">
        <v>2310030</v>
      </c>
      <c r="B241" s="5" t="s">
        <v>86</v>
      </c>
      <c r="C241" t="s">
        <v>294</v>
      </c>
      <c r="D241" t="s">
        <v>486</v>
      </c>
      <c r="E241" t="s">
        <v>15</v>
      </c>
      <c r="F241" t="s">
        <v>330</v>
      </c>
      <c r="G241" t="s">
        <v>307</v>
      </c>
      <c r="J241" t="str">
        <f>IF(OR(テーブル1[[#This Row],[最終合格校]]&lt;&gt;"",テーブル1[[#This Row],[進路区分]]="進学未定",テーブル1[[#This Row],[出願経験]]="有"),"○","")&amp;F241</f>
        <v>○ICT専門学校</v>
      </c>
      <c r="K241" t="str">
        <f t="shared" si="9"/>
        <v>専門学校</v>
      </c>
      <c r="L241" t="str">
        <f t="shared" si="10"/>
        <v/>
      </c>
      <c r="M241" t="str">
        <f t="shared" si="11"/>
        <v>ICT専門学校</v>
      </c>
      <c r="N241" t="str">
        <f>テーブル1[[#This Row],[大学・大学院]]&amp;テーブル1[[#This Row],[専門学校]]</f>
        <v>ICT専門学校</v>
      </c>
    </row>
    <row r="242" spans="1:14" x14ac:dyDescent="0.4">
      <c r="A242" s="4">
        <v>2310031</v>
      </c>
      <c r="B242" s="5" t="s">
        <v>86</v>
      </c>
      <c r="C242" t="s">
        <v>295</v>
      </c>
      <c r="D242" t="s">
        <v>486</v>
      </c>
      <c r="E242" t="s">
        <v>15</v>
      </c>
      <c r="F242" t="s">
        <v>320</v>
      </c>
      <c r="G242" t="s">
        <v>307</v>
      </c>
      <c r="J242" t="str">
        <f>IF(OR(テーブル1[[#This Row],[最終合格校]]&lt;&gt;"",テーブル1[[#This Row],[進路区分]]="進学未定",テーブル1[[#This Row],[出願経験]]="有"),"○","")&amp;F242</f>
        <v>○東京国際ビジネスカレッジ神戸校</v>
      </c>
      <c r="K242" t="str">
        <f t="shared" si="9"/>
        <v>専門学校</v>
      </c>
      <c r="L242" t="str">
        <f t="shared" si="10"/>
        <v/>
      </c>
      <c r="M242" t="str">
        <f t="shared" si="11"/>
        <v>東京国際ビジネスカレッジ神戸校</v>
      </c>
      <c r="N242" t="str">
        <f>テーブル1[[#This Row],[大学・大学院]]&amp;テーブル1[[#This Row],[専門学校]]</f>
        <v>東京国際ビジネスカレッジ神戸校</v>
      </c>
    </row>
    <row r="243" spans="1:14" x14ac:dyDescent="0.4">
      <c r="A243" s="4">
        <v>2310032</v>
      </c>
      <c r="B243" s="5" t="s">
        <v>86</v>
      </c>
      <c r="C243" t="s">
        <v>296</v>
      </c>
      <c r="D243" t="s">
        <v>486</v>
      </c>
      <c r="E243" t="s">
        <v>15</v>
      </c>
      <c r="F243" t="s">
        <v>405</v>
      </c>
      <c r="G243" t="s">
        <v>307</v>
      </c>
      <c r="J243" t="str">
        <f>IF(OR(テーブル1[[#This Row],[最終合格校]]&lt;&gt;"",テーブル1[[#This Row],[進路区分]]="進学未定",テーブル1[[#This Row],[出願経験]]="有"),"○","")&amp;F243</f>
        <v>○太田工科専門学校</v>
      </c>
      <c r="K243" t="str">
        <f t="shared" si="9"/>
        <v>専門学校</v>
      </c>
      <c r="L243" t="str">
        <f t="shared" si="10"/>
        <v/>
      </c>
      <c r="M243" t="str">
        <f t="shared" si="11"/>
        <v>太田工科専門学校</v>
      </c>
      <c r="N243" t="str">
        <f>テーブル1[[#This Row],[大学・大学院]]&amp;テーブル1[[#This Row],[専門学校]]</f>
        <v>太田工科専門学校</v>
      </c>
    </row>
    <row r="244" spans="1:14" x14ac:dyDescent="0.4">
      <c r="A244" s="4">
        <v>2310033</v>
      </c>
      <c r="B244" s="5" t="s">
        <v>86</v>
      </c>
      <c r="C244" t="s">
        <v>297</v>
      </c>
      <c r="D244" t="s">
        <v>486</v>
      </c>
      <c r="E244" t="s">
        <v>15</v>
      </c>
      <c r="F244" t="s">
        <v>405</v>
      </c>
      <c r="G244" t="s">
        <v>307</v>
      </c>
      <c r="J244" t="str">
        <f>IF(OR(テーブル1[[#This Row],[最終合格校]]&lt;&gt;"",テーブル1[[#This Row],[進路区分]]="進学未定",テーブル1[[#This Row],[出願経験]]="有"),"○","")&amp;F244</f>
        <v>○太田工科専門学校</v>
      </c>
      <c r="K244" t="str">
        <f t="shared" si="9"/>
        <v>専門学校</v>
      </c>
      <c r="L244" t="str">
        <f t="shared" si="10"/>
        <v/>
      </c>
      <c r="M244" t="str">
        <f t="shared" si="11"/>
        <v>太田工科専門学校</v>
      </c>
      <c r="N244" t="str">
        <f>テーブル1[[#This Row],[大学・大学院]]&amp;テーブル1[[#This Row],[専門学校]]</f>
        <v>太田工科専門学校</v>
      </c>
    </row>
    <row r="245" spans="1:14" x14ac:dyDescent="0.4">
      <c r="A245" s="4">
        <v>2310034</v>
      </c>
      <c r="B245" s="5" t="s">
        <v>86</v>
      </c>
      <c r="C245" t="s">
        <v>298</v>
      </c>
      <c r="D245" t="s">
        <v>486</v>
      </c>
      <c r="E245" t="s">
        <v>15</v>
      </c>
      <c r="F245" t="s">
        <v>319</v>
      </c>
      <c r="G245" t="s">
        <v>307</v>
      </c>
      <c r="J245" t="str">
        <f>IF(OR(テーブル1[[#This Row],[最終合格校]]&lt;&gt;"",テーブル1[[#This Row],[進路区分]]="進学未定",テーブル1[[#This Row],[出願経験]]="有"),"○","")&amp;F245</f>
        <v>○太田工科専門学校</v>
      </c>
      <c r="K245" t="str">
        <f t="shared" si="9"/>
        <v>専門学校</v>
      </c>
      <c r="L245" t="str">
        <f t="shared" si="10"/>
        <v/>
      </c>
      <c r="M245" t="str">
        <f t="shared" si="11"/>
        <v>太田工科専門学校</v>
      </c>
      <c r="N245" t="str">
        <f>テーブル1[[#This Row],[大学・大学院]]&amp;テーブル1[[#This Row],[専門学校]]</f>
        <v>太田工科専門学校</v>
      </c>
    </row>
    <row r="246" spans="1:14" x14ac:dyDescent="0.4">
      <c r="A246" s="4">
        <v>2310036</v>
      </c>
      <c r="B246" s="5" t="s">
        <v>86</v>
      </c>
      <c r="C246" t="s">
        <v>299</v>
      </c>
      <c r="D246" t="s">
        <v>486</v>
      </c>
      <c r="E246" t="s">
        <v>15</v>
      </c>
      <c r="F246" t="s">
        <v>320</v>
      </c>
      <c r="G246" t="s">
        <v>307</v>
      </c>
      <c r="J246" t="str">
        <f>IF(OR(テーブル1[[#This Row],[最終合格校]]&lt;&gt;"",テーブル1[[#This Row],[進路区分]]="進学未定",テーブル1[[#This Row],[出願経験]]="有"),"○","")&amp;F246</f>
        <v>○東京国際ビジネスカレッジ神戸校</v>
      </c>
      <c r="K246" t="str">
        <f t="shared" si="9"/>
        <v>専門学校</v>
      </c>
      <c r="L246" t="str">
        <f t="shared" si="10"/>
        <v/>
      </c>
      <c r="M246" t="str">
        <f t="shared" si="11"/>
        <v>東京国際ビジネスカレッジ神戸校</v>
      </c>
      <c r="N246" t="str">
        <f>テーブル1[[#This Row],[大学・大学院]]&amp;テーブル1[[#This Row],[専門学校]]</f>
        <v>東京国際ビジネスカレッジ神戸校</v>
      </c>
    </row>
    <row r="247" spans="1:14" x14ac:dyDescent="0.4">
      <c r="A247" s="4">
        <v>2310037</v>
      </c>
      <c r="B247" s="5" t="s">
        <v>86</v>
      </c>
      <c r="C247" t="s">
        <v>300</v>
      </c>
      <c r="D247" t="s">
        <v>486</v>
      </c>
      <c r="E247" t="s">
        <v>15</v>
      </c>
      <c r="F247" t="s">
        <v>320</v>
      </c>
      <c r="G247" t="s">
        <v>307</v>
      </c>
      <c r="J247" t="str">
        <f>IF(OR(テーブル1[[#This Row],[最終合格校]]&lt;&gt;"",テーブル1[[#This Row],[進路区分]]="進学未定",テーブル1[[#This Row],[出願経験]]="有"),"○","")&amp;F247</f>
        <v>○東京国際ビジネスカレッジ神戸校</v>
      </c>
      <c r="K247" t="str">
        <f t="shared" si="9"/>
        <v>専門学校</v>
      </c>
      <c r="L247" t="str">
        <f t="shared" si="10"/>
        <v/>
      </c>
      <c r="M247" t="str">
        <f t="shared" si="11"/>
        <v>東京国際ビジネスカレッジ神戸校</v>
      </c>
      <c r="N247" t="str">
        <f>テーブル1[[#This Row],[大学・大学院]]&amp;テーブル1[[#This Row],[専門学校]]</f>
        <v>東京国際ビジネスカレッジ神戸校</v>
      </c>
    </row>
    <row r="248" spans="1:14" x14ac:dyDescent="0.4">
      <c r="A248" s="4">
        <v>2310038</v>
      </c>
      <c r="B248" s="5" t="s">
        <v>86</v>
      </c>
      <c r="C248" t="s">
        <v>301</v>
      </c>
      <c r="D248" t="s">
        <v>486</v>
      </c>
      <c r="E248" t="s">
        <v>15</v>
      </c>
      <c r="F248" t="s">
        <v>320</v>
      </c>
      <c r="G248" t="s">
        <v>307</v>
      </c>
      <c r="J248" t="str">
        <f>IF(OR(テーブル1[[#This Row],[最終合格校]]&lt;&gt;"",テーブル1[[#This Row],[進路区分]]="進学未定",テーブル1[[#This Row],[出願経験]]="有"),"○","")&amp;F248</f>
        <v>○東京国際ビジネスカレッジ神戸校</v>
      </c>
      <c r="K248" t="str">
        <f t="shared" si="9"/>
        <v>専門学校</v>
      </c>
      <c r="L248" t="str">
        <f t="shared" si="10"/>
        <v/>
      </c>
      <c r="M248" t="str">
        <f t="shared" si="11"/>
        <v>東京国際ビジネスカレッジ神戸校</v>
      </c>
      <c r="N248" t="str">
        <f>テーブル1[[#This Row],[大学・大学院]]&amp;テーブル1[[#This Row],[専門学校]]</f>
        <v>東京国際ビジネスカレッジ神戸校</v>
      </c>
    </row>
    <row r="249" spans="1:14" x14ac:dyDescent="0.4">
      <c r="A249" s="4">
        <v>2310040</v>
      </c>
      <c r="B249" s="5" t="s">
        <v>86</v>
      </c>
      <c r="C249" t="s">
        <v>302</v>
      </c>
      <c r="D249" t="s">
        <v>486</v>
      </c>
      <c r="E249" t="s">
        <v>15</v>
      </c>
      <c r="F249" t="s">
        <v>308</v>
      </c>
      <c r="G249" t="s">
        <v>307</v>
      </c>
      <c r="J249" t="str">
        <f>IF(OR(テーブル1[[#This Row],[最終合格校]]&lt;&gt;"",テーブル1[[#This Row],[進路区分]]="進学未定",テーブル1[[#This Row],[出願経験]]="有"),"○","")&amp;F249</f>
        <v>○CAD製図専門学校</v>
      </c>
      <c r="K249" t="str">
        <f t="shared" si="9"/>
        <v>専門学校</v>
      </c>
      <c r="L249" t="str">
        <f t="shared" si="10"/>
        <v/>
      </c>
      <c r="M249" t="str">
        <f t="shared" si="11"/>
        <v>CAD製図専門学校</v>
      </c>
      <c r="N249" t="str">
        <f>テーブル1[[#This Row],[大学・大学院]]&amp;テーブル1[[#This Row],[専門学校]]</f>
        <v>CAD製図専門学校</v>
      </c>
    </row>
    <row r="250" spans="1:14" x14ac:dyDescent="0.4">
      <c r="A250" s="4">
        <v>2310041</v>
      </c>
      <c r="B250" s="5" t="s">
        <v>86</v>
      </c>
      <c r="C250" t="s">
        <v>303</v>
      </c>
      <c r="D250" t="s">
        <v>486</v>
      </c>
      <c r="E250" t="s">
        <v>15</v>
      </c>
      <c r="F250" t="s">
        <v>308</v>
      </c>
      <c r="G250" t="s">
        <v>307</v>
      </c>
      <c r="J250" t="str">
        <f>IF(OR(テーブル1[[#This Row],[最終合格校]]&lt;&gt;"",テーブル1[[#This Row],[進路区分]]="進学未定",テーブル1[[#This Row],[出願経験]]="有"),"○","")&amp;F250</f>
        <v>○CAD製図専門学校</v>
      </c>
      <c r="K250" t="str">
        <f t="shared" si="9"/>
        <v>専門学校</v>
      </c>
      <c r="L250" t="str">
        <f t="shared" si="10"/>
        <v/>
      </c>
      <c r="M250" t="str">
        <f t="shared" si="11"/>
        <v>CAD製図専門学校</v>
      </c>
      <c r="N250" t="str">
        <f>テーブル1[[#This Row],[大学・大学院]]&amp;テーブル1[[#This Row],[専門学校]]</f>
        <v>CAD製図専門学校</v>
      </c>
    </row>
    <row r="251" spans="1:14" x14ac:dyDescent="0.4">
      <c r="A251" s="4">
        <v>2310042</v>
      </c>
      <c r="B251" s="5" t="s">
        <v>86</v>
      </c>
      <c r="C251" t="s">
        <v>304</v>
      </c>
      <c r="D251" t="s">
        <v>486</v>
      </c>
      <c r="E251" t="s">
        <v>15</v>
      </c>
      <c r="F251" t="s">
        <v>308</v>
      </c>
      <c r="G251" t="s">
        <v>307</v>
      </c>
      <c r="J251" t="str">
        <f>IF(OR(テーブル1[[#This Row],[最終合格校]]&lt;&gt;"",テーブル1[[#This Row],[進路区分]]="進学未定",テーブル1[[#This Row],[出願経験]]="有"),"○","")&amp;F251</f>
        <v>○CAD製図専門学校</v>
      </c>
      <c r="K251" t="str">
        <f t="shared" si="9"/>
        <v>専門学校</v>
      </c>
      <c r="L251" t="str">
        <f t="shared" si="10"/>
        <v/>
      </c>
      <c r="M251" t="str">
        <f t="shared" si="11"/>
        <v>CAD製図専門学校</v>
      </c>
      <c r="N251" t="str">
        <f>テーブル1[[#This Row],[大学・大学院]]&amp;テーブル1[[#This Row],[専門学校]]</f>
        <v>CAD製図専門学校</v>
      </c>
    </row>
    <row r="252" spans="1:14" x14ac:dyDescent="0.4">
      <c r="A252" s="4">
        <v>2310046</v>
      </c>
      <c r="B252" s="5" t="s">
        <v>86</v>
      </c>
      <c r="C252" t="s">
        <v>305</v>
      </c>
      <c r="D252" t="s">
        <v>486</v>
      </c>
      <c r="E252" t="s">
        <v>15</v>
      </c>
      <c r="F252" t="s">
        <v>330</v>
      </c>
      <c r="G252" t="s">
        <v>307</v>
      </c>
      <c r="J252" t="str">
        <f>IF(OR(テーブル1[[#This Row],[最終合格校]]&lt;&gt;"",テーブル1[[#This Row],[進路区分]]="進学未定",テーブル1[[#This Row],[出願経験]]="有"),"○","")&amp;F252</f>
        <v>○ICT専門学校</v>
      </c>
      <c r="K252" t="str">
        <f t="shared" si="9"/>
        <v>専門学校</v>
      </c>
      <c r="L252" t="str">
        <f t="shared" si="10"/>
        <v/>
      </c>
      <c r="M252" t="str">
        <f t="shared" si="11"/>
        <v>ICT専門学校</v>
      </c>
      <c r="N252" t="str">
        <f>テーブル1[[#This Row],[大学・大学院]]&amp;テーブル1[[#This Row],[専門学校]]</f>
        <v>ICT専門学校</v>
      </c>
    </row>
    <row r="253" spans="1:14" x14ac:dyDescent="0.4">
      <c r="A253" s="4">
        <v>2310047</v>
      </c>
      <c r="B253" s="5" t="s">
        <v>86</v>
      </c>
      <c r="C253" t="s">
        <v>306</v>
      </c>
      <c r="D253" t="s">
        <v>486</v>
      </c>
      <c r="E253" t="s">
        <v>15</v>
      </c>
      <c r="F253" t="s">
        <v>320</v>
      </c>
      <c r="G253" t="s">
        <v>307</v>
      </c>
      <c r="J253" t="str">
        <f>IF(OR(テーブル1[[#This Row],[最終合格校]]&lt;&gt;"",テーブル1[[#This Row],[進路区分]]="進学未定",テーブル1[[#This Row],[出願経験]]="有"),"○","")&amp;F253</f>
        <v>○東京国際ビジネスカレッジ神戸校</v>
      </c>
      <c r="K253" t="str">
        <f t="shared" si="9"/>
        <v>専門学校</v>
      </c>
      <c r="L253" t="str">
        <f t="shared" si="10"/>
        <v/>
      </c>
      <c r="M253" t="str">
        <f t="shared" si="11"/>
        <v>東京国際ビジネスカレッジ神戸校</v>
      </c>
      <c r="N253" t="str">
        <f>テーブル1[[#This Row],[大学・大学院]]&amp;テーブル1[[#This Row],[専門学校]]</f>
        <v>東京国際ビジネスカレッジ神戸校</v>
      </c>
    </row>
    <row r="254" spans="1:14" x14ac:dyDescent="0.4">
      <c r="A254" s="4">
        <v>2304011</v>
      </c>
      <c r="B254" s="8" t="s">
        <v>370</v>
      </c>
      <c r="C254" s="9" t="s">
        <v>368</v>
      </c>
      <c r="D254" t="s">
        <v>332</v>
      </c>
      <c r="E254" t="s">
        <v>371</v>
      </c>
      <c r="F254" t="s">
        <v>372</v>
      </c>
      <c r="G254" t="s">
        <v>307</v>
      </c>
      <c r="H254" t="s">
        <v>360</v>
      </c>
      <c r="I254" t="s">
        <v>29</v>
      </c>
      <c r="J254" t="str">
        <f>IF(OR(テーブル1[[#This Row],[最終合格校]]&lt;&gt;"",テーブル1[[#This Row],[進路区分]]="進学未定",テーブル1[[#This Row],[出願経験]]="有"),"○","")&amp;F254</f>
        <v>○神戸市外国語大学大学院研究生</v>
      </c>
      <c r="K254" t="str">
        <f t="shared" ref="K254:K257" si="12">IF(OR(D254="卒業",D254="修了",D254="延長"),E254,"")</f>
        <v/>
      </c>
      <c r="L254" t="str">
        <f t="shared" ref="L254:L257" si="13">IF(E254="大学",F254,IF(E254="大学院",F254,""))</f>
        <v>神戸市外国語大学大学院研究生</v>
      </c>
      <c r="M254" t="str">
        <f t="shared" ref="M254:M257" si="14">IF(E254="専門学校",F254,"")</f>
        <v/>
      </c>
      <c r="N254" t="str">
        <f>テーブル1[[#This Row],[大学・大学院]]&amp;テーブル1[[#This Row],[専門学校]]</f>
        <v>神戸市外国語大学大学院研究生</v>
      </c>
    </row>
    <row r="255" spans="1:14" x14ac:dyDescent="0.4">
      <c r="A255" s="4">
        <v>2310006</v>
      </c>
      <c r="B255" s="8" t="s">
        <v>381</v>
      </c>
      <c r="C255" s="9" t="s">
        <v>380</v>
      </c>
      <c r="D255" t="s">
        <v>332</v>
      </c>
      <c r="E255" t="s">
        <v>15</v>
      </c>
      <c r="F255" t="s">
        <v>382</v>
      </c>
      <c r="G255" t="s">
        <v>307</v>
      </c>
      <c r="H255" t="s">
        <v>360</v>
      </c>
      <c r="I255" t="s">
        <v>29</v>
      </c>
      <c r="J255" t="str">
        <f>IF(OR(テーブル1[[#This Row],[最終合格校]]&lt;&gt;"",テーブル1[[#This Row],[進路区分]]="進学未定",テーブル1[[#This Row],[出願経験]]="有"),"○","")&amp;F255</f>
        <v>○神戸・甲陽音楽&amp;ダンス専門学校</v>
      </c>
      <c r="K255" t="str">
        <f t="shared" si="12"/>
        <v/>
      </c>
      <c r="L255" t="str">
        <f t="shared" si="13"/>
        <v/>
      </c>
      <c r="M255" t="str">
        <f t="shared" si="14"/>
        <v>神戸・甲陽音楽&amp;ダンス専門学校</v>
      </c>
      <c r="N255" t="str">
        <f>テーブル1[[#This Row],[大学・大学院]]&amp;テーブル1[[#This Row],[専門学校]]</f>
        <v>神戸・甲陽音楽&amp;ダンス専門学校</v>
      </c>
    </row>
    <row r="256" spans="1:14" x14ac:dyDescent="0.4">
      <c r="A256" s="4">
        <v>2307001</v>
      </c>
      <c r="B256" s="5" t="s">
        <v>377</v>
      </c>
      <c r="C256" s="5" t="s">
        <v>378</v>
      </c>
      <c r="D256" t="s">
        <v>376</v>
      </c>
      <c r="H256" t="s">
        <v>360</v>
      </c>
      <c r="J256" t="str">
        <f>IF(OR(テーブル1[[#This Row],[最終合格校]]&lt;&gt;"",テーブル1[[#This Row],[進路区分]]="進学未定",テーブル1[[#This Row],[出願経験]]="有"),"○","")&amp;F256</f>
        <v/>
      </c>
      <c r="K256" t="str">
        <f t="shared" si="12"/>
        <v/>
      </c>
      <c r="L256" t="str">
        <f t="shared" si="13"/>
        <v/>
      </c>
      <c r="M256" t="str">
        <f t="shared" si="14"/>
        <v/>
      </c>
      <c r="N256" t="str">
        <f>テーブル1[[#This Row],[大学・大学院]]&amp;テーブル1[[#This Row],[専門学校]]</f>
        <v/>
      </c>
    </row>
    <row r="257" spans="1:14" x14ac:dyDescent="0.4">
      <c r="A257" s="4">
        <v>2304009</v>
      </c>
      <c r="B257" s="8" t="s">
        <v>364</v>
      </c>
      <c r="C257" s="9" t="s">
        <v>367</v>
      </c>
      <c r="D257" t="s">
        <v>332</v>
      </c>
      <c r="E257" t="s">
        <v>16</v>
      </c>
      <c r="H257" t="s">
        <v>360</v>
      </c>
      <c r="I257" t="s">
        <v>35</v>
      </c>
      <c r="J257" t="str">
        <f>IF(OR(テーブル1[[#This Row],[最終合格校]]&lt;&gt;"",テーブル1[[#This Row],[進路区分]]="進学未定",テーブル1[[#This Row],[出願経験]]="有"),"○","")&amp;F257</f>
        <v/>
      </c>
      <c r="K257" t="str">
        <f t="shared" si="12"/>
        <v/>
      </c>
      <c r="L257" t="str">
        <f t="shared" si="13"/>
        <v/>
      </c>
      <c r="M257" t="str">
        <f t="shared" si="14"/>
        <v/>
      </c>
      <c r="N257" t="str">
        <f>テーブル1[[#This Row],[大学・大学院]]&amp;テーブル1[[#This Row],[専門学校]]</f>
        <v/>
      </c>
    </row>
    <row r="258" spans="1:14" x14ac:dyDescent="0.4">
      <c r="A258" s="4">
        <v>2304012</v>
      </c>
      <c r="B258" s="8" t="s">
        <v>364</v>
      </c>
      <c r="C258" s="9" t="s">
        <v>369</v>
      </c>
      <c r="D258" t="s">
        <v>332</v>
      </c>
      <c r="E258" t="s">
        <v>17</v>
      </c>
      <c r="H258" t="s">
        <v>360</v>
      </c>
      <c r="I258" t="s">
        <v>17</v>
      </c>
      <c r="J258" t="str">
        <f>IF(OR(テーブル1[[#This Row],[最終合格校]]&lt;&gt;"",テーブル1[[#This Row],[進路区分]]="進学未定",テーブル1[[#This Row],[出願経験]]="有"),"○","")&amp;F258</f>
        <v/>
      </c>
      <c r="K258" t="str">
        <f t="shared" ref="K258:K264" si="15">IF(OR(D258="卒業",D258="修了",D258="延長"),E258,"")</f>
        <v/>
      </c>
      <c r="L258" t="str">
        <f t="shared" ref="L258:L264" si="16">IF(E258="大学",F258,IF(E258="大学院",F258,""))</f>
        <v/>
      </c>
      <c r="M258" t="str">
        <f t="shared" ref="M258:M264" si="17">IF(E258="専門学校",F258,"")</f>
        <v/>
      </c>
      <c r="N258" t="str">
        <f>テーブル1[[#This Row],[大学・大学院]]&amp;テーブル1[[#This Row],[専門学校]]</f>
        <v/>
      </c>
    </row>
    <row r="259" spans="1:14" x14ac:dyDescent="0.4">
      <c r="A259" s="4">
        <v>2304006</v>
      </c>
      <c r="B259" s="8" t="s">
        <v>362</v>
      </c>
      <c r="C259" s="9" t="s">
        <v>359</v>
      </c>
      <c r="D259" t="s">
        <v>332</v>
      </c>
      <c r="H259" t="s">
        <v>360</v>
      </c>
      <c r="J259" t="str">
        <f>IF(OR(テーブル1[[#This Row],[最終合格校]]&lt;&gt;"",テーブル1[[#This Row],[進路区分]]="進学未定",テーブル1[[#This Row],[出願経験]]="有"),"○","")&amp;F259</f>
        <v/>
      </c>
      <c r="K259" t="str">
        <f t="shared" si="15"/>
        <v/>
      </c>
      <c r="L259" t="str">
        <f t="shared" si="16"/>
        <v/>
      </c>
      <c r="M259" t="str">
        <f t="shared" si="17"/>
        <v/>
      </c>
      <c r="N259" t="str">
        <f>テーブル1[[#This Row],[大学・大学院]]&amp;テーブル1[[#This Row],[専門学校]]</f>
        <v/>
      </c>
    </row>
    <row r="260" spans="1:14" x14ac:dyDescent="0.4">
      <c r="A260" s="4">
        <v>2304008</v>
      </c>
      <c r="B260" s="8" t="s">
        <v>361</v>
      </c>
      <c r="C260" s="9" t="s">
        <v>366</v>
      </c>
      <c r="D260" t="s">
        <v>332</v>
      </c>
      <c r="E260" t="s">
        <v>16</v>
      </c>
      <c r="H260" t="s">
        <v>360</v>
      </c>
      <c r="I260" t="s">
        <v>30</v>
      </c>
      <c r="J260" t="str">
        <f>IF(OR(テーブル1[[#This Row],[最終合格校]]&lt;&gt;"",テーブル1[[#This Row],[進路区分]]="進学未定",テーブル1[[#This Row],[出願経験]]="有"),"○","")&amp;F260</f>
        <v/>
      </c>
      <c r="K260" t="str">
        <f t="shared" si="15"/>
        <v/>
      </c>
      <c r="L260" t="str">
        <f t="shared" si="16"/>
        <v/>
      </c>
      <c r="M260" t="str">
        <f t="shared" si="17"/>
        <v/>
      </c>
      <c r="N260" t="str">
        <f>テーブル1[[#This Row],[大学・大学院]]&amp;テーブル1[[#This Row],[専門学校]]</f>
        <v/>
      </c>
    </row>
    <row r="261" spans="1:14" x14ac:dyDescent="0.4">
      <c r="A261" s="4">
        <v>2307005</v>
      </c>
      <c r="B261" s="8" t="s">
        <v>362</v>
      </c>
      <c r="C261" s="9" t="s">
        <v>379</v>
      </c>
      <c r="D261" t="s">
        <v>376</v>
      </c>
      <c r="H261" t="s">
        <v>360</v>
      </c>
      <c r="J261" t="str">
        <f>IF(OR(テーブル1[[#This Row],[最終合格校]]&lt;&gt;"",テーブル1[[#This Row],[進路区分]]="進学未定",テーブル1[[#This Row],[出願経験]]="有"),"○","")&amp;F261</f>
        <v/>
      </c>
      <c r="K261" t="str">
        <f t="shared" si="15"/>
        <v/>
      </c>
      <c r="L261" t="str">
        <f t="shared" si="16"/>
        <v/>
      </c>
      <c r="M261" t="str">
        <f t="shared" si="17"/>
        <v/>
      </c>
      <c r="N261" t="str">
        <f>テーブル1[[#This Row],[大学・大学院]]&amp;テーブル1[[#This Row],[専門学校]]</f>
        <v/>
      </c>
    </row>
    <row r="262" spans="1:14" x14ac:dyDescent="0.4">
      <c r="A262" s="4">
        <v>2304016</v>
      </c>
      <c r="B262" s="8" t="s">
        <v>373</v>
      </c>
      <c r="C262" s="9" t="s">
        <v>374</v>
      </c>
      <c r="D262" t="s">
        <v>332</v>
      </c>
      <c r="E262" t="s">
        <v>17</v>
      </c>
      <c r="H262" t="s">
        <v>360</v>
      </c>
      <c r="I262" t="s">
        <v>17</v>
      </c>
      <c r="J262" t="str">
        <f>IF(OR(テーブル1[[#This Row],[最終合格校]]&lt;&gt;"",テーブル1[[#This Row],[進路区分]]="進学未定",テーブル1[[#This Row],[出願経験]]="有"),"○","")&amp;F262</f>
        <v/>
      </c>
      <c r="K262" t="str">
        <f t="shared" si="15"/>
        <v/>
      </c>
      <c r="L262" t="str">
        <f t="shared" si="16"/>
        <v/>
      </c>
      <c r="M262" t="str">
        <f t="shared" si="17"/>
        <v/>
      </c>
      <c r="N262" t="str">
        <f>テーブル1[[#This Row],[大学・大学院]]&amp;テーブル1[[#This Row],[専門学校]]</f>
        <v/>
      </c>
    </row>
    <row r="263" spans="1:14" x14ac:dyDescent="0.4">
      <c r="A263" s="4">
        <v>2304018</v>
      </c>
      <c r="B263" s="8" t="s">
        <v>373</v>
      </c>
      <c r="C263" s="9" t="s">
        <v>375</v>
      </c>
      <c r="D263" t="s">
        <v>332</v>
      </c>
      <c r="E263" t="s">
        <v>16</v>
      </c>
      <c r="H263" t="s">
        <v>360</v>
      </c>
      <c r="I263" t="s">
        <v>17</v>
      </c>
      <c r="J263" t="str">
        <f>IF(OR(テーブル1[[#This Row],[最終合格校]]&lt;&gt;"",テーブル1[[#This Row],[進路区分]]="進学未定",テーブル1[[#This Row],[出願経験]]="有"),"○","")&amp;F263</f>
        <v/>
      </c>
      <c r="K263" t="str">
        <f t="shared" si="15"/>
        <v/>
      </c>
      <c r="L263" t="str">
        <f t="shared" si="16"/>
        <v/>
      </c>
      <c r="M263" t="str">
        <f t="shared" si="17"/>
        <v/>
      </c>
      <c r="N263" t="str">
        <f>テーブル1[[#This Row],[大学・大学院]]&amp;テーブル1[[#This Row],[専門学校]]</f>
        <v/>
      </c>
    </row>
    <row r="264" spans="1:14" x14ac:dyDescent="0.4">
      <c r="A264" s="4">
        <v>2304007</v>
      </c>
      <c r="B264" s="8" t="s">
        <v>363</v>
      </c>
      <c r="C264" s="9" t="s">
        <v>365</v>
      </c>
      <c r="D264" t="s">
        <v>332</v>
      </c>
      <c r="H264" t="s">
        <v>360</v>
      </c>
      <c r="J264" t="str">
        <f>IF(OR(テーブル1[[#This Row],[最終合格校]]&lt;&gt;"",テーブル1[[#This Row],[進路区分]]="進学未定",テーブル1[[#This Row],[出願経験]]="有"),"○","")&amp;F264</f>
        <v/>
      </c>
      <c r="K264" t="str">
        <f t="shared" si="15"/>
        <v/>
      </c>
      <c r="L264" t="str">
        <f t="shared" si="16"/>
        <v/>
      </c>
      <c r="M264" t="str">
        <f t="shared" si="17"/>
        <v/>
      </c>
      <c r="N264" t="str">
        <f>テーブル1[[#This Row],[大学・大学院]]&amp;テーブル1[[#This Row],[専門学校]]</f>
        <v/>
      </c>
    </row>
    <row r="265" spans="1:14" x14ac:dyDescent="0.4">
      <c r="A265" s="4"/>
    </row>
  </sheetData>
  <phoneticPr fontId="3"/>
  <dataValidations count="4">
    <dataValidation type="list" allowBlank="1" showInputMessage="1" showErrorMessage="1" sqref="D2:D264" xr:uid="{00000000-0002-0000-0000-000000000000}">
      <formula1>"卒業,修了,退学,延長"</formula1>
    </dataValidation>
    <dataValidation type="list" allowBlank="1" showInputMessage="1" showErrorMessage="1" sqref="E254:E264" xr:uid="{00000000-0002-0000-0000-000001000000}">
      <formula1>"専門学校,大学,大学院,就職予定,就職,家族滞在,帰国予定,帰国,転校,失踪,留学国変更,進学未定,未定"</formula1>
    </dataValidation>
    <dataValidation type="list" allowBlank="1" showInputMessage="1" showErrorMessage="1" sqref="I2:I264" xr:uid="{00000000-0002-0000-0000-000002000000}">
      <formula1>"就職,進学,転校,失踪,学則違反,長期無断欠席,学力不良,出席不良,家族滞在ビザ変更,自己都合,家庭事情,学費未納,ビザ不交付,逮捕,病気,妊娠,コロナ自粛帰国"</formula1>
    </dataValidation>
    <dataValidation type="list" allowBlank="1" showInputMessage="1" showErrorMessage="1" sqref="E2:E253" xr:uid="{14A5A18C-B95D-494F-9B49-20D0E54844A7}">
      <formula1>"専門学校,大学,大学院,就職予定,就職,家族滞在,帰国予定,帰国,転校,失踪,留学国変更,進学未定,特定活動ビザ,特定技能ビザ,未定"</formula1>
    </dataValidation>
  </dataValidations>
  <pageMargins left="0.7" right="0.7" top="0.75" bottom="0.75" header="0.3" footer="0.3"/>
  <pageSetup paperSize="9" scale="3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5</v>
      </c>
      <c r="B1" s="1">
        <f>COUNTIF(Sheet1!D:D,"卒業")+COUNTIF(Sheet1!D:D,"修了")</f>
        <v>250</v>
      </c>
    </row>
    <row r="2" spans="1:2" x14ac:dyDescent="0.4">
      <c r="A2" t="s">
        <v>2</v>
      </c>
      <c r="B2" s="1">
        <f>COUNTIF(Sheet1!D:D,"退学")</f>
        <v>13</v>
      </c>
    </row>
    <row r="3" spans="1:2" x14ac:dyDescent="0.4">
      <c r="A3" t="s">
        <v>39</v>
      </c>
      <c r="B3" s="1">
        <f>COUNTIF(Sheet1!D:D,"延長")</f>
        <v>0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G9" sqref="G9"/>
    </sheetView>
  </sheetViews>
  <sheetFormatPr defaultRowHeight="18.75" x14ac:dyDescent="0.4"/>
  <sheetData>
    <row r="1" spans="1:3" x14ac:dyDescent="0.4">
      <c r="A1" t="s">
        <v>15</v>
      </c>
      <c r="B1" s="1">
        <f>COUNTIF(Sheet1!K:K,A1)</f>
        <v>197</v>
      </c>
      <c r="C1" s="2">
        <f t="shared" ref="C1:C10" si="0">B1/SUM(B$1:B$10)</f>
        <v>0.82426778242677823</v>
      </c>
    </row>
    <row r="2" spans="1:3" x14ac:dyDescent="0.4">
      <c r="A2" t="s">
        <v>14</v>
      </c>
      <c r="B2" s="1">
        <f>COUNTIF(Sheet1!K:K,A2)</f>
        <v>40</v>
      </c>
      <c r="C2" s="2">
        <f t="shared" si="0"/>
        <v>0.16736401673640167</v>
      </c>
    </row>
    <row r="3" spans="1:3" x14ac:dyDescent="0.4">
      <c r="A3" t="s">
        <v>42</v>
      </c>
      <c r="B3" s="1">
        <f>COUNTIF(Sheet1!K:K,A3)</f>
        <v>1</v>
      </c>
      <c r="C3" s="2">
        <f t="shared" si="0"/>
        <v>4.1841004184100415E-3</v>
      </c>
    </row>
    <row r="4" spans="1:3" x14ac:dyDescent="0.4">
      <c r="A4" t="s">
        <v>43</v>
      </c>
      <c r="B4" s="1">
        <f>COUNTIF(Sheet1!K:K,A4)</f>
        <v>0</v>
      </c>
      <c r="C4" s="2">
        <f t="shared" si="0"/>
        <v>0</v>
      </c>
    </row>
    <row r="5" spans="1:3" x14ac:dyDescent="0.4">
      <c r="A5" t="s">
        <v>27</v>
      </c>
      <c r="B5" s="1">
        <f>COUNTIF(Sheet1!K:K,A5)</f>
        <v>0</v>
      </c>
      <c r="C5" s="2">
        <f t="shared" si="0"/>
        <v>0</v>
      </c>
    </row>
    <row r="6" spans="1:3" x14ac:dyDescent="0.4">
      <c r="A6" t="s">
        <v>17</v>
      </c>
      <c r="B6" s="1">
        <f>COUNTIF(Sheet1!K:K,A6)</f>
        <v>0</v>
      </c>
      <c r="C6" s="2">
        <f t="shared" si="0"/>
        <v>0</v>
      </c>
    </row>
    <row r="7" spans="1:3" x14ac:dyDescent="0.4">
      <c r="A7" t="s">
        <v>55</v>
      </c>
      <c r="B7" s="1">
        <f>COUNTIF(Sheet1!K:K,A7)</f>
        <v>0</v>
      </c>
      <c r="C7" s="2">
        <f t="shared" si="0"/>
        <v>0</v>
      </c>
    </row>
    <row r="8" spans="1:3" x14ac:dyDescent="0.4">
      <c r="A8" t="s">
        <v>37</v>
      </c>
      <c r="B8" s="1">
        <f>COUNTIF(Sheet1!K:K,A8)</f>
        <v>0</v>
      </c>
      <c r="C8" s="2">
        <f t="shared" si="0"/>
        <v>0</v>
      </c>
    </row>
    <row r="9" spans="1:3" x14ac:dyDescent="0.4">
      <c r="A9" t="s">
        <v>28</v>
      </c>
      <c r="B9" s="1">
        <f>COUNTIF(Sheet1!K:K,A9)</f>
        <v>0</v>
      </c>
      <c r="C9" s="2">
        <f t="shared" si="0"/>
        <v>0</v>
      </c>
    </row>
    <row r="10" spans="1:3" x14ac:dyDescent="0.4">
      <c r="A10" t="s">
        <v>16</v>
      </c>
      <c r="B10" s="1">
        <f>COUNTIF(Sheet1!K:K,A10)</f>
        <v>1</v>
      </c>
      <c r="C10" s="2">
        <f t="shared" si="0"/>
        <v>4.1841004184100415E-3</v>
      </c>
    </row>
    <row r="11" spans="1:3" x14ac:dyDescent="0.4">
      <c r="B11" s="1"/>
      <c r="C11" s="2"/>
    </row>
  </sheetData>
  <sortState xmlns:xlrd2="http://schemas.microsoft.com/office/spreadsheetml/2017/richdata2" ref="A1:C10">
    <sortCondition descending="1" ref="B1:B10"/>
  </sortState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opLeftCell="A10" workbookViewId="0">
      <selection activeCell="A16" sqref="A16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35</v>
      </c>
      <c r="B1">
        <f>COUNTIF(Sheet1!I:I,A1)</f>
        <v>3</v>
      </c>
    </row>
    <row r="2" spans="1:2" x14ac:dyDescent="0.4">
      <c r="A2" t="s">
        <v>29</v>
      </c>
      <c r="B2">
        <f>COUNTIF(Sheet1!I:I,A2)</f>
        <v>2</v>
      </c>
    </row>
    <row r="3" spans="1:2" x14ac:dyDescent="0.4">
      <c r="A3" t="s">
        <v>17</v>
      </c>
      <c r="B3">
        <f>COUNTIF(Sheet1!I:I,A3)</f>
        <v>3</v>
      </c>
    </row>
    <row r="4" spans="1:2" x14ac:dyDescent="0.4">
      <c r="A4" t="s">
        <v>54</v>
      </c>
      <c r="B4">
        <f>COUNTIF(Sheet1!I:I,A4)</f>
        <v>0</v>
      </c>
    </row>
    <row r="5" spans="1:2" x14ac:dyDescent="0.4">
      <c r="A5" t="s">
        <v>33</v>
      </c>
      <c r="B5">
        <f>COUNTIF(Sheet1!I:I,A5)</f>
        <v>0</v>
      </c>
    </row>
    <row r="6" spans="1:2" x14ac:dyDescent="0.4">
      <c r="A6" t="s">
        <v>30</v>
      </c>
      <c r="B6">
        <f>COUNTIF(Sheet1!I:I,A6)</f>
        <v>1</v>
      </c>
    </row>
    <row r="7" spans="1:2" x14ac:dyDescent="0.4">
      <c r="A7" t="s">
        <v>53</v>
      </c>
      <c r="B7">
        <f>COUNTIF(Sheet1!I:I,A7)</f>
        <v>0</v>
      </c>
    </row>
    <row r="8" spans="1:2" x14ac:dyDescent="0.4">
      <c r="A8" t="s">
        <v>40</v>
      </c>
      <c r="B8">
        <f>COUNTIF(Sheet1!I:I,A8)</f>
        <v>0</v>
      </c>
    </row>
    <row r="9" spans="1:2" x14ac:dyDescent="0.4">
      <c r="A9" t="s">
        <v>41</v>
      </c>
      <c r="B9">
        <f>COUNTIF(Sheet1!I:I,A9)</f>
        <v>0</v>
      </c>
    </row>
    <row r="10" spans="1:2" x14ac:dyDescent="0.4">
      <c r="A10" t="s">
        <v>45</v>
      </c>
      <c r="B10">
        <f>COUNTIF(Sheet1!I:I,A10)</f>
        <v>0</v>
      </c>
    </row>
    <row r="11" spans="1:2" x14ac:dyDescent="0.4">
      <c r="A11" t="s">
        <v>46</v>
      </c>
      <c r="B11">
        <f>COUNTIF(Sheet1!I:I,A11)</f>
        <v>0</v>
      </c>
    </row>
    <row r="12" spans="1:2" x14ac:dyDescent="0.4">
      <c r="A12" t="s">
        <v>34</v>
      </c>
      <c r="B12">
        <f>COUNTIF(Sheet1!I:I,A12)</f>
        <v>0</v>
      </c>
    </row>
    <row r="13" spans="1:2" x14ac:dyDescent="0.4">
      <c r="A13" t="s">
        <v>32</v>
      </c>
      <c r="B13">
        <f>COUNTIF(Sheet1!I:I,A13)</f>
        <v>0</v>
      </c>
    </row>
    <row r="14" spans="1:2" x14ac:dyDescent="0.4">
      <c r="A14" t="s">
        <v>36</v>
      </c>
      <c r="B14">
        <f>COUNTIF(Sheet1!I:I,A14)</f>
        <v>0</v>
      </c>
    </row>
    <row r="15" spans="1:2" x14ac:dyDescent="0.4">
      <c r="A15" t="s">
        <v>31</v>
      </c>
      <c r="B15">
        <f>COUNTIF(Sheet1!I:I,A15)</f>
        <v>0</v>
      </c>
    </row>
  </sheetData>
  <sortState xmlns:xlrd2="http://schemas.microsoft.com/office/spreadsheetml/2017/richdata2" ref="A1:B15">
    <sortCondition descending="1" ref="B1:B15"/>
  </sortState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D6" sqref="D6"/>
    </sheetView>
  </sheetViews>
  <sheetFormatPr defaultRowHeight="18.75" x14ac:dyDescent="0.4"/>
  <cols>
    <col min="1" max="1" width="11" bestFit="1" customWidth="1"/>
  </cols>
  <sheetData>
    <row r="1" spans="1:2" x14ac:dyDescent="0.4">
      <c r="A1" t="s">
        <v>7</v>
      </c>
      <c r="B1" s="1">
        <f>COUNTIF(Sheet1!J:J,"○*")</f>
        <v>246</v>
      </c>
    </row>
    <row r="2" spans="1:2" x14ac:dyDescent="0.4">
      <c r="A2" t="s">
        <v>8</v>
      </c>
      <c r="B2" s="1">
        <f>B1-COUNTIF(Sheet1!J:J,"○")</f>
        <v>245</v>
      </c>
    </row>
    <row r="3" spans="1:2" x14ac:dyDescent="0.4">
      <c r="A3" t="s">
        <v>11</v>
      </c>
      <c r="B3" s="1">
        <f>B1-B2</f>
        <v>1</v>
      </c>
    </row>
    <row r="5" spans="1:2" x14ac:dyDescent="0.4">
      <c r="A5" t="s">
        <v>9</v>
      </c>
    </row>
    <row r="6" spans="1:2" x14ac:dyDescent="0.4">
      <c r="A6" t="s">
        <v>10</v>
      </c>
    </row>
    <row r="7" spans="1:2" x14ac:dyDescent="0.4">
      <c r="A7" t="s">
        <v>12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workbookViewId="0">
      <selection activeCell="B21" sqref="A1:B21"/>
    </sheetView>
  </sheetViews>
  <sheetFormatPr defaultRowHeight="18.75" x14ac:dyDescent="0.4"/>
  <cols>
    <col min="1" max="1" width="29.625" bestFit="1" customWidth="1"/>
    <col min="2" max="2" width="5.5" bestFit="1" customWidth="1"/>
  </cols>
  <sheetData>
    <row r="1" spans="1:2" x14ac:dyDescent="0.4">
      <c r="A1" s="3" t="s">
        <v>21</v>
      </c>
      <c r="B1" t="s">
        <v>22</v>
      </c>
    </row>
    <row r="2" spans="1:2" x14ac:dyDescent="0.4">
      <c r="A2" s="4" t="s">
        <v>50</v>
      </c>
      <c r="B2">
        <v>11</v>
      </c>
    </row>
    <row r="3" spans="1:2" x14ac:dyDescent="0.4">
      <c r="A3" s="4" t="s">
        <v>49</v>
      </c>
      <c r="B3">
        <v>7</v>
      </c>
    </row>
    <row r="4" spans="1:2" x14ac:dyDescent="0.4">
      <c r="A4" s="4" t="s">
        <v>56</v>
      </c>
      <c r="B4">
        <v>5</v>
      </c>
    </row>
    <row r="5" spans="1:2" x14ac:dyDescent="0.4">
      <c r="A5" s="4" t="s">
        <v>57</v>
      </c>
      <c r="B5">
        <v>3</v>
      </c>
    </row>
    <row r="6" spans="1:2" x14ac:dyDescent="0.4">
      <c r="A6" s="4" t="s">
        <v>51</v>
      </c>
      <c r="B6">
        <v>2</v>
      </c>
    </row>
    <row r="7" spans="1:2" x14ac:dyDescent="0.4">
      <c r="A7" s="4" t="s">
        <v>59</v>
      </c>
      <c r="B7">
        <v>2</v>
      </c>
    </row>
    <row r="8" spans="1:2" x14ac:dyDescent="0.4">
      <c r="A8" s="4" t="s">
        <v>479</v>
      </c>
      <c r="B8">
        <v>1</v>
      </c>
    </row>
    <row r="9" spans="1:2" x14ac:dyDescent="0.4">
      <c r="A9" s="4" t="s">
        <v>482</v>
      </c>
      <c r="B9">
        <v>1</v>
      </c>
    </row>
    <row r="10" spans="1:2" x14ac:dyDescent="0.4">
      <c r="A10" s="4" t="s">
        <v>465</v>
      </c>
      <c r="B10">
        <v>1</v>
      </c>
    </row>
    <row r="11" spans="1:2" x14ac:dyDescent="0.4">
      <c r="A11" s="4" t="s">
        <v>476</v>
      </c>
      <c r="B11">
        <v>1</v>
      </c>
    </row>
    <row r="12" spans="1:2" x14ac:dyDescent="0.4">
      <c r="A12" s="4" t="s">
        <v>474</v>
      </c>
      <c r="B12">
        <v>1</v>
      </c>
    </row>
    <row r="13" spans="1:2" x14ac:dyDescent="0.4">
      <c r="A13" s="4" t="s">
        <v>58</v>
      </c>
      <c r="B13">
        <v>1</v>
      </c>
    </row>
    <row r="14" spans="1:2" x14ac:dyDescent="0.4">
      <c r="A14" s="4" t="s">
        <v>480</v>
      </c>
      <c r="B14">
        <v>1</v>
      </c>
    </row>
    <row r="15" spans="1:2" x14ac:dyDescent="0.4">
      <c r="A15" s="4" t="s">
        <v>475</v>
      </c>
      <c r="B15">
        <v>1</v>
      </c>
    </row>
    <row r="16" spans="1:2" x14ac:dyDescent="0.4">
      <c r="A16" s="4" t="s">
        <v>481</v>
      </c>
      <c r="B16">
        <v>1</v>
      </c>
    </row>
    <row r="17" spans="1:2" x14ac:dyDescent="0.4">
      <c r="A17" s="4" t="s">
        <v>473</v>
      </c>
      <c r="B17">
        <v>1</v>
      </c>
    </row>
    <row r="18" spans="1:2" x14ac:dyDescent="0.4">
      <c r="A18" s="4" t="s">
        <v>484</v>
      </c>
      <c r="B18">
        <v>1</v>
      </c>
    </row>
    <row r="19" spans="1:2" x14ac:dyDescent="0.4">
      <c r="A19" s="4" t="s">
        <v>477</v>
      </c>
      <c r="B19">
        <v>1</v>
      </c>
    </row>
    <row r="20" spans="1:2" x14ac:dyDescent="0.4">
      <c r="A20" s="4" t="s">
        <v>478</v>
      </c>
      <c r="B20">
        <v>1</v>
      </c>
    </row>
    <row r="21" spans="1:2" x14ac:dyDescent="0.4">
      <c r="A21" s="4" t="s">
        <v>20</v>
      </c>
      <c r="B21">
        <v>43</v>
      </c>
    </row>
  </sheetData>
  <phoneticPr fontId="2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9"/>
  <sheetViews>
    <sheetView workbookViewId="0">
      <selection activeCell="A40" sqref="A40"/>
    </sheetView>
  </sheetViews>
  <sheetFormatPr defaultRowHeight="18.75" x14ac:dyDescent="0.4"/>
  <cols>
    <col min="1" max="1" width="44" bestFit="1" customWidth="1"/>
    <col min="2" max="2" width="5.5" bestFit="1" customWidth="1"/>
  </cols>
  <sheetData>
    <row r="1" spans="1:2" x14ac:dyDescent="0.4">
      <c r="A1" s="3" t="s">
        <v>21</v>
      </c>
      <c r="B1" t="s">
        <v>22</v>
      </c>
    </row>
    <row r="2" spans="1:2" x14ac:dyDescent="0.4">
      <c r="A2" s="4" t="s">
        <v>424</v>
      </c>
      <c r="B2">
        <v>23</v>
      </c>
    </row>
    <row r="3" spans="1:2" x14ac:dyDescent="0.4">
      <c r="A3" s="4" t="s">
        <v>52</v>
      </c>
      <c r="B3">
        <v>18</v>
      </c>
    </row>
    <row r="4" spans="1:2" x14ac:dyDescent="0.4">
      <c r="A4" s="4" t="s">
        <v>62</v>
      </c>
      <c r="B4">
        <v>15</v>
      </c>
    </row>
    <row r="5" spans="1:2" x14ac:dyDescent="0.4">
      <c r="A5" s="4" t="s">
        <v>38</v>
      </c>
      <c r="B5">
        <v>13</v>
      </c>
    </row>
    <row r="6" spans="1:2" x14ac:dyDescent="0.4">
      <c r="A6" s="4" t="s">
        <v>67</v>
      </c>
      <c r="B6">
        <v>10</v>
      </c>
    </row>
    <row r="7" spans="1:2" x14ac:dyDescent="0.4">
      <c r="A7" s="4" t="s">
        <v>63</v>
      </c>
      <c r="B7">
        <v>10</v>
      </c>
    </row>
    <row r="8" spans="1:2" x14ac:dyDescent="0.4">
      <c r="A8" s="4" t="s">
        <v>66</v>
      </c>
      <c r="B8">
        <v>10</v>
      </c>
    </row>
    <row r="9" spans="1:2" x14ac:dyDescent="0.4">
      <c r="A9" s="4" t="s">
        <v>65</v>
      </c>
      <c r="B9">
        <v>9</v>
      </c>
    </row>
    <row r="10" spans="1:2" x14ac:dyDescent="0.4">
      <c r="A10" s="4" t="s">
        <v>64</v>
      </c>
      <c r="B10">
        <v>9</v>
      </c>
    </row>
    <row r="11" spans="1:2" x14ac:dyDescent="0.4">
      <c r="A11" s="4" t="s">
        <v>428</v>
      </c>
      <c r="B11">
        <v>8</v>
      </c>
    </row>
    <row r="12" spans="1:2" x14ac:dyDescent="0.4">
      <c r="A12" s="4" t="s">
        <v>423</v>
      </c>
      <c r="B12">
        <v>6</v>
      </c>
    </row>
    <row r="13" spans="1:2" x14ac:dyDescent="0.4">
      <c r="A13" s="4" t="s">
        <v>425</v>
      </c>
      <c r="B13">
        <v>6</v>
      </c>
    </row>
    <row r="14" spans="1:2" x14ac:dyDescent="0.4">
      <c r="A14" s="4" t="s">
        <v>417</v>
      </c>
      <c r="B14">
        <v>5</v>
      </c>
    </row>
    <row r="15" spans="1:2" x14ac:dyDescent="0.4">
      <c r="A15" s="4" t="s">
        <v>432</v>
      </c>
      <c r="B15">
        <v>4</v>
      </c>
    </row>
    <row r="16" spans="1:2" x14ac:dyDescent="0.4">
      <c r="A16" s="4" t="s">
        <v>70</v>
      </c>
      <c r="B16">
        <v>4</v>
      </c>
    </row>
    <row r="17" spans="1:2" x14ac:dyDescent="0.4">
      <c r="A17" s="4" t="s">
        <v>71</v>
      </c>
      <c r="B17">
        <v>4</v>
      </c>
    </row>
    <row r="18" spans="1:2" x14ac:dyDescent="0.4">
      <c r="A18" s="4" t="s">
        <v>60</v>
      </c>
      <c r="B18">
        <v>3</v>
      </c>
    </row>
    <row r="19" spans="1:2" x14ac:dyDescent="0.4">
      <c r="A19" s="4" t="s">
        <v>433</v>
      </c>
      <c r="B19">
        <v>3</v>
      </c>
    </row>
    <row r="20" spans="1:2" x14ac:dyDescent="0.4">
      <c r="A20" s="4" t="s">
        <v>434</v>
      </c>
      <c r="B20">
        <v>2</v>
      </c>
    </row>
    <row r="21" spans="1:2" x14ac:dyDescent="0.4">
      <c r="A21" s="4" t="s">
        <v>430</v>
      </c>
      <c r="B21">
        <v>2</v>
      </c>
    </row>
    <row r="22" spans="1:2" x14ac:dyDescent="0.4">
      <c r="A22" s="4" t="s">
        <v>435</v>
      </c>
      <c r="B22">
        <v>2</v>
      </c>
    </row>
    <row r="23" spans="1:2" x14ac:dyDescent="0.4">
      <c r="A23" s="4" t="s">
        <v>442</v>
      </c>
      <c r="B23">
        <v>2</v>
      </c>
    </row>
    <row r="24" spans="1:2" x14ac:dyDescent="0.4">
      <c r="A24" s="4" t="s">
        <v>436</v>
      </c>
      <c r="B24">
        <v>2</v>
      </c>
    </row>
    <row r="25" spans="1:2" x14ac:dyDescent="0.4">
      <c r="A25" s="4" t="s">
        <v>73</v>
      </c>
      <c r="B25">
        <v>2</v>
      </c>
    </row>
    <row r="26" spans="1:2" x14ac:dyDescent="0.4">
      <c r="A26" s="4" t="s">
        <v>415</v>
      </c>
      <c r="B26">
        <v>2</v>
      </c>
    </row>
    <row r="27" spans="1:2" x14ac:dyDescent="0.4">
      <c r="A27" s="4" t="s">
        <v>437</v>
      </c>
      <c r="B27">
        <v>2</v>
      </c>
    </row>
    <row r="28" spans="1:2" x14ac:dyDescent="0.4">
      <c r="A28" s="4" t="s">
        <v>441</v>
      </c>
      <c r="B28">
        <v>1</v>
      </c>
    </row>
    <row r="29" spans="1:2" x14ac:dyDescent="0.4">
      <c r="A29" s="4" t="s">
        <v>439</v>
      </c>
      <c r="B29">
        <v>1</v>
      </c>
    </row>
    <row r="30" spans="1:2" x14ac:dyDescent="0.4">
      <c r="A30" s="4" t="s">
        <v>421</v>
      </c>
      <c r="B30">
        <v>1</v>
      </c>
    </row>
    <row r="31" spans="1:2" x14ac:dyDescent="0.4">
      <c r="A31" s="4" t="s">
        <v>445</v>
      </c>
      <c r="B31">
        <v>1</v>
      </c>
    </row>
    <row r="32" spans="1:2" x14ac:dyDescent="0.4">
      <c r="A32" s="4" t="s">
        <v>438</v>
      </c>
      <c r="B32">
        <v>1</v>
      </c>
    </row>
    <row r="33" spans="1:2" x14ac:dyDescent="0.4">
      <c r="A33" s="4" t="s">
        <v>69</v>
      </c>
      <c r="B33">
        <v>1</v>
      </c>
    </row>
    <row r="34" spans="1:2" x14ac:dyDescent="0.4">
      <c r="A34" s="4" t="s">
        <v>451</v>
      </c>
      <c r="B34">
        <v>1</v>
      </c>
    </row>
    <row r="35" spans="1:2" x14ac:dyDescent="0.4">
      <c r="A35" s="4" t="s">
        <v>448</v>
      </c>
      <c r="B35">
        <v>1</v>
      </c>
    </row>
    <row r="36" spans="1:2" x14ac:dyDescent="0.4">
      <c r="A36" s="4" t="s">
        <v>68</v>
      </c>
      <c r="B36">
        <v>1</v>
      </c>
    </row>
    <row r="37" spans="1:2" x14ac:dyDescent="0.4">
      <c r="A37" s="4" t="s">
        <v>444</v>
      </c>
      <c r="B37">
        <v>1</v>
      </c>
    </row>
    <row r="38" spans="1:2" x14ac:dyDescent="0.4">
      <c r="A38" s="4" t="s">
        <v>61</v>
      </c>
      <c r="B38">
        <v>1</v>
      </c>
    </row>
    <row r="39" spans="1:2" x14ac:dyDescent="0.4">
      <c r="A39" s="4" t="s">
        <v>431</v>
      </c>
      <c r="B39">
        <v>1</v>
      </c>
    </row>
    <row r="40" spans="1:2" x14ac:dyDescent="0.4">
      <c r="A40" s="4" t="s">
        <v>447</v>
      </c>
      <c r="B40">
        <v>1</v>
      </c>
    </row>
    <row r="41" spans="1:2" x14ac:dyDescent="0.4">
      <c r="A41" s="4" t="s">
        <v>446</v>
      </c>
      <c r="B41">
        <v>1</v>
      </c>
    </row>
    <row r="42" spans="1:2" x14ac:dyDescent="0.4">
      <c r="A42" s="4" t="s">
        <v>450</v>
      </c>
      <c r="B42">
        <v>1</v>
      </c>
    </row>
    <row r="43" spans="1:2" x14ac:dyDescent="0.4">
      <c r="A43" s="4" t="s">
        <v>72</v>
      </c>
      <c r="B43">
        <v>1</v>
      </c>
    </row>
    <row r="44" spans="1:2" x14ac:dyDescent="0.4">
      <c r="A44" s="4" t="s">
        <v>488</v>
      </c>
      <c r="B44">
        <v>1</v>
      </c>
    </row>
    <row r="45" spans="1:2" x14ac:dyDescent="0.4">
      <c r="A45" s="4" t="s">
        <v>443</v>
      </c>
      <c r="B45">
        <v>1</v>
      </c>
    </row>
    <row r="46" spans="1:2" x14ac:dyDescent="0.4">
      <c r="A46" s="4" t="s">
        <v>449</v>
      </c>
      <c r="B46">
        <v>1</v>
      </c>
    </row>
    <row r="47" spans="1:2" x14ac:dyDescent="0.4">
      <c r="A47" s="4" t="s">
        <v>489</v>
      </c>
      <c r="B47">
        <v>1</v>
      </c>
    </row>
    <row r="48" spans="1:2" x14ac:dyDescent="0.4">
      <c r="A48" s="4" t="s">
        <v>440</v>
      </c>
      <c r="B48">
        <v>1</v>
      </c>
    </row>
    <row r="49" spans="1:2" x14ac:dyDescent="0.4">
      <c r="A49" s="4" t="s">
        <v>20</v>
      </c>
      <c r="B49">
        <v>197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Sheet1</vt:lpstr>
      <vt:lpstr>卒業者割合</vt:lpstr>
      <vt:lpstr>卒業生進路</vt:lpstr>
      <vt:lpstr>退学内訳</vt:lpstr>
      <vt:lpstr>合格率</vt:lpstr>
      <vt:lpstr>大学進学先</vt:lpstr>
      <vt:lpstr>専門学校進学先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北條亮一</dc:creator>
  <cp:lastModifiedBy>奈央 小塚</cp:lastModifiedBy>
  <cp:lastPrinted>2025-03-19T09:59:05Z</cp:lastPrinted>
  <dcterms:created xsi:type="dcterms:W3CDTF">2019-03-08T01:36:28Z</dcterms:created>
  <dcterms:modified xsi:type="dcterms:W3CDTF">2025-08-07T04:08:17Z</dcterms:modified>
</cp:coreProperties>
</file>